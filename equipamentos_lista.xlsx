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Blacksmith" sheetId="2" r:id="rId6"/>
    <sheet state="visible" name="Fletcher" sheetId="3" r:id="rId7"/>
    <sheet state="visible" name="Leatherwork" sheetId="4" r:id="rId8"/>
    <sheet state="visible" name="Temple" sheetId="5" r:id="rId9"/>
    <sheet state="visible" name="General Store" sheetId="6" r:id="rId10"/>
    <sheet state="visible" name="Adventuring" sheetId="7" r:id="rId11"/>
    <sheet state="visible" name="Tailor" sheetId="8" r:id="rId12"/>
    <sheet state="visible" name="Jeweler" sheetId="9" r:id="rId13"/>
    <sheet state="visible" name="Potion" sheetId="10" r:id="rId14"/>
    <sheet state="visible" name="Arcane" sheetId="11" r:id="rId15"/>
    <sheet state="visible" name="Inn" sheetId="12" r:id="rId16"/>
    <sheet state="visible" name="Thieves" sheetId="13" r:id="rId17"/>
    <sheet state="visible" name="Musical" sheetId="14" r:id="rId18"/>
    <sheet state="visible" name="Armory" sheetId="15" r:id="rId19"/>
  </sheets>
  <definedNames/>
  <calcPr/>
</workbook>
</file>

<file path=xl/sharedStrings.xml><?xml version="1.0" encoding="utf-8"?>
<sst xmlns="http://schemas.openxmlformats.org/spreadsheetml/2006/main" count="2268" uniqueCount="296">
  <si>
    <t>Category</t>
  </si>
  <si>
    <t>Sub-Category</t>
  </si>
  <si>
    <t>Item</t>
  </si>
  <si>
    <t>Weight</t>
  </si>
  <si>
    <t>Cost</t>
  </si>
  <si>
    <t>Cheap</t>
  </si>
  <si>
    <t>Expensive</t>
  </si>
  <si>
    <t>Source</t>
  </si>
  <si>
    <t>Village</t>
  </si>
  <si>
    <t>Town</t>
  </si>
  <si>
    <t>City</t>
  </si>
  <si>
    <t>Blacksmith</t>
  </si>
  <si>
    <t>Fletcher</t>
  </si>
  <si>
    <t>Leatherworker</t>
  </si>
  <si>
    <t>Temple</t>
  </si>
  <si>
    <t>General Store</t>
  </si>
  <si>
    <t>Adventuring</t>
  </si>
  <si>
    <t>Tailor</t>
  </si>
  <si>
    <t>Jeweler</t>
  </si>
  <si>
    <t>Potion</t>
  </si>
  <si>
    <t>Arcane</t>
  </si>
  <si>
    <t>Inn</t>
  </si>
  <si>
    <t>Thieves</t>
  </si>
  <si>
    <t>Musical</t>
  </si>
  <si>
    <t>Armory</t>
  </si>
  <si>
    <t>Adventuring Gear</t>
  </si>
  <si>
    <t>-</t>
  </si>
  <si>
    <t>Acid (vial)</t>
  </si>
  <si>
    <t>PHB 2024</t>
  </si>
  <si>
    <t>x</t>
  </si>
  <si>
    <t>Alchemist's Fire</t>
  </si>
  <si>
    <t>Ammunition</t>
  </si>
  <si>
    <t>Arrows (20)</t>
  </si>
  <si>
    <t>Crossbow, Bolts (20)</t>
  </si>
  <si>
    <t>Bullets, Firearm (10)</t>
  </si>
  <si>
    <t>Bullets, Sling (20)</t>
  </si>
  <si>
    <t>Blowgun, Needles (50)</t>
  </si>
  <si>
    <t>Antitoxin (vial)</t>
  </si>
  <si>
    <t>Arcane Focuses</t>
  </si>
  <si>
    <t>Crystal</t>
  </si>
  <si>
    <t>Orb</t>
  </si>
  <si>
    <t>Rod</t>
  </si>
  <si>
    <t>Staff (also a Quarterstaff)</t>
  </si>
  <si>
    <t>Wand</t>
  </si>
  <si>
    <t>Backpack</t>
  </si>
  <si>
    <t>Ball Bearings</t>
  </si>
  <si>
    <t>Barrel</t>
  </si>
  <si>
    <t>Basket</t>
  </si>
  <si>
    <t>Bedroll</t>
  </si>
  <si>
    <t>Bell</t>
  </si>
  <si>
    <t>Blanket</t>
  </si>
  <si>
    <t>Block and Tackle</t>
  </si>
  <si>
    <t>Book</t>
  </si>
  <si>
    <t>Bottle, Glass</t>
  </si>
  <si>
    <t>Bucket</t>
  </si>
  <si>
    <t>Burglar's Pack</t>
  </si>
  <si>
    <t>Caltrops</t>
  </si>
  <si>
    <t>Candle</t>
  </si>
  <si>
    <t>Case, Crossbow Bolt</t>
  </si>
  <si>
    <t>Case, Map or Scroll</t>
  </si>
  <si>
    <t>Chain (10 feet)</t>
  </si>
  <si>
    <t>Chest</t>
  </si>
  <si>
    <t>Climber's Kit</t>
  </si>
  <si>
    <t>Clothes, Fine</t>
  </si>
  <si>
    <t>Clothes, Traveler's</t>
  </si>
  <si>
    <t>Component Pouch</t>
  </si>
  <si>
    <t>Costume</t>
  </si>
  <si>
    <t>Crowbar</t>
  </si>
  <si>
    <t>Diplomat's Pack</t>
  </si>
  <si>
    <t>Drudic Focus</t>
  </si>
  <si>
    <t>Sprig of Mistletoe</t>
  </si>
  <si>
    <t>Wooden Staff (also a Quarterstaff)</t>
  </si>
  <si>
    <t>Yew Wand</t>
  </si>
  <si>
    <t>Dungeoneer's Pack</t>
  </si>
  <si>
    <t>Entertainer's Pack</t>
  </si>
  <si>
    <t>Explorer's Pack</t>
  </si>
  <si>
    <t>Flask</t>
  </si>
  <si>
    <t>Grappling Hook</t>
  </si>
  <si>
    <t>Healer's Kit</t>
  </si>
  <si>
    <t>Holy Symbol</t>
  </si>
  <si>
    <t>Amulet (worn or held)</t>
  </si>
  <si>
    <t>Emblem (borne on fabric or a Shield)</t>
  </si>
  <si>
    <t>Reliquary (held)</t>
  </si>
  <si>
    <t>Holy Water</t>
  </si>
  <si>
    <t>Hunting Trap</t>
  </si>
  <si>
    <t>Ink</t>
  </si>
  <si>
    <t>Ink Pen</t>
  </si>
  <si>
    <t>Jug</t>
  </si>
  <si>
    <t>Ladder (10 feet)</t>
  </si>
  <si>
    <t>Lamp</t>
  </si>
  <si>
    <t>Lantern, Bullseye</t>
  </si>
  <si>
    <t>Lantern, Hooded</t>
  </si>
  <si>
    <t>Lock</t>
  </si>
  <si>
    <t>Magnifying Glass</t>
  </si>
  <si>
    <t>Manacles</t>
  </si>
  <si>
    <t>Map</t>
  </si>
  <si>
    <t>Mirror</t>
  </si>
  <si>
    <t>Net</t>
  </si>
  <si>
    <t>Oil</t>
  </si>
  <si>
    <t>Paper</t>
  </si>
  <si>
    <t>Parchment</t>
  </si>
  <si>
    <t>Perfume</t>
  </si>
  <si>
    <t>Poison, Basic</t>
  </si>
  <si>
    <t>Pole (10 feet)</t>
  </si>
  <si>
    <t>Pot, Iron</t>
  </si>
  <si>
    <t>Potion of Healing</t>
  </si>
  <si>
    <t>Pouch</t>
  </si>
  <si>
    <t>Priest's Pack</t>
  </si>
  <si>
    <t>Quiver</t>
  </si>
  <si>
    <t>Ram, Portable</t>
  </si>
  <si>
    <t>Rations</t>
  </si>
  <si>
    <t>Robe</t>
  </si>
  <si>
    <t>Rope (50 feet)</t>
  </si>
  <si>
    <t>Sack</t>
  </si>
  <si>
    <t>Scholar's Pack</t>
  </si>
  <si>
    <t>Shovel</t>
  </si>
  <si>
    <t>Signal Whistle</t>
  </si>
  <si>
    <t>Spell Scroll (Cantrip)</t>
  </si>
  <si>
    <t>Spell Scroll (Level 1)</t>
  </si>
  <si>
    <t>Spikes, Iron</t>
  </si>
  <si>
    <t>Spyglass</t>
  </si>
  <si>
    <t>String</t>
  </si>
  <si>
    <t>Tent</t>
  </si>
  <si>
    <t>Tinderbox</t>
  </si>
  <si>
    <t>Torch</t>
  </si>
  <si>
    <t>Vial</t>
  </si>
  <si>
    <t>Waterskin</t>
  </si>
  <si>
    <t>Armor</t>
  </si>
  <si>
    <t>Light Armor</t>
  </si>
  <si>
    <t>Padded Armor</t>
  </si>
  <si>
    <t>Leather Armor</t>
  </si>
  <si>
    <t>Studded Leather Armor</t>
  </si>
  <si>
    <t>Medium Armor</t>
  </si>
  <si>
    <t>Hide Armor</t>
  </si>
  <si>
    <t>Chain Shirt</t>
  </si>
  <si>
    <t>Scale Mail</t>
  </si>
  <si>
    <t>Breastplate</t>
  </si>
  <si>
    <t>Half Plate Armor</t>
  </si>
  <si>
    <t>Heavy Armor</t>
  </si>
  <si>
    <t>Ring Mail</t>
  </si>
  <si>
    <t>Chain Mail</t>
  </si>
  <si>
    <t>Splint Armor</t>
  </si>
  <si>
    <t>Plate Armor</t>
  </si>
  <si>
    <t>Shield</t>
  </si>
  <si>
    <t>Food, Drink, Lodging</t>
  </si>
  <si>
    <t>Drink</t>
  </si>
  <si>
    <t>Ale (mug)</t>
  </si>
  <si>
    <t>Food</t>
  </si>
  <si>
    <t>Bread (loaf)</t>
  </si>
  <si>
    <t>Cheese (wedge)</t>
  </si>
  <si>
    <t>Lodging</t>
  </si>
  <si>
    <t>Inn Stay, Squalid</t>
  </si>
  <si>
    <t>Inn Stay, Poor</t>
  </si>
  <si>
    <t>Inn Stay, Modest</t>
  </si>
  <si>
    <t>Inn Stay, Comfortable</t>
  </si>
  <si>
    <t>Inn Stay, Wealthy</t>
  </si>
  <si>
    <t>Inn Stay, Aristocratic</t>
  </si>
  <si>
    <t>Meal, Squalid</t>
  </si>
  <si>
    <t>Meal, Poor</t>
  </si>
  <si>
    <t>Meal, Modest</t>
  </si>
  <si>
    <t>Meal, Comfortable</t>
  </si>
  <si>
    <t>Meal, Wealthy</t>
  </si>
  <si>
    <t>Meal, Aristocratic</t>
  </si>
  <si>
    <t>Wine, Common (bottle)</t>
  </si>
  <si>
    <t>Wine, Fine (bottle)</t>
  </si>
  <si>
    <t>Services</t>
  </si>
  <si>
    <t>Travel</t>
  </si>
  <si>
    <t>Coach Ride, Between Towns (per mile)</t>
  </si>
  <si>
    <t>Coach Ride, Within City (per mile)</t>
  </si>
  <si>
    <t>Road/Gate, Toll</t>
  </si>
  <si>
    <t>Ship's Passage (per mile)</t>
  </si>
  <si>
    <t>Hirelings</t>
  </si>
  <si>
    <t>Hirelings, Skilled (per day)</t>
  </si>
  <si>
    <t>Hirelings, Unskilled (per day)</t>
  </si>
  <si>
    <t>Hirelings, Messenger (per mile)</t>
  </si>
  <si>
    <t>Spellcasting</t>
  </si>
  <si>
    <t>Cantrip</t>
  </si>
  <si>
    <t>Level 1</t>
  </si>
  <si>
    <t>Level 2</t>
  </si>
  <si>
    <t>Level 3</t>
  </si>
  <si>
    <t>Level 4-5</t>
  </si>
  <si>
    <t>Level 6-8</t>
  </si>
  <si>
    <t>Level 9</t>
  </si>
  <si>
    <t>Tools</t>
  </si>
  <si>
    <t>Artisan's Tools</t>
  </si>
  <si>
    <t>Alchemist's Supplies</t>
  </si>
  <si>
    <t>Brewer's Supplies</t>
  </si>
  <si>
    <t>Calligrapher's Supplies</t>
  </si>
  <si>
    <t>Carpenter's Tools</t>
  </si>
  <si>
    <t>Cartographer's Tools</t>
  </si>
  <si>
    <t>Cobbler's Tools</t>
  </si>
  <si>
    <t>Cook's Utensils</t>
  </si>
  <si>
    <t>Glassblower's Tools</t>
  </si>
  <si>
    <t>Jeweler's Tools</t>
  </si>
  <si>
    <t>Leatherworker's Tools</t>
  </si>
  <si>
    <t>Mason's Tools</t>
  </si>
  <si>
    <t>Painter's Supplies</t>
  </si>
  <si>
    <t>Potter's Tools</t>
  </si>
  <si>
    <t>Smith's Tools</t>
  </si>
  <si>
    <t>Tinker's Tools</t>
  </si>
  <si>
    <t>Weaver's Tools</t>
  </si>
  <si>
    <t>Woodcarver's Tools</t>
  </si>
  <si>
    <t>Disguise Kit</t>
  </si>
  <si>
    <t>Forgery Kit</t>
  </si>
  <si>
    <t>Gaming Set</t>
  </si>
  <si>
    <t>Dice</t>
  </si>
  <si>
    <t>Dragonchess</t>
  </si>
  <si>
    <t>Playing Cards</t>
  </si>
  <si>
    <t>Three-Dragon Ante</t>
  </si>
  <si>
    <t>Herbalism Kit</t>
  </si>
  <si>
    <t>Musical Instrument</t>
  </si>
  <si>
    <t>Bagpipes</t>
  </si>
  <si>
    <t>Drum</t>
  </si>
  <si>
    <t>Dulcimer</t>
  </si>
  <si>
    <t>Flute</t>
  </si>
  <si>
    <t>Horn</t>
  </si>
  <si>
    <t>Lute</t>
  </si>
  <si>
    <t>Lyre</t>
  </si>
  <si>
    <t>Pan Flute</t>
  </si>
  <si>
    <t>Shawm</t>
  </si>
  <si>
    <t>Viol</t>
  </si>
  <si>
    <t>Navigator's Tools</t>
  </si>
  <si>
    <t>Poisoner's Kit</t>
  </si>
  <si>
    <t>Thieves' Tools</t>
  </si>
  <si>
    <t>Transportation</t>
  </si>
  <si>
    <t>Mounts and Other Animals</t>
  </si>
  <si>
    <t>Camel</t>
  </si>
  <si>
    <t>Elephant</t>
  </si>
  <si>
    <t>Horse, Draft</t>
  </si>
  <si>
    <t>Horse, Riding</t>
  </si>
  <si>
    <t>Mastiff</t>
  </si>
  <si>
    <t>Mule</t>
  </si>
  <si>
    <t>Pony</t>
  </si>
  <si>
    <t>Warhorse</t>
  </si>
  <si>
    <t>Track, Harness, and Drawn Vehicles</t>
  </si>
  <si>
    <t>Carriage</t>
  </si>
  <si>
    <t>Cart</t>
  </si>
  <si>
    <t>Chariot</t>
  </si>
  <si>
    <t>Feed, Aminal</t>
  </si>
  <si>
    <t>Sanddle, Exotic</t>
  </si>
  <si>
    <t>Sanddle, Military</t>
  </si>
  <si>
    <t>Sanddle, Riding</t>
  </si>
  <si>
    <t>Sled</t>
  </si>
  <si>
    <t>Stabling</t>
  </si>
  <si>
    <t>Wagon</t>
  </si>
  <si>
    <t>Airborne and Waterborne Vehicles</t>
  </si>
  <si>
    <t>Airship</t>
  </si>
  <si>
    <t>Galley</t>
  </si>
  <si>
    <t>Keelboat</t>
  </si>
  <si>
    <t>Longship</t>
  </si>
  <si>
    <t>Rowboat</t>
  </si>
  <si>
    <t>Sailing Ship</t>
  </si>
  <si>
    <t>Warship</t>
  </si>
  <si>
    <t>Weapons</t>
  </si>
  <si>
    <t>Simple Melee Weapons</t>
  </si>
  <si>
    <t>Club</t>
  </si>
  <si>
    <t>Dagger</t>
  </si>
  <si>
    <t>Greatclub</t>
  </si>
  <si>
    <t>Handaxe</t>
  </si>
  <si>
    <t>Javelin</t>
  </si>
  <si>
    <t>Light Hammer</t>
  </si>
  <si>
    <t>Mace</t>
  </si>
  <si>
    <t>Quarterstaff</t>
  </si>
  <si>
    <t>Sickle</t>
  </si>
  <si>
    <t>Spear</t>
  </si>
  <si>
    <t>Simple Ranged Weapons</t>
  </si>
  <si>
    <t>Dart</t>
  </si>
  <si>
    <t>Crossbow, Light</t>
  </si>
  <si>
    <t>Shortbow</t>
  </si>
  <si>
    <t>Sling</t>
  </si>
  <si>
    <t>Martial Melee Weapons</t>
  </si>
  <si>
    <t>Battleaxe</t>
  </si>
  <si>
    <t>Flail</t>
  </si>
  <si>
    <t>Glaive</t>
  </si>
  <si>
    <t>Greataxe</t>
  </si>
  <si>
    <t>Greatsword</t>
  </si>
  <si>
    <t>Halberd</t>
  </si>
  <si>
    <t>Lance</t>
  </si>
  <si>
    <t>Longsword</t>
  </si>
  <si>
    <t>Maul</t>
  </si>
  <si>
    <t>Morningstar</t>
  </si>
  <si>
    <t>Pike</t>
  </si>
  <si>
    <t>Rapier</t>
  </si>
  <si>
    <t>Scimitar</t>
  </si>
  <si>
    <t>Shortsword</t>
  </si>
  <si>
    <t>Trident</t>
  </si>
  <si>
    <t>Warhammer</t>
  </si>
  <si>
    <t>War Pick</t>
  </si>
  <si>
    <t>Whip</t>
  </si>
  <si>
    <t>Martial Ranged Weapons</t>
  </si>
  <si>
    <t>Blowgun</t>
  </si>
  <si>
    <t>Crossbow, Hand</t>
  </si>
  <si>
    <t>Crossbow, Heavy</t>
  </si>
  <si>
    <t>Longbow</t>
  </si>
  <si>
    <t>Musket</t>
  </si>
  <si>
    <t>Pistol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</si>
</sst>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 ?/? &quot;lb.&quot;"/>
    <numFmt numFmtId="165" formatCode="#,##0.00[$ GP]"/>
    <numFmt numFmtId="166" formatCode="0 lb.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6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5">
    <tableStyle count="3" pivot="0" name="Master-style">
      <tableStyleElement dxfId="1" type="headerRow"/>
      <tableStyleElement dxfId="2" type="firstRowStripe"/>
      <tableStyleElement dxfId="3" type="secondRowStripe"/>
    </tableStyle>
    <tableStyle count="3" pivot="0" name="Blacksmith-style">
      <tableStyleElement dxfId="1" type="headerRow"/>
      <tableStyleElement dxfId="2" type="firstRowStripe"/>
      <tableStyleElement dxfId="3" type="secondRowStripe"/>
    </tableStyle>
    <tableStyle count="3" pivot="0" name="Fletcher-style">
      <tableStyleElement dxfId="1" type="headerRow"/>
      <tableStyleElement dxfId="2" type="firstRowStripe"/>
      <tableStyleElement dxfId="3" type="secondRowStripe"/>
    </tableStyle>
    <tableStyle count="3" pivot="0" name="Leatherwork-style">
      <tableStyleElement dxfId="1" type="headerRow"/>
      <tableStyleElement dxfId="2" type="firstRowStripe"/>
      <tableStyleElement dxfId="3" type="secondRowStripe"/>
    </tableStyle>
    <tableStyle count="3" pivot="0" name="Temple-style">
      <tableStyleElement dxfId="1" type="headerRow"/>
      <tableStyleElement dxfId="2" type="firstRowStripe"/>
      <tableStyleElement dxfId="3" type="secondRowStripe"/>
    </tableStyle>
    <tableStyle count="3" pivot="0" name="General Store-style">
      <tableStyleElement dxfId="1" type="headerRow"/>
      <tableStyleElement dxfId="2" type="firstRowStripe"/>
      <tableStyleElement dxfId="3" type="secondRowStripe"/>
    </tableStyle>
    <tableStyle count="3" pivot="0" name="Adventuring-style">
      <tableStyleElement dxfId="1" type="headerRow"/>
      <tableStyleElement dxfId="2" type="firstRowStripe"/>
      <tableStyleElement dxfId="3" type="secondRowStripe"/>
    </tableStyle>
    <tableStyle count="3" pivot="0" name="Tailor-style">
      <tableStyleElement dxfId="1" type="headerRow"/>
      <tableStyleElement dxfId="2" type="firstRowStripe"/>
      <tableStyleElement dxfId="3" type="secondRowStripe"/>
    </tableStyle>
    <tableStyle count="3" pivot="0" name="Jeweler-style">
      <tableStyleElement dxfId="1" type="headerRow"/>
      <tableStyleElement dxfId="2" type="firstRowStripe"/>
      <tableStyleElement dxfId="3" type="secondRowStripe"/>
    </tableStyle>
    <tableStyle count="3" pivot="0" name="Potion-style">
      <tableStyleElement dxfId="1" type="headerRow"/>
      <tableStyleElement dxfId="2" type="firstRowStripe"/>
      <tableStyleElement dxfId="3" type="secondRowStripe"/>
    </tableStyle>
    <tableStyle count="3" pivot="0" name="Arcane-style">
      <tableStyleElement dxfId="1" type="headerRow"/>
      <tableStyleElement dxfId="2" type="firstRowStripe"/>
      <tableStyleElement dxfId="3" type="secondRowStripe"/>
    </tableStyle>
    <tableStyle count="3" pivot="0" name="Inn-style">
      <tableStyleElement dxfId="1" type="headerRow"/>
      <tableStyleElement dxfId="2" type="firstRowStripe"/>
      <tableStyleElement dxfId="3" type="secondRowStripe"/>
    </tableStyle>
    <tableStyle count="3" pivot="0" name="Thieves-style">
      <tableStyleElement dxfId="1" type="headerRow"/>
      <tableStyleElement dxfId="2" type="firstRowStripe"/>
      <tableStyleElement dxfId="3" type="secondRowStripe"/>
    </tableStyle>
    <tableStyle count="3" pivot="0" name="Musical-style">
      <tableStyleElement dxfId="1" type="headerRow"/>
      <tableStyleElement dxfId="2" type="firstRowStripe"/>
      <tableStyleElement dxfId="3" type="secondRowStripe"/>
    </tableStyle>
    <tableStyle count="3" pivot="0" name="Armo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1001" displayName="Table_1" name="Table_1" id="1">
  <tableColumns count="25">
    <tableColumn name="Category" id="1"/>
    <tableColumn name="Sub-Category" id="2"/>
    <tableColumn name="Item" id="3"/>
    <tableColumn name="Weight" id="4"/>
    <tableColumn name="Cost" id="5"/>
    <tableColumn name="Cheap" id="6"/>
    <tableColumn name="Expensive" id="7"/>
    <tableColumn name="Source" id="8"/>
    <tableColumn name="Village" id="9"/>
    <tableColumn name="Town" id="10"/>
    <tableColumn name="City" id="11"/>
    <tableColumn name="Blacksmith" id="12"/>
    <tableColumn name="Fletcher" id="13"/>
    <tableColumn name="Leatherworker" id="14"/>
    <tableColumn name="Temple" id="15"/>
    <tableColumn name="General Store" id="16"/>
    <tableColumn name="Adventuring" id="17"/>
    <tableColumn name="Tailor" id="18"/>
    <tableColumn name="Jeweler" id="19"/>
    <tableColumn name="Potion" id="20"/>
    <tableColumn name="Arcane" id="21"/>
    <tableColumn name="Inn" id="22"/>
    <tableColumn name="Thieves" id="23"/>
    <tableColumn name="Musical" id="24"/>
    <tableColumn name="Armory" id="25"/>
  </tableColumns>
  <tableStyleInfo name="Master-style" showColumnStripes="0" showFirstColumn="1" showLastColumn="1" showRowStripes="1"/>
</table>
</file>

<file path=xl/tables/table2.xml><?xml version="1.0" encoding="utf-8"?>
<table xmlns="http://schemas.openxmlformats.org/spreadsheetml/2006/main" ref="A1:Y1001" displayName="Table_2" name="Table_2" id="2">
  <tableColumns count="25">
    <tableColumn name="Category" id="1"/>
    <tableColumn name="Sub-Category" id="2"/>
    <tableColumn name="Item" id="3"/>
    <tableColumn name="Weight" id="4"/>
    <tableColumn name="Cost" id="5"/>
    <tableColumn name="Cheap" id="6"/>
    <tableColumn name="Expensive" id="7"/>
    <tableColumn name="Source" id="8"/>
    <tableColumn name="Village" id="9"/>
    <tableColumn name="Town" id="10"/>
    <tableColumn name="City" id="11"/>
    <tableColumn name="Blacksmith" id="12"/>
    <tableColumn name="Fletcher" id="13"/>
    <tableColumn name="Leatherworker" id="14"/>
    <tableColumn name="Temple" id="15"/>
    <tableColumn name="General Store" id="16"/>
    <tableColumn name="Adventuring" id="17"/>
    <tableColumn name="Tailor" id="18"/>
    <tableColumn name="Jeweler" id="19"/>
    <tableColumn name="Potion" id="20"/>
    <tableColumn name="Arcane" id="21"/>
    <tableColumn name="Inn" id="22"/>
    <tableColumn name="Thieves" id="23"/>
    <tableColumn name="Musical" id="24"/>
    <tableColumn name="Armory" id="25"/>
  </tableColumns>
  <tableStyleInfo name="Blacksmith-style" showColumnStripes="0" showFirstColumn="1" showLastColumn="1" showRowStripes="1"/>
</table>
</file>

<file path=xl/tables/table3.xml><?xml version="1.0" encoding="utf-8"?>
<table xmlns="http://schemas.openxmlformats.org/spreadsheetml/2006/main" ref="A1:Y1001" displayName="Table_3" name="Table_3" id="3">
  <tableColumns count="25">
    <tableColumn name="Category" id="1"/>
    <tableColumn name="Sub-Category" id="2"/>
    <tableColumn name="Item" id="3"/>
    <tableColumn name="Weight" id="4"/>
    <tableColumn name="Cost" id="5"/>
    <tableColumn name="Cheap" id="6"/>
    <tableColumn name="Expensive" id="7"/>
    <tableColumn name="Source" id="8"/>
    <tableColumn name="Village" id="9"/>
    <tableColumn name="Town" id="10"/>
    <tableColumn name="City" id="11"/>
    <tableColumn name="Blacksmith" id="12"/>
    <tableColumn name="Fletcher" id="13"/>
    <tableColumn name="Leatherworker" id="14"/>
    <tableColumn name="Temple" id="15"/>
    <tableColumn name="General Store" id="16"/>
    <tableColumn name="Adventuring" id="17"/>
    <tableColumn name="Tailor" id="18"/>
    <tableColumn name="Jeweler" id="19"/>
    <tableColumn name="Potion" id="20"/>
    <tableColumn name="Arcane" id="21"/>
    <tableColumn name="Inn" id="22"/>
    <tableColumn name="Thieves" id="23"/>
    <tableColumn name="Musical" id="24"/>
    <tableColumn name="Armory" id="25"/>
  </tableColumns>
  <tableStyleInfo name="Fletcher-style" showColumnStripes="0" showFirstColumn="1" showLastColumn="1" showRowStripes="1"/>
</table>
</file>

<file path=xl/tables/table4.xml><?xml version="1.0" encoding="utf-8"?>
<table xmlns="http://schemas.openxmlformats.org/spreadsheetml/2006/main" ref="A1:Y1001" displayName="Table_4" name="Table_4" id="4">
  <tableColumns count="25">
    <tableColumn name="Category" id="1"/>
    <tableColumn name="Sub-Category" id="2"/>
    <tableColumn name="Item" id="3"/>
    <tableColumn name="Weight" id="4"/>
    <tableColumn name="Cost" id="5"/>
    <tableColumn name="Cheap" id="6"/>
    <tableColumn name="Expensive" id="7"/>
    <tableColumn name="Source" id="8"/>
    <tableColumn name="Village" id="9"/>
    <tableColumn name="Town" id="10"/>
    <tableColumn name="City" id="11"/>
    <tableColumn name="Blacksmith" id="12"/>
    <tableColumn name="Fletcher" id="13"/>
    <tableColumn name="Leatherworker" id="14"/>
    <tableColumn name="Temple" id="15"/>
    <tableColumn name="General Store" id="16"/>
    <tableColumn name="Adventuring" id="17"/>
    <tableColumn name="Tailor" id="18"/>
    <tableColumn name="Jeweler" id="19"/>
    <tableColumn name="Potion" id="20"/>
    <tableColumn name="Arcane" id="21"/>
    <tableColumn name="Inn" id="22"/>
    <tableColumn name="Thieves" id="23"/>
    <tableColumn name="Musical" id="24"/>
    <tableColumn name="Armory" id="25"/>
  </tableColumns>
  <tableStyleInfo name="Leatherwork-style" showColumnStripes="0" showFirstColumn="1" showLastColumn="1" showRowStripes="1"/>
</table>
</file>

<file path=xl/tables/table5.xml><?xml version="1.0" encoding="utf-8"?>
<table xmlns="http://schemas.openxmlformats.org/spreadsheetml/2006/main" ref="A1:Y1001" displayName="Table_5" name="Table_5" id="5">
  <tableColumns count="25">
    <tableColumn name="Category" id="1"/>
    <tableColumn name="Sub-Category" id="2"/>
    <tableColumn name="Item" id="3"/>
    <tableColumn name="Weight" id="4"/>
    <tableColumn name="Cost" id="5"/>
    <tableColumn name="Cheap" id="6"/>
    <tableColumn name="Expensive" id="7"/>
    <tableColumn name="Source" id="8"/>
    <tableColumn name="Village" id="9"/>
    <tableColumn name="Town" id="10"/>
    <tableColumn name="City" id="11"/>
    <tableColumn name="Blacksmith" id="12"/>
    <tableColumn name="Fletcher" id="13"/>
    <tableColumn name="Leatherworker" id="14"/>
    <tableColumn name="Temple" id="15"/>
    <tableColumn name="General Store" id="16"/>
    <tableColumn name="Adventuring" id="17"/>
    <tableColumn name="Tailor" id="18"/>
    <tableColumn name="Jeweler" id="19"/>
    <tableColumn name="Potion" id="20"/>
    <tableColumn name="Arcane" id="21"/>
    <tableColumn name="Inn" id="22"/>
    <tableColumn name="Thieves" id="23"/>
    <tableColumn name="Musical" id="24"/>
    <tableColumn name="Armory" id="25"/>
  </tableColumns>
  <tableStyleInfo name="Temple-style" showColumnStripes="0" showFirstColumn="1" showLastColumn="1" showRowStripes="1"/>
</table>
</file>

<file path=xl/tables/table6.xml><?xml version="1.0" encoding="utf-8"?>
<table xmlns="http://schemas.openxmlformats.org/spreadsheetml/2006/main" ref="A1:Y1001" displayName="Table_6" name="Table_6" id="6">
  <tableColumns count="25">
    <tableColumn name="Category" id="1"/>
    <tableColumn name="Sub-Category" id="2"/>
    <tableColumn name="Item" id="3"/>
    <tableColumn name="Weight" id="4"/>
    <tableColumn name="Cost" id="5"/>
    <tableColumn name="Cheap" id="6"/>
    <tableColumn name="Expensive" id="7"/>
    <tableColumn name="Source" id="8"/>
    <tableColumn name="Village" id="9"/>
    <tableColumn name="Town" id="10"/>
    <tableColumn name="City" id="11"/>
    <tableColumn name="Blacksmith" id="12"/>
    <tableColumn name="Fletcher" id="13"/>
    <tableColumn name="Leatherworker" id="14"/>
    <tableColumn name="Temple" id="15"/>
    <tableColumn name="General Store" id="16"/>
    <tableColumn name="Adventuring" id="17"/>
    <tableColumn name="Tailor" id="18"/>
    <tableColumn name="Jeweler" id="19"/>
    <tableColumn name="Potion" id="20"/>
    <tableColumn name="Arcane" id="21"/>
    <tableColumn name="Inn" id="22"/>
    <tableColumn name="Thieves" id="23"/>
    <tableColumn name="Musical" id="24"/>
    <tableColumn name="Armory" id="25"/>
  </tableColumns>
  <tableStyleInfo name="General Store-style" showColumnStripes="0" showFirstColumn="1" showLastColumn="1" showRowStripes="1"/>
</table>
</file>

<file path=xl/tables/table7.xml><?xml version="1.0" encoding="utf-8"?>
<table xmlns="http://schemas.openxmlformats.org/spreadsheetml/2006/main" ref="A1:Y1001" displayName="Table_7" name="Table_7" id="7">
  <tableColumns count="25">
    <tableColumn name="Category" id="1"/>
    <tableColumn name="Sub-Category" id="2"/>
    <tableColumn name="Item" id="3"/>
    <tableColumn name="Weight" id="4"/>
    <tableColumn name="Cost" id="5"/>
    <tableColumn name="Cheap" id="6"/>
    <tableColumn name="Expensive" id="7"/>
    <tableColumn name="Source" id="8"/>
    <tableColumn name="Village" id="9"/>
    <tableColumn name="Town" id="10"/>
    <tableColumn name="City" id="11"/>
    <tableColumn name="Blacksmith" id="12"/>
    <tableColumn name="Fletcher" id="13"/>
    <tableColumn name="Leatherworker" id="14"/>
    <tableColumn name="Temple" id="15"/>
    <tableColumn name="General Store" id="16"/>
    <tableColumn name="Adventuring" id="17"/>
    <tableColumn name="Tailor" id="18"/>
    <tableColumn name="Jeweler" id="19"/>
    <tableColumn name="Potion" id="20"/>
    <tableColumn name="Arcane" id="21"/>
    <tableColumn name="Inn" id="22"/>
    <tableColumn name="Thieves" id="23"/>
    <tableColumn name="Musical" id="24"/>
    <tableColumn name="Armory" id="25"/>
  </tableColumns>
  <tableStyleInfo name="Adventuring-style" showColumnStripes="0" showFirstColumn="1" showLastColumn="1" showRowStripes="1"/>
</table>
</file>

<file path=xl/tables/table8.xml><?xml version="1.0" encoding="utf-8"?>
<table xmlns="http://schemas.openxmlformats.org/spreadsheetml/2006/main" ref="A1:Y1001" displayName="Table_8" name="Table_8" id="8">
  <tableColumns count="25">
    <tableColumn name="Category" id="1"/>
    <tableColumn name="Sub-Category" id="2"/>
    <tableColumn name="Item" id="3"/>
    <tableColumn name="Weight" id="4"/>
    <tableColumn name="Cost" id="5"/>
    <tableColumn name="Cheap" id="6"/>
    <tableColumn name="Expensive" id="7"/>
    <tableColumn name="Source" id="8"/>
    <tableColumn name="Village" id="9"/>
    <tableColumn name="Town" id="10"/>
    <tableColumn name="City" id="11"/>
    <tableColumn name="Blacksmith" id="12"/>
    <tableColumn name="Fletcher" id="13"/>
    <tableColumn name="Leatherworker" id="14"/>
    <tableColumn name="Temple" id="15"/>
    <tableColumn name="General Store" id="16"/>
    <tableColumn name="Adventuring" id="17"/>
    <tableColumn name="Tailor" id="18"/>
    <tableColumn name="Jeweler" id="19"/>
    <tableColumn name="Potion" id="20"/>
    <tableColumn name="Arcane" id="21"/>
    <tableColumn name="Inn" id="22"/>
    <tableColumn name="Thieves" id="23"/>
    <tableColumn name="Musical" id="24"/>
    <tableColumn name="Armory" id="25"/>
  </tableColumns>
  <tableStyleInfo name="Tailor-style" showColumnStripes="0" showFirstColumn="1" showLastColumn="1" showRowStripes="1"/>
</table>
</file>

<file path=xl/tables/table9.xml><?xml version="1.0" encoding="utf-8"?>
<table xmlns="http://schemas.openxmlformats.org/spreadsheetml/2006/main" ref="A1:Y1001" displayName="Table_9" name="Table_9" id="9">
  <tableColumns count="25">
    <tableColumn name="Category" id="1"/>
    <tableColumn name="Sub-Category" id="2"/>
    <tableColumn name="Item" id="3"/>
    <tableColumn name="Weight" id="4"/>
    <tableColumn name="Cost" id="5"/>
    <tableColumn name="Cheap" id="6"/>
    <tableColumn name="Expensive" id="7"/>
    <tableColumn name="Source" id="8"/>
    <tableColumn name="Village" id="9"/>
    <tableColumn name="Town" id="10"/>
    <tableColumn name="City" id="11"/>
    <tableColumn name="Blacksmith" id="12"/>
    <tableColumn name="Fletcher" id="13"/>
    <tableColumn name="Leatherworker" id="14"/>
    <tableColumn name="Temple" id="15"/>
    <tableColumn name="General Store" id="16"/>
    <tableColumn name="Adventuring" id="17"/>
    <tableColumn name="Tailor" id="18"/>
    <tableColumn name="Jeweler" id="19"/>
    <tableColumn name="Potion" id="20"/>
    <tableColumn name="Arcane" id="21"/>
    <tableColumn name="Inn" id="22"/>
    <tableColumn name="Thieves" id="23"/>
    <tableColumn name="Musical" id="24"/>
    <tableColumn name="Armory" id="25"/>
  </tableColumns>
  <tableStyleInfo name="Jeweler-style" showColumnStripes="0" showFirstColumn="1" showLastColumn="1" showRowStripes="1"/>
</table>
</file>

<file path=xl/tables/table10.xml><?xml version="1.0" encoding="utf-8"?>
<table xmlns="http://schemas.openxmlformats.org/spreadsheetml/2006/main" ref="A1:Y1001" displayName="Table_10" name="Table_10" id="10">
  <tableColumns count="25">
    <tableColumn name="Category" id="1"/>
    <tableColumn name="Sub-Category" id="2"/>
    <tableColumn name="Item" id="3"/>
    <tableColumn name="Weight" id="4"/>
    <tableColumn name="Cost" id="5"/>
    <tableColumn name="Cheap" id="6"/>
    <tableColumn name="Expensive" id="7"/>
    <tableColumn name="Source" id="8"/>
    <tableColumn name="Village" id="9"/>
    <tableColumn name="Town" id="10"/>
    <tableColumn name="City" id="11"/>
    <tableColumn name="Blacksmith" id="12"/>
    <tableColumn name="Fletcher" id="13"/>
    <tableColumn name="Leatherworker" id="14"/>
    <tableColumn name="Temple" id="15"/>
    <tableColumn name="General Store" id="16"/>
    <tableColumn name="Adventuring" id="17"/>
    <tableColumn name="Tailor" id="18"/>
    <tableColumn name="Jeweler" id="19"/>
    <tableColumn name="Potion" id="20"/>
    <tableColumn name="Arcane" id="21"/>
    <tableColumn name="Inn" id="22"/>
    <tableColumn name="Thieves" id="23"/>
    <tableColumn name="Musical" id="24"/>
    <tableColumn name="Armory" id="25"/>
  </tableColumns>
  <tableStyleInfo name="Potion-style" showColumnStripes="0" showFirstColumn="1" showLastColumn="1" showRowStripes="1"/>
</table>
</file>

<file path=xl/tables/table11.xml><?xml version="1.0" encoding="utf-8"?>
<table xmlns="http://schemas.openxmlformats.org/spreadsheetml/2006/main" ref="A1:Y1001" displayName="Table_11" name="Table_11" id="11">
  <tableColumns count="25">
    <tableColumn name="Category" id="1"/>
    <tableColumn name="Sub-Category" id="2"/>
    <tableColumn name="Item" id="3"/>
    <tableColumn name="Weight" id="4"/>
    <tableColumn name="Cost" id="5"/>
    <tableColumn name="Cheap" id="6"/>
    <tableColumn name="Expensive" id="7"/>
    <tableColumn name="Source" id="8"/>
    <tableColumn name="Village" id="9"/>
    <tableColumn name="Town" id="10"/>
    <tableColumn name="City" id="11"/>
    <tableColumn name="Blacksmith" id="12"/>
    <tableColumn name="Fletcher" id="13"/>
    <tableColumn name="Leatherworker" id="14"/>
    <tableColumn name="Temple" id="15"/>
    <tableColumn name="General Store" id="16"/>
    <tableColumn name="Adventuring" id="17"/>
    <tableColumn name="Tailor" id="18"/>
    <tableColumn name="Jeweler" id="19"/>
    <tableColumn name="Potion" id="20"/>
    <tableColumn name="Arcane" id="21"/>
    <tableColumn name="Inn" id="22"/>
    <tableColumn name="Thieves" id="23"/>
    <tableColumn name="Musical" id="24"/>
    <tableColumn name="Armory" id="25"/>
  </tableColumns>
  <tableStyleInfo name="Arcane-style" showColumnStripes="0" showFirstColumn="1" showLastColumn="1" showRowStripes="1"/>
</table>
</file>

<file path=xl/tables/table12.xml><?xml version="1.0" encoding="utf-8"?>
<table xmlns="http://schemas.openxmlformats.org/spreadsheetml/2006/main" ref="A1:Y1001" displayName="Table_12" name="Table_12" id="12">
  <tableColumns count="25">
    <tableColumn name="Category" id="1"/>
    <tableColumn name="Sub-Category" id="2"/>
    <tableColumn name="Item" id="3"/>
    <tableColumn name="Weight" id="4"/>
    <tableColumn name="Cost" id="5"/>
    <tableColumn name="Cheap" id="6"/>
    <tableColumn name="Expensive" id="7"/>
    <tableColumn name="Source" id="8"/>
    <tableColumn name="Village" id="9"/>
    <tableColumn name="Town" id="10"/>
    <tableColumn name="City" id="11"/>
    <tableColumn name="Blacksmith" id="12"/>
    <tableColumn name="Fletcher" id="13"/>
    <tableColumn name="Leatherworker" id="14"/>
    <tableColumn name="Temple" id="15"/>
    <tableColumn name="General Store" id="16"/>
    <tableColumn name="Adventuring" id="17"/>
    <tableColumn name="Tailor" id="18"/>
    <tableColumn name="Jeweler" id="19"/>
    <tableColumn name="Potion" id="20"/>
    <tableColumn name="Arcane" id="21"/>
    <tableColumn name="Inn" id="22"/>
    <tableColumn name="Thieves" id="23"/>
    <tableColumn name="Musical" id="24"/>
    <tableColumn name="Armory" id="25"/>
  </tableColumns>
  <tableStyleInfo name="Inn-style" showColumnStripes="0" showFirstColumn="1" showLastColumn="1" showRowStripes="1"/>
</table>
</file>

<file path=xl/tables/table13.xml><?xml version="1.0" encoding="utf-8"?>
<table xmlns="http://schemas.openxmlformats.org/spreadsheetml/2006/main" ref="A1:Y1001" displayName="Table_13" name="Table_13" id="13">
  <tableColumns count="25">
    <tableColumn name="Category" id="1"/>
    <tableColumn name="Sub-Category" id="2"/>
    <tableColumn name="Item" id="3"/>
    <tableColumn name="Weight" id="4"/>
    <tableColumn name="Cost" id="5"/>
    <tableColumn name="Cheap" id="6"/>
    <tableColumn name="Expensive" id="7"/>
    <tableColumn name="Source" id="8"/>
    <tableColumn name="Village" id="9"/>
    <tableColumn name="Town" id="10"/>
    <tableColumn name="City" id="11"/>
    <tableColumn name="Blacksmith" id="12"/>
    <tableColumn name="Fletcher" id="13"/>
    <tableColumn name="Leatherworker" id="14"/>
    <tableColumn name="Temple" id="15"/>
    <tableColumn name="General Store" id="16"/>
    <tableColumn name="Adventuring" id="17"/>
    <tableColumn name="Tailor" id="18"/>
    <tableColumn name="Jeweler" id="19"/>
    <tableColumn name="Potion" id="20"/>
    <tableColumn name="Arcane" id="21"/>
    <tableColumn name="Inn" id="22"/>
    <tableColumn name="Thieves" id="23"/>
    <tableColumn name="Musical" id="24"/>
    <tableColumn name="Armory" id="25"/>
  </tableColumns>
  <tableStyleInfo name="Thieves-style" showColumnStripes="0" showFirstColumn="1" showLastColumn="1" showRowStripes="1"/>
</table>
</file>

<file path=xl/tables/table14.xml><?xml version="1.0" encoding="utf-8"?>
<table xmlns="http://schemas.openxmlformats.org/spreadsheetml/2006/main" ref="A1:Y1001" displayName="Table_14" name="Table_14" id="14">
  <tableColumns count="25">
    <tableColumn name="Category" id="1"/>
    <tableColumn name="Sub-Category" id="2"/>
    <tableColumn name="Item" id="3"/>
    <tableColumn name="Weight" id="4"/>
    <tableColumn name="Cost" id="5"/>
    <tableColumn name="Cheap" id="6"/>
    <tableColumn name="Expensive" id="7"/>
    <tableColumn name="Source" id="8"/>
    <tableColumn name="Village" id="9"/>
    <tableColumn name="Town" id="10"/>
    <tableColumn name="City" id="11"/>
    <tableColumn name="Blacksmith" id="12"/>
    <tableColumn name="Fletcher" id="13"/>
    <tableColumn name="Leatherworker" id="14"/>
    <tableColumn name="Temple" id="15"/>
    <tableColumn name="General Store" id="16"/>
    <tableColumn name="Adventuring" id="17"/>
    <tableColumn name="Tailor" id="18"/>
    <tableColumn name="Jeweler" id="19"/>
    <tableColumn name="Potion" id="20"/>
    <tableColumn name="Arcane" id="21"/>
    <tableColumn name="Inn" id="22"/>
    <tableColumn name="Thieves" id="23"/>
    <tableColumn name="Musical" id="24"/>
    <tableColumn name="Armory" id="25"/>
  </tableColumns>
  <tableStyleInfo name="Musical-style" showColumnStripes="0" showFirstColumn="1" showLastColumn="1" showRowStripes="1"/>
</table>
</file>

<file path=xl/tables/table15.xml><?xml version="1.0" encoding="utf-8"?>
<table xmlns="http://schemas.openxmlformats.org/spreadsheetml/2006/main" ref="A1:Y1001" displayName="Table_15" name="Table_15" id="15">
  <tableColumns count="25">
    <tableColumn name="Category" id="1"/>
    <tableColumn name="Sub-Category" id="2"/>
    <tableColumn name="Item" id="3"/>
    <tableColumn name="Weight" id="4"/>
    <tableColumn name="Cost" id="5"/>
    <tableColumn name="Cheap" id="6"/>
    <tableColumn name="Expensive" id="7"/>
    <tableColumn name="Source" id="8"/>
    <tableColumn name="Village" id="9"/>
    <tableColumn name="Town" id="10"/>
    <tableColumn name="City" id="11"/>
    <tableColumn name="Blacksmith" id="12"/>
    <tableColumn name="Fletcher" id="13"/>
    <tableColumn name="Leatherworker" id="14"/>
    <tableColumn name="Temple" id="15"/>
    <tableColumn name="General Store" id="16"/>
    <tableColumn name="Adventuring" id="17"/>
    <tableColumn name="Tailor" id="18"/>
    <tableColumn name="Jeweler" id="19"/>
    <tableColumn name="Potion" id="20"/>
    <tableColumn name="Arcane" id="21"/>
    <tableColumn name="Inn" id="22"/>
    <tableColumn name="Thieves" id="23"/>
    <tableColumn name="Musical" id="24"/>
    <tableColumn name="Armory" id="25"/>
  </tableColumns>
  <tableStyleInfo name="Arm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8.25"/>
    <col customWidth="1" min="3" max="3" width="28.88"/>
    <col customWidth="1" min="4" max="4" width="7.75"/>
    <col customWidth="1" min="5" max="7" width="11.88"/>
    <col customWidth="1" min="8" max="11" width="8.38"/>
    <col customWidth="1" min="12" max="12" width="9.63"/>
    <col customWidth="1" min="13" max="13" width="7.5"/>
    <col customWidth="1" min="14" max="14" width="12.63"/>
    <col customWidth="1" min="15" max="15" width="6.88"/>
    <col customWidth="1" min="16" max="16" width="12.13"/>
    <col customWidth="1" min="17" max="17" width="10.63"/>
    <col customWidth="1" min="18" max="18" width="5.5"/>
    <col customWidth="1" min="19" max="19" width="7.38"/>
    <col customWidth="1" min="20" max="20" width="6.13"/>
    <col customWidth="1" min="21" max="21" width="6.63"/>
    <col customWidth="1" min="22" max="22" width="3.5"/>
    <col customWidth="1" min="23" max="23" width="7.13"/>
    <col customWidth="1" min="24" max="24" width="7.0"/>
    <col customWidth="1" min="25" max="25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">
        <v>25</v>
      </c>
      <c r="B2" s="4" t="s">
        <v>26</v>
      </c>
      <c r="C2" s="4" t="s">
        <v>27</v>
      </c>
      <c r="D2" s="5">
        <v>1.0</v>
      </c>
      <c r="E2" s="6">
        <v>25.0</v>
      </c>
      <c r="F2" s="6">
        <f t="shared" ref="F2:F239" si="1">E2*0.75</f>
        <v>18.75</v>
      </c>
      <c r="G2" s="6">
        <f t="shared" ref="G2:G239" si="2">E2*1.5</f>
        <v>37.5</v>
      </c>
      <c r="H2" s="4" t="s">
        <v>28</v>
      </c>
      <c r="I2" s="4" t="s">
        <v>29</v>
      </c>
      <c r="J2" s="4" t="s">
        <v>29</v>
      </c>
      <c r="K2" s="4" t="s">
        <v>29</v>
      </c>
      <c r="L2" s="7"/>
      <c r="M2" s="7"/>
      <c r="N2" s="7"/>
      <c r="O2" s="7"/>
      <c r="P2" s="7"/>
      <c r="Q2" s="7"/>
      <c r="R2" s="7"/>
      <c r="S2" s="7"/>
      <c r="T2" s="4" t="s">
        <v>29</v>
      </c>
      <c r="U2" s="7"/>
      <c r="V2" s="7"/>
      <c r="W2" s="7"/>
      <c r="X2" s="7"/>
      <c r="Y2" s="7"/>
    </row>
    <row r="3">
      <c r="A3" s="4" t="s">
        <v>25</v>
      </c>
      <c r="B3" s="4" t="s">
        <v>26</v>
      </c>
      <c r="C3" s="4" t="s">
        <v>30</v>
      </c>
      <c r="D3" s="5">
        <v>1.0</v>
      </c>
      <c r="E3" s="6">
        <v>50.0</v>
      </c>
      <c r="F3" s="6">
        <f t="shared" si="1"/>
        <v>37.5</v>
      </c>
      <c r="G3" s="6">
        <f t="shared" si="2"/>
        <v>75</v>
      </c>
      <c r="H3" s="4" t="s">
        <v>28</v>
      </c>
      <c r="I3" s="4"/>
      <c r="J3" s="4" t="s">
        <v>29</v>
      </c>
      <c r="K3" s="4" t="s">
        <v>29</v>
      </c>
      <c r="L3" s="7"/>
      <c r="M3" s="7"/>
      <c r="N3" s="7"/>
      <c r="O3" s="7"/>
      <c r="P3" s="7"/>
      <c r="Q3" s="7"/>
      <c r="R3" s="7"/>
      <c r="S3" s="7"/>
      <c r="T3" s="4" t="s">
        <v>29</v>
      </c>
      <c r="U3" s="7"/>
      <c r="V3" s="7"/>
      <c r="W3" s="7"/>
      <c r="X3" s="7"/>
      <c r="Y3" s="7"/>
    </row>
    <row r="4">
      <c r="A4" s="4" t="s">
        <v>25</v>
      </c>
      <c r="B4" s="4" t="s">
        <v>31</v>
      </c>
      <c r="C4" s="4" t="s">
        <v>32</v>
      </c>
      <c r="D4" s="5">
        <v>1.0</v>
      </c>
      <c r="E4" s="6">
        <v>1.0</v>
      </c>
      <c r="F4" s="6">
        <f t="shared" si="1"/>
        <v>0.75</v>
      </c>
      <c r="G4" s="6">
        <f t="shared" si="2"/>
        <v>1.5</v>
      </c>
      <c r="H4" s="4" t="s">
        <v>28</v>
      </c>
      <c r="I4" s="4" t="s">
        <v>29</v>
      </c>
      <c r="J4" s="4" t="s">
        <v>29</v>
      </c>
      <c r="K4" s="4" t="s">
        <v>29</v>
      </c>
      <c r="L4" s="7"/>
      <c r="M4" s="4" t="s">
        <v>29</v>
      </c>
      <c r="N4" s="7"/>
      <c r="O4" s="7"/>
      <c r="P4" s="7"/>
      <c r="Q4" s="4" t="s">
        <v>29</v>
      </c>
      <c r="R4" s="7"/>
      <c r="S4" s="7"/>
      <c r="T4" s="7"/>
      <c r="U4" s="7"/>
      <c r="V4" s="7"/>
      <c r="W4" s="7"/>
      <c r="X4" s="7"/>
      <c r="Y4" s="7"/>
    </row>
    <row r="5">
      <c r="A5" s="4" t="s">
        <v>25</v>
      </c>
      <c r="B5" s="4" t="s">
        <v>31</v>
      </c>
      <c r="C5" s="4" t="s">
        <v>33</v>
      </c>
      <c r="D5" s="5">
        <v>1.5</v>
      </c>
      <c r="E5" s="6">
        <v>1.0</v>
      </c>
      <c r="F5" s="6">
        <f t="shared" si="1"/>
        <v>0.75</v>
      </c>
      <c r="G5" s="6">
        <f t="shared" si="2"/>
        <v>1.5</v>
      </c>
      <c r="H5" s="4" t="s">
        <v>28</v>
      </c>
      <c r="I5" s="4" t="s">
        <v>29</v>
      </c>
      <c r="J5" s="4" t="s">
        <v>29</v>
      </c>
      <c r="K5" s="4" t="s">
        <v>29</v>
      </c>
      <c r="L5" s="7"/>
      <c r="M5" s="4" t="s">
        <v>29</v>
      </c>
      <c r="N5" s="7"/>
      <c r="O5" s="7"/>
      <c r="P5" s="7"/>
      <c r="Q5" s="4" t="s">
        <v>29</v>
      </c>
      <c r="R5" s="7"/>
      <c r="S5" s="7"/>
      <c r="T5" s="7"/>
      <c r="U5" s="7"/>
      <c r="V5" s="7"/>
      <c r="W5" s="7"/>
      <c r="X5" s="7"/>
      <c r="Y5" s="7"/>
    </row>
    <row r="6">
      <c r="A6" s="4" t="s">
        <v>25</v>
      </c>
      <c r="B6" s="4" t="s">
        <v>31</v>
      </c>
      <c r="C6" s="4" t="s">
        <v>34</v>
      </c>
      <c r="D6" s="5">
        <v>2.0</v>
      </c>
      <c r="E6" s="6">
        <v>3.0</v>
      </c>
      <c r="F6" s="6">
        <f t="shared" si="1"/>
        <v>2.25</v>
      </c>
      <c r="G6" s="6">
        <f t="shared" si="2"/>
        <v>4.5</v>
      </c>
      <c r="H6" s="4" t="s">
        <v>28</v>
      </c>
      <c r="I6" s="4"/>
      <c r="J6" s="4"/>
      <c r="K6" s="4" t="s">
        <v>29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4"/>
      <c r="X6" s="4"/>
      <c r="Y6" s="4" t="s">
        <v>29</v>
      </c>
    </row>
    <row r="7">
      <c r="A7" s="4" t="s">
        <v>25</v>
      </c>
      <c r="B7" s="4" t="s">
        <v>31</v>
      </c>
      <c r="C7" s="4" t="s">
        <v>35</v>
      </c>
      <c r="D7" s="5">
        <v>1.5</v>
      </c>
      <c r="E7" s="6">
        <v>0.04</v>
      </c>
      <c r="F7" s="6">
        <f t="shared" si="1"/>
        <v>0.03</v>
      </c>
      <c r="G7" s="6">
        <f t="shared" si="2"/>
        <v>0.06</v>
      </c>
      <c r="H7" s="4" t="s">
        <v>28</v>
      </c>
      <c r="I7" s="4" t="s">
        <v>29</v>
      </c>
      <c r="J7" s="4" t="s">
        <v>29</v>
      </c>
      <c r="K7" s="4" t="s">
        <v>29</v>
      </c>
      <c r="L7" s="7"/>
      <c r="M7" s="7"/>
      <c r="N7" s="7"/>
      <c r="O7" s="7"/>
      <c r="P7" s="7"/>
      <c r="Q7" s="4" t="s">
        <v>29</v>
      </c>
      <c r="R7" s="7"/>
      <c r="S7" s="7"/>
      <c r="T7" s="7"/>
      <c r="U7" s="7"/>
      <c r="V7" s="7"/>
      <c r="W7" s="7"/>
      <c r="X7" s="7"/>
      <c r="Y7" s="7"/>
    </row>
    <row r="8">
      <c r="A8" s="4" t="s">
        <v>25</v>
      </c>
      <c r="B8" s="4" t="s">
        <v>31</v>
      </c>
      <c r="C8" s="4" t="s">
        <v>36</v>
      </c>
      <c r="D8" s="5">
        <v>1.0</v>
      </c>
      <c r="E8" s="6">
        <v>1.0</v>
      </c>
      <c r="F8" s="6">
        <f t="shared" si="1"/>
        <v>0.75</v>
      </c>
      <c r="G8" s="6">
        <f t="shared" si="2"/>
        <v>1.5</v>
      </c>
      <c r="H8" s="4" t="s">
        <v>28</v>
      </c>
      <c r="I8" s="4" t="s">
        <v>29</v>
      </c>
      <c r="J8" s="4" t="s">
        <v>29</v>
      </c>
      <c r="K8" s="4" t="s">
        <v>29</v>
      </c>
      <c r="L8" s="7"/>
      <c r="M8" s="7"/>
      <c r="N8" s="7"/>
      <c r="O8" s="7"/>
      <c r="P8" s="7"/>
      <c r="Q8" s="4" t="s">
        <v>29</v>
      </c>
      <c r="R8" s="7"/>
      <c r="S8" s="7"/>
      <c r="T8" s="7"/>
      <c r="U8" s="7"/>
      <c r="V8" s="7"/>
      <c r="W8" s="7"/>
      <c r="X8" s="7"/>
      <c r="Y8" s="7"/>
    </row>
    <row r="9">
      <c r="A9" s="4" t="s">
        <v>25</v>
      </c>
      <c r="B9" s="4" t="s">
        <v>26</v>
      </c>
      <c r="C9" s="4" t="s">
        <v>37</v>
      </c>
      <c r="D9" s="5" t="s">
        <v>26</v>
      </c>
      <c r="E9" s="6">
        <v>50.0</v>
      </c>
      <c r="F9" s="6">
        <f t="shared" si="1"/>
        <v>37.5</v>
      </c>
      <c r="G9" s="6">
        <f t="shared" si="2"/>
        <v>75</v>
      </c>
      <c r="H9" s="4" t="s">
        <v>28</v>
      </c>
      <c r="I9" s="4" t="s">
        <v>29</v>
      </c>
      <c r="J9" s="4" t="s">
        <v>29</v>
      </c>
      <c r="K9" s="4" t="s">
        <v>29</v>
      </c>
      <c r="L9" s="7"/>
      <c r="M9" s="7"/>
      <c r="N9" s="7"/>
      <c r="O9" s="7"/>
      <c r="P9" s="7"/>
      <c r="Q9" s="7"/>
      <c r="R9" s="7"/>
      <c r="S9" s="7"/>
      <c r="T9" s="4" t="s">
        <v>29</v>
      </c>
      <c r="U9" s="7"/>
      <c r="V9" s="7"/>
      <c r="W9" s="7"/>
      <c r="X9" s="7"/>
      <c r="Y9" s="7"/>
    </row>
    <row r="10">
      <c r="A10" s="4" t="s">
        <v>25</v>
      </c>
      <c r="B10" s="4" t="s">
        <v>38</v>
      </c>
      <c r="C10" s="4" t="s">
        <v>39</v>
      </c>
      <c r="D10" s="5">
        <v>1.0</v>
      </c>
      <c r="E10" s="6">
        <v>10.0</v>
      </c>
      <c r="F10" s="6">
        <f t="shared" si="1"/>
        <v>7.5</v>
      </c>
      <c r="G10" s="6">
        <f t="shared" si="2"/>
        <v>15</v>
      </c>
      <c r="H10" s="4" t="s">
        <v>28</v>
      </c>
      <c r="I10" s="4" t="s">
        <v>29</v>
      </c>
      <c r="J10" s="4" t="s">
        <v>29</v>
      </c>
      <c r="K10" s="4" t="s">
        <v>29</v>
      </c>
      <c r="L10" s="7"/>
      <c r="M10" s="7"/>
      <c r="N10" s="7"/>
      <c r="O10" s="7"/>
      <c r="P10" s="7"/>
      <c r="Q10" s="7"/>
      <c r="R10" s="7"/>
      <c r="S10" s="4" t="s">
        <v>29</v>
      </c>
      <c r="T10" s="7"/>
      <c r="U10" s="4" t="s">
        <v>29</v>
      </c>
      <c r="V10" s="7"/>
      <c r="W10" s="7"/>
      <c r="X10" s="7"/>
      <c r="Y10" s="7"/>
    </row>
    <row r="11">
      <c r="A11" s="4" t="s">
        <v>25</v>
      </c>
      <c r="B11" s="4" t="s">
        <v>38</v>
      </c>
      <c r="C11" s="4" t="s">
        <v>40</v>
      </c>
      <c r="D11" s="5">
        <v>3.0</v>
      </c>
      <c r="E11" s="6">
        <v>20.0</v>
      </c>
      <c r="F11" s="6">
        <f t="shared" si="1"/>
        <v>15</v>
      </c>
      <c r="G11" s="6">
        <f t="shared" si="2"/>
        <v>30</v>
      </c>
      <c r="H11" s="4" t="s">
        <v>28</v>
      </c>
      <c r="I11" s="4"/>
      <c r="J11" s="4"/>
      <c r="K11" s="4" t="s">
        <v>29</v>
      </c>
      <c r="L11" s="7"/>
      <c r="M11" s="7"/>
      <c r="N11" s="7"/>
      <c r="O11" s="7"/>
      <c r="P11" s="7"/>
      <c r="Q11" s="7"/>
      <c r="R11" s="7"/>
      <c r="S11" s="4" t="s">
        <v>29</v>
      </c>
      <c r="T11" s="7"/>
      <c r="U11" s="4" t="s">
        <v>29</v>
      </c>
      <c r="V11" s="7"/>
      <c r="W11" s="7"/>
      <c r="X11" s="7"/>
      <c r="Y11" s="7"/>
    </row>
    <row r="12">
      <c r="A12" s="4" t="s">
        <v>25</v>
      </c>
      <c r="B12" s="4" t="s">
        <v>38</v>
      </c>
      <c r="C12" s="4" t="s">
        <v>41</v>
      </c>
      <c r="D12" s="5">
        <v>2.0</v>
      </c>
      <c r="E12" s="6">
        <v>10.0</v>
      </c>
      <c r="F12" s="6">
        <f t="shared" si="1"/>
        <v>7.5</v>
      </c>
      <c r="G12" s="6">
        <f t="shared" si="2"/>
        <v>15</v>
      </c>
      <c r="H12" s="4" t="s">
        <v>28</v>
      </c>
      <c r="I12" s="4"/>
      <c r="J12" s="4" t="s">
        <v>29</v>
      </c>
      <c r="K12" s="4" t="s">
        <v>29</v>
      </c>
      <c r="L12" s="7"/>
      <c r="M12" s="7"/>
      <c r="N12" s="7"/>
      <c r="O12" s="7"/>
      <c r="P12" s="7"/>
      <c r="Q12" s="7"/>
      <c r="R12" s="7"/>
      <c r="S12" s="7"/>
      <c r="T12" s="7"/>
      <c r="U12" s="4" t="s">
        <v>29</v>
      </c>
      <c r="V12" s="7"/>
      <c r="W12" s="7"/>
      <c r="X12" s="7"/>
      <c r="Y12" s="7"/>
    </row>
    <row r="13">
      <c r="A13" s="4" t="s">
        <v>25</v>
      </c>
      <c r="B13" s="4" t="s">
        <v>38</v>
      </c>
      <c r="C13" s="4" t="s">
        <v>42</v>
      </c>
      <c r="D13" s="5">
        <v>4.0</v>
      </c>
      <c r="E13" s="6">
        <v>5.0</v>
      </c>
      <c r="F13" s="6">
        <f t="shared" si="1"/>
        <v>3.75</v>
      </c>
      <c r="G13" s="6">
        <f t="shared" si="2"/>
        <v>7.5</v>
      </c>
      <c r="H13" s="4" t="s">
        <v>28</v>
      </c>
      <c r="I13" s="4" t="s">
        <v>29</v>
      </c>
      <c r="J13" s="4" t="s">
        <v>29</v>
      </c>
      <c r="K13" s="4" t="s">
        <v>29</v>
      </c>
      <c r="L13" s="7"/>
      <c r="M13" s="7"/>
      <c r="N13" s="7"/>
      <c r="O13" s="7"/>
      <c r="P13" s="7"/>
      <c r="Q13" s="7"/>
      <c r="R13" s="7"/>
      <c r="S13" s="7"/>
      <c r="T13" s="7"/>
      <c r="U13" s="4" t="s">
        <v>29</v>
      </c>
      <c r="V13" s="7"/>
      <c r="W13" s="7"/>
      <c r="X13" s="7"/>
      <c r="Y13" s="7"/>
    </row>
    <row r="14">
      <c r="A14" s="4" t="s">
        <v>25</v>
      </c>
      <c r="B14" s="4" t="s">
        <v>38</v>
      </c>
      <c r="C14" s="4" t="s">
        <v>43</v>
      </c>
      <c r="D14" s="5">
        <v>1.0</v>
      </c>
      <c r="E14" s="6">
        <v>10.0</v>
      </c>
      <c r="F14" s="6">
        <f t="shared" si="1"/>
        <v>7.5</v>
      </c>
      <c r="G14" s="6">
        <f t="shared" si="2"/>
        <v>15</v>
      </c>
      <c r="H14" s="4" t="s">
        <v>28</v>
      </c>
      <c r="I14" s="4" t="s">
        <v>29</v>
      </c>
      <c r="J14" s="4" t="s">
        <v>29</v>
      </c>
      <c r="K14" s="4" t="s">
        <v>29</v>
      </c>
      <c r="L14" s="7"/>
      <c r="M14" s="7"/>
      <c r="N14" s="7"/>
      <c r="O14" s="7"/>
      <c r="P14" s="7"/>
      <c r="Q14" s="7"/>
      <c r="R14" s="7"/>
      <c r="S14" s="7"/>
      <c r="T14" s="7"/>
      <c r="U14" s="4" t="s">
        <v>29</v>
      </c>
      <c r="V14" s="7"/>
      <c r="W14" s="7"/>
      <c r="X14" s="7"/>
      <c r="Y14" s="7"/>
    </row>
    <row r="15">
      <c r="A15" s="4" t="s">
        <v>25</v>
      </c>
      <c r="B15" s="4" t="s">
        <v>26</v>
      </c>
      <c r="C15" s="4" t="s">
        <v>44</v>
      </c>
      <c r="D15" s="5">
        <v>5.0</v>
      </c>
      <c r="E15" s="6">
        <v>2.0</v>
      </c>
      <c r="F15" s="6">
        <f t="shared" si="1"/>
        <v>1.5</v>
      </c>
      <c r="G15" s="6">
        <f t="shared" si="2"/>
        <v>3</v>
      </c>
      <c r="H15" s="4" t="s">
        <v>28</v>
      </c>
      <c r="I15" s="4" t="s">
        <v>29</v>
      </c>
      <c r="J15" s="4" t="s">
        <v>29</v>
      </c>
      <c r="K15" s="4" t="s">
        <v>29</v>
      </c>
      <c r="L15" s="7"/>
      <c r="M15" s="7"/>
      <c r="N15" s="7"/>
      <c r="O15" s="7"/>
      <c r="P15" s="7"/>
      <c r="Q15" s="4" t="s">
        <v>29</v>
      </c>
      <c r="R15" s="7"/>
      <c r="S15" s="7"/>
      <c r="T15" s="7"/>
      <c r="U15" s="7"/>
      <c r="V15" s="7"/>
      <c r="W15" s="7"/>
      <c r="X15" s="7"/>
      <c r="Y15" s="7"/>
    </row>
    <row r="16">
      <c r="A16" s="4" t="s">
        <v>25</v>
      </c>
      <c r="B16" s="4" t="s">
        <v>26</v>
      </c>
      <c r="C16" s="4" t="s">
        <v>45</v>
      </c>
      <c r="D16" s="5">
        <v>2.0</v>
      </c>
      <c r="E16" s="6">
        <v>1.0</v>
      </c>
      <c r="F16" s="6">
        <f t="shared" si="1"/>
        <v>0.75</v>
      </c>
      <c r="G16" s="6">
        <f t="shared" si="2"/>
        <v>1.5</v>
      </c>
      <c r="H16" s="4" t="s">
        <v>28</v>
      </c>
      <c r="I16" s="4" t="s">
        <v>29</v>
      </c>
      <c r="J16" s="4" t="s">
        <v>29</v>
      </c>
      <c r="K16" s="4" t="s">
        <v>29</v>
      </c>
      <c r="L16" s="4" t="s">
        <v>29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4" t="s">
        <v>25</v>
      </c>
      <c r="B17" s="4" t="s">
        <v>26</v>
      </c>
      <c r="C17" s="4" t="s">
        <v>46</v>
      </c>
      <c r="D17" s="5">
        <v>70.0</v>
      </c>
      <c r="E17" s="6">
        <v>2.0</v>
      </c>
      <c r="F17" s="6">
        <f t="shared" si="1"/>
        <v>1.5</v>
      </c>
      <c r="G17" s="6">
        <f t="shared" si="2"/>
        <v>3</v>
      </c>
      <c r="H17" s="4" t="s">
        <v>28</v>
      </c>
      <c r="I17" s="4" t="s">
        <v>29</v>
      </c>
      <c r="J17" s="4" t="s">
        <v>29</v>
      </c>
      <c r="K17" s="4" t="s">
        <v>29</v>
      </c>
      <c r="L17" s="7"/>
      <c r="M17" s="7"/>
      <c r="N17" s="7"/>
      <c r="O17" s="7"/>
      <c r="P17" s="4" t="s">
        <v>29</v>
      </c>
      <c r="Q17" s="7"/>
      <c r="R17" s="7"/>
      <c r="S17" s="7"/>
      <c r="T17" s="7"/>
      <c r="U17" s="7"/>
      <c r="V17" s="7"/>
      <c r="W17" s="7"/>
      <c r="X17" s="7"/>
      <c r="Y17" s="7"/>
    </row>
    <row r="18">
      <c r="A18" s="4" t="s">
        <v>25</v>
      </c>
      <c r="B18" s="4" t="s">
        <v>26</v>
      </c>
      <c r="C18" s="4" t="s">
        <v>47</v>
      </c>
      <c r="D18" s="5">
        <v>2.0</v>
      </c>
      <c r="E18" s="6">
        <v>0.4</v>
      </c>
      <c r="F18" s="6">
        <f t="shared" si="1"/>
        <v>0.3</v>
      </c>
      <c r="G18" s="6">
        <f t="shared" si="2"/>
        <v>0.6</v>
      </c>
      <c r="H18" s="4" t="s">
        <v>28</v>
      </c>
      <c r="I18" s="4" t="s">
        <v>29</v>
      </c>
      <c r="J18" s="4" t="s">
        <v>29</v>
      </c>
      <c r="K18" s="4" t="s">
        <v>29</v>
      </c>
      <c r="L18" s="7"/>
      <c r="M18" s="7"/>
      <c r="N18" s="7"/>
      <c r="O18" s="7"/>
      <c r="P18" s="7"/>
      <c r="Q18" s="7"/>
      <c r="R18" s="4" t="s">
        <v>29</v>
      </c>
      <c r="S18" s="7"/>
      <c r="T18" s="7"/>
      <c r="U18" s="7"/>
      <c r="V18" s="7"/>
      <c r="W18" s="7"/>
      <c r="X18" s="7"/>
      <c r="Y18" s="7"/>
    </row>
    <row r="19">
      <c r="A19" s="4" t="s">
        <v>25</v>
      </c>
      <c r="B19" s="4" t="s">
        <v>26</v>
      </c>
      <c r="C19" s="4" t="s">
        <v>48</v>
      </c>
      <c r="D19" s="5">
        <v>7.0</v>
      </c>
      <c r="E19" s="6">
        <v>1.0</v>
      </c>
      <c r="F19" s="6">
        <f t="shared" si="1"/>
        <v>0.75</v>
      </c>
      <c r="G19" s="6">
        <f t="shared" si="2"/>
        <v>1.5</v>
      </c>
      <c r="H19" s="4" t="s">
        <v>28</v>
      </c>
      <c r="I19" s="4" t="s">
        <v>29</v>
      </c>
      <c r="J19" s="4" t="s">
        <v>29</v>
      </c>
      <c r="K19" s="4" t="s">
        <v>29</v>
      </c>
      <c r="L19" s="7"/>
      <c r="M19" s="7"/>
      <c r="N19" s="7"/>
      <c r="O19" s="7"/>
      <c r="P19" s="7"/>
      <c r="Q19" s="4" t="s">
        <v>29</v>
      </c>
      <c r="R19" s="7"/>
      <c r="S19" s="7"/>
      <c r="T19" s="7"/>
      <c r="U19" s="7"/>
      <c r="V19" s="7"/>
      <c r="W19" s="7"/>
      <c r="X19" s="7"/>
      <c r="Y19" s="7"/>
    </row>
    <row r="20">
      <c r="A20" s="4" t="s">
        <v>25</v>
      </c>
      <c r="B20" s="4" t="s">
        <v>26</v>
      </c>
      <c r="C20" s="4" t="s">
        <v>49</v>
      </c>
      <c r="D20" s="5" t="s">
        <v>26</v>
      </c>
      <c r="E20" s="6">
        <v>1.0</v>
      </c>
      <c r="F20" s="6">
        <f t="shared" si="1"/>
        <v>0.75</v>
      </c>
      <c r="G20" s="6">
        <f t="shared" si="2"/>
        <v>1.5</v>
      </c>
      <c r="H20" s="4" t="s">
        <v>28</v>
      </c>
      <c r="I20" s="4"/>
      <c r="J20" s="4" t="s">
        <v>29</v>
      </c>
      <c r="K20" s="4" t="s">
        <v>29</v>
      </c>
      <c r="L20" s="4" t="s">
        <v>29</v>
      </c>
      <c r="M20" s="7"/>
      <c r="N20" s="7"/>
      <c r="O20" s="4" t="s">
        <v>29</v>
      </c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4" t="s">
        <v>25</v>
      </c>
      <c r="B21" s="4" t="s">
        <v>26</v>
      </c>
      <c r="C21" s="4" t="s">
        <v>50</v>
      </c>
      <c r="D21" s="5">
        <v>3.0</v>
      </c>
      <c r="E21" s="6">
        <v>0.5</v>
      </c>
      <c r="F21" s="6">
        <f t="shared" si="1"/>
        <v>0.375</v>
      </c>
      <c r="G21" s="6">
        <f t="shared" si="2"/>
        <v>0.75</v>
      </c>
      <c r="H21" s="4" t="s">
        <v>28</v>
      </c>
      <c r="I21" s="4" t="s">
        <v>29</v>
      </c>
      <c r="J21" s="4" t="s">
        <v>29</v>
      </c>
      <c r="K21" s="4" t="s">
        <v>29</v>
      </c>
      <c r="L21" s="7"/>
      <c r="M21" s="7"/>
      <c r="N21" s="7"/>
      <c r="O21" s="4" t="s">
        <v>29</v>
      </c>
      <c r="P21" s="4" t="s">
        <v>29</v>
      </c>
      <c r="Q21" s="4" t="s">
        <v>29</v>
      </c>
      <c r="R21" s="7"/>
      <c r="S21" s="7"/>
      <c r="T21" s="7"/>
      <c r="U21" s="7"/>
      <c r="V21" s="7"/>
      <c r="W21" s="7"/>
      <c r="X21" s="7"/>
      <c r="Y21" s="7"/>
    </row>
    <row r="22">
      <c r="A22" s="4" t="s">
        <v>25</v>
      </c>
      <c r="B22" s="4" t="s">
        <v>26</v>
      </c>
      <c r="C22" s="4" t="s">
        <v>51</v>
      </c>
      <c r="D22" s="5">
        <v>5.0</v>
      </c>
      <c r="E22" s="6">
        <v>1.0</v>
      </c>
      <c r="F22" s="6">
        <f t="shared" si="1"/>
        <v>0.75</v>
      </c>
      <c r="G22" s="6">
        <f t="shared" si="2"/>
        <v>1.5</v>
      </c>
      <c r="H22" s="4" t="s">
        <v>28</v>
      </c>
      <c r="I22" s="4"/>
      <c r="J22" s="4" t="s">
        <v>29</v>
      </c>
      <c r="K22" s="4" t="s">
        <v>29</v>
      </c>
      <c r="L22" s="4" t="s">
        <v>29</v>
      </c>
      <c r="M22" s="7"/>
      <c r="N22" s="7"/>
      <c r="O22" s="7"/>
      <c r="P22" s="7"/>
      <c r="Q22" s="4" t="s">
        <v>29</v>
      </c>
      <c r="R22" s="7"/>
      <c r="S22" s="7"/>
      <c r="T22" s="7"/>
      <c r="U22" s="7"/>
      <c r="V22" s="7"/>
      <c r="W22" s="7"/>
      <c r="X22" s="7"/>
      <c r="Y22" s="7"/>
    </row>
    <row r="23">
      <c r="A23" s="4" t="s">
        <v>25</v>
      </c>
      <c r="B23" s="4" t="s">
        <v>26</v>
      </c>
      <c r="C23" s="4" t="s">
        <v>52</v>
      </c>
      <c r="D23" s="5">
        <v>5.0</v>
      </c>
      <c r="E23" s="6">
        <v>25.0</v>
      </c>
      <c r="F23" s="6">
        <f t="shared" si="1"/>
        <v>18.75</v>
      </c>
      <c r="G23" s="6">
        <f t="shared" si="2"/>
        <v>37.5</v>
      </c>
      <c r="H23" s="4" t="s">
        <v>28</v>
      </c>
      <c r="I23" s="4" t="s">
        <v>29</v>
      </c>
      <c r="J23" s="4" t="s">
        <v>29</v>
      </c>
      <c r="K23" s="4" t="s">
        <v>29</v>
      </c>
      <c r="L23" s="7"/>
      <c r="M23" s="7"/>
      <c r="N23" s="7"/>
      <c r="O23" s="4" t="s">
        <v>29</v>
      </c>
      <c r="P23" s="7"/>
      <c r="Q23" s="7"/>
      <c r="R23" s="7"/>
      <c r="S23" s="7"/>
      <c r="T23" s="7"/>
      <c r="U23" s="4" t="s">
        <v>29</v>
      </c>
      <c r="V23" s="7"/>
      <c r="W23" s="7"/>
      <c r="X23" s="7"/>
      <c r="Y23" s="7"/>
    </row>
    <row r="24">
      <c r="A24" s="4" t="s">
        <v>25</v>
      </c>
      <c r="B24" s="4" t="s">
        <v>26</v>
      </c>
      <c r="C24" s="4" t="s">
        <v>53</v>
      </c>
      <c r="D24" s="5">
        <v>2.0</v>
      </c>
      <c r="E24" s="6">
        <v>2.0</v>
      </c>
      <c r="F24" s="6">
        <f t="shared" si="1"/>
        <v>1.5</v>
      </c>
      <c r="G24" s="6">
        <f t="shared" si="2"/>
        <v>3</v>
      </c>
      <c r="H24" s="4" t="s">
        <v>28</v>
      </c>
      <c r="I24" s="4" t="s">
        <v>29</v>
      </c>
      <c r="J24" s="4" t="s">
        <v>29</v>
      </c>
      <c r="K24" s="4" t="s">
        <v>29</v>
      </c>
      <c r="L24" s="7"/>
      <c r="M24" s="7"/>
      <c r="N24" s="7"/>
      <c r="O24" s="7"/>
      <c r="P24" s="4" t="s">
        <v>29</v>
      </c>
      <c r="Q24" s="4" t="s">
        <v>29</v>
      </c>
      <c r="R24" s="7"/>
      <c r="S24" s="7"/>
      <c r="T24" s="7"/>
      <c r="U24" s="4" t="s">
        <v>29</v>
      </c>
      <c r="V24" s="7"/>
      <c r="W24" s="7"/>
      <c r="X24" s="7"/>
      <c r="Y24" s="7"/>
    </row>
    <row r="25">
      <c r="A25" s="4" t="s">
        <v>25</v>
      </c>
      <c r="B25" s="4" t="s">
        <v>26</v>
      </c>
      <c r="C25" s="4" t="s">
        <v>54</v>
      </c>
      <c r="D25" s="5">
        <v>2.0</v>
      </c>
      <c r="E25" s="6">
        <v>0.05</v>
      </c>
      <c r="F25" s="6">
        <f t="shared" si="1"/>
        <v>0.0375</v>
      </c>
      <c r="G25" s="6">
        <f t="shared" si="2"/>
        <v>0.075</v>
      </c>
      <c r="H25" s="4" t="s">
        <v>28</v>
      </c>
      <c r="I25" s="4" t="s">
        <v>29</v>
      </c>
      <c r="J25" s="4" t="s">
        <v>29</v>
      </c>
      <c r="K25" s="4" t="s">
        <v>29</v>
      </c>
      <c r="L25" s="7"/>
      <c r="M25" s="7"/>
      <c r="N25" s="7"/>
      <c r="O25" s="7"/>
      <c r="P25" s="4" t="s">
        <v>29</v>
      </c>
      <c r="Q25" s="7"/>
      <c r="R25" s="7"/>
      <c r="S25" s="7"/>
      <c r="T25" s="7"/>
      <c r="U25" s="7"/>
      <c r="V25" s="7"/>
      <c r="W25" s="7"/>
      <c r="X25" s="7"/>
      <c r="Y25" s="7"/>
    </row>
    <row r="26">
      <c r="A26" s="4" t="s">
        <v>25</v>
      </c>
      <c r="B26" s="4" t="s">
        <v>26</v>
      </c>
      <c r="C26" s="4" t="s">
        <v>55</v>
      </c>
      <c r="D26" s="5">
        <v>42.0</v>
      </c>
      <c r="E26" s="6">
        <v>16.0</v>
      </c>
      <c r="F26" s="6">
        <f t="shared" si="1"/>
        <v>12</v>
      </c>
      <c r="G26" s="6">
        <f t="shared" si="2"/>
        <v>24</v>
      </c>
      <c r="H26" s="4" t="s">
        <v>28</v>
      </c>
      <c r="I26" s="4"/>
      <c r="J26" s="4"/>
      <c r="K26" s="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4"/>
      <c r="X26" s="7"/>
      <c r="Y26" s="7"/>
    </row>
    <row r="27">
      <c r="A27" s="4" t="s">
        <v>25</v>
      </c>
      <c r="B27" s="4" t="s">
        <v>26</v>
      </c>
      <c r="C27" s="4" t="s">
        <v>56</v>
      </c>
      <c r="D27" s="5">
        <v>2.0</v>
      </c>
      <c r="E27" s="6">
        <v>1.0</v>
      </c>
      <c r="F27" s="6">
        <f t="shared" si="1"/>
        <v>0.75</v>
      </c>
      <c r="G27" s="6">
        <f t="shared" si="2"/>
        <v>1.5</v>
      </c>
      <c r="H27" s="4" t="s">
        <v>28</v>
      </c>
      <c r="I27" s="4"/>
      <c r="J27" s="4" t="s">
        <v>29</v>
      </c>
      <c r="K27" s="4" t="s">
        <v>29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4" t="s">
        <v>29</v>
      </c>
      <c r="X27" s="7"/>
      <c r="Y27" s="7"/>
    </row>
    <row r="28">
      <c r="A28" s="4" t="s">
        <v>25</v>
      </c>
      <c r="B28" s="4" t="s">
        <v>26</v>
      </c>
      <c r="C28" s="4" t="s">
        <v>57</v>
      </c>
      <c r="D28" s="5" t="s">
        <v>26</v>
      </c>
      <c r="E28" s="6">
        <v>0.01</v>
      </c>
      <c r="F28" s="6">
        <f t="shared" si="1"/>
        <v>0.0075</v>
      </c>
      <c r="G28" s="6">
        <f t="shared" si="2"/>
        <v>0.015</v>
      </c>
      <c r="H28" s="4" t="s">
        <v>28</v>
      </c>
      <c r="I28" s="4" t="s">
        <v>29</v>
      </c>
      <c r="J28" s="4" t="s">
        <v>29</v>
      </c>
      <c r="K28" s="4" t="s">
        <v>29</v>
      </c>
      <c r="L28" s="7"/>
      <c r="M28" s="7"/>
      <c r="N28" s="7"/>
      <c r="O28" s="4" t="s">
        <v>29</v>
      </c>
      <c r="P28" s="4" t="s">
        <v>29</v>
      </c>
      <c r="Q28" s="4" t="s">
        <v>29</v>
      </c>
      <c r="R28" s="7"/>
      <c r="S28" s="7"/>
      <c r="T28" s="7"/>
      <c r="U28" s="4" t="s">
        <v>29</v>
      </c>
      <c r="V28" s="7"/>
      <c r="W28" s="7"/>
      <c r="X28" s="7"/>
      <c r="Y28" s="7"/>
    </row>
    <row r="29">
      <c r="A29" s="4" t="s">
        <v>25</v>
      </c>
      <c r="B29" s="4" t="s">
        <v>26</v>
      </c>
      <c r="C29" s="4" t="s">
        <v>58</v>
      </c>
      <c r="D29" s="5">
        <v>1.0</v>
      </c>
      <c r="E29" s="6">
        <v>1.0</v>
      </c>
      <c r="F29" s="6">
        <f t="shared" si="1"/>
        <v>0.75</v>
      </c>
      <c r="G29" s="6">
        <f t="shared" si="2"/>
        <v>1.5</v>
      </c>
      <c r="H29" s="4" t="s">
        <v>28</v>
      </c>
      <c r="I29" s="4" t="s">
        <v>29</v>
      </c>
      <c r="J29" s="4" t="s">
        <v>29</v>
      </c>
      <c r="K29" s="4" t="s">
        <v>29</v>
      </c>
      <c r="L29" s="7"/>
      <c r="M29" s="4" t="s">
        <v>29</v>
      </c>
      <c r="N29" s="7"/>
      <c r="O29" s="7"/>
      <c r="P29" s="7"/>
      <c r="Q29" s="4" t="s">
        <v>29</v>
      </c>
      <c r="R29" s="7"/>
      <c r="S29" s="7"/>
      <c r="T29" s="7"/>
      <c r="U29" s="7"/>
      <c r="V29" s="7"/>
      <c r="W29" s="7"/>
      <c r="X29" s="7"/>
      <c r="Y29" s="7"/>
    </row>
    <row r="30">
      <c r="A30" s="4" t="s">
        <v>25</v>
      </c>
      <c r="B30" s="4" t="s">
        <v>26</v>
      </c>
      <c r="C30" s="8" t="s">
        <v>59</v>
      </c>
      <c r="D30" s="5">
        <v>1.0</v>
      </c>
      <c r="E30" s="6">
        <v>1.0</v>
      </c>
      <c r="F30" s="6">
        <f t="shared" si="1"/>
        <v>0.75</v>
      </c>
      <c r="G30" s="6">
        <f t="shared" si="2"/>
        <v>1.5</v>
      </c>
      <c r="H30" s="4" t="s">
        <v>28</v>
      </c>
      <c r="I30" s="4" t="s">
        <v>29</v>
      </c>
      <c r="J30" s="4" t="s">
        <v>29</v>
      </c>
      <c r="K30" s="4" t="s">
        <v>29</v>
      </c>
      <c r="L30" s="7"/>
      <c r="M30" s="7"/>
      <c r="N30" s="7"/>
      <c r="O30" s="4" t="s">
        <v>29</v>
      </c>
      <c r="P30" s="7"/>
      <c r="Q30" s="4" t="s">
        <v>29</v>
      </c>
      <c r="R30" s="7"/>
      <c r="S30" s="7"/>
      <c r="T30" s="7"/>
      <c r="U30" s="4" t="s">
        <v>29</v>
      </c>
      <c r="V30" s="7"/>
      <c r="W30" s="7"/>
      <c r="X30" s="7"/>
      <c r="Y30" s="7"/>
    </row>
    <row r="31">
      <c r="A31" s="4" t="s">
        <v>25</v>
      </c>
      <c r="B31" s="4" t="s">
        <v>26</v>
      </c>
      <c r="C31" s="8" t="s">
        <v>60</v>
      </c>
      <c r="D31" s="5">
        <v>10.0</v>
      </c>
      <c r="E31" s="6">
        <v>5.0</v>
      </c>
      <c r="F31" s="6">
        <f t="shared" si="1"/>
        <v>3.75</v>
      </c>
      <c r="G31" s="6">
        <f t="shared" si="2"/>
        <v>7.5</v>
      </c>
      <c r="H31" s="4" t="s">
        <v>28</v>
      </c>
      <c r="I31" s="4"/>
      <c r="J31" s="4" t="s">
        <v>29</v>
      </c>
      <c r="K31" s="4" t="s">
        <v>29</v>
      </c>
      <c r="L31" s="4" t="s">
        <v>29</v>
      </c>
      <c r="M31" s="7"/>
      <c r="N31" s="7"/>
      <c r="O31" s="7"/>
      <c r="P31" s="7"/>
      <c r="Q31" s="4" t="s">
        <v>29</v>
      </c>
      <c r="R31" s="7"/>
      <c r="S31" s="7"/>
      <c r="T31" s="7"/>
      <c r="U31" s="7"/>
      <c r="V31" s="7"/>
      <c r="W31" s="7"/>
      <c r="X31" s="7"/>
      <c r="Y31" s="7"/>
    </row>
    <row r="32">
      <c r="A32" s="4" t="s">
        <v>25</v>
      </c>
      <c r="B32" s="4" t="s">
        <v>26</v>
      </c>
      <c r="C32" s="8" t="s">
        <v>61</v>
      </c>
      <c r="D32" s="5">
        <v>25.0</v>
      </c>
      <c r="E32" s="6">
        <v>5.0</v>
      </c>
      <c r="F32" s="6">
        <f t="shared" si="1"/>
        <v>3.75</v>
      </c>
      <c r="G32" s="6">
        <f t="shared" si="2"/>
        <v>7.5</v>
      </c>
      <c r="H32" s="4" t="s">
        <v>28</v>
      </c>
      <c r="I32" s="4"/>
      <c r="J32" s="4" t="s">
        <v>29</v>
      </c>
      <c r="K32" s="4" t="s">
        <v>29</v>
      </c>
      <c r="L32" s="7"/>
      <c r="M32" s="7"/>
      <c r="N32" s="7"/>
      <c r="O32" s="7"/>
      <c r="P32" s="4" t="s">
        <v>29</v>
      </c>
      <c r="Q32" s="4" t="s">
        <v>29</v>
      </c>
      <c r="R32" s="7"/>
      <c r="S32" s="7"/>
      <c r="T32" s="7"/>
      <c r="U32" s="7"/>
      <c r="V32" s="7"/>
      <c r="W32" s="7"/>
      <c r="X32" s="7"/>
      <c r="Y32" s="7"/>
    </row>
    <row r="33">
      <c r="A33" s="4" t="s">
        <v>25</v>
      </c>
      <c r="B33" s="4" t="s">
        <v>26</v>
      </c>
      <c r="C33" s="8" t="s">
        <v>62</v>
      </c>
      <c r="D33" s="5">
        <v>12.0</v>
      </c>
      <c r="E33" s="6">
        <v>25.0</v>
      </c>
      <c r="F33" s="6">
        <f t="shared" si="1"/>
        <v>18.75</v>
      </c>
      <c r="G33" s="6">
        <f t="shared" si="2"/>
        <v>37.5</v>
      </c>
      <c r="H33" s="4" t="s">
        <v>28</v>
      </c>
      <c r="I33" s="4"/>
      <c r="J33" s="4" t="s">
        <v>29</v>
      </c>
      <c r="K33" s="4" t="s">
        <v>29</v>
      </c>
      <c r="L33" s="7"/>
      <c r="M33" s="7"/>
      <c r="N33" s="7"/>
      <c r="O33" s="7"/>
      <c r="P33" s="7"/>
      <c r="Q33" s="4" t="s">
        <v>29</v>
      </c>
      <c r="R33" s="7"/>
      <c r="S33" s="7"/>
      <c r="T33" s="7"/>
      <c r="U33" s="7"/>
      <c r="V33" s="7"/>
      <c r="W33" s="7"/>
      <c r="X33" s="7"/>
      <c r="Y33" s="7"/>
    </row>
    <row r="34">
      <c r="A34" s="4" t="s">
        <v>25</v>
      </c>
      <c r="B34" s="4" t="s">
        <v>26</v>
      </c>
      <c r="C34" s="8" t="s">
        <v>63</v>
      </c>
      <c r="D34" s="5">
        <v>6.0</v>
      </c>
      <c r="E34" s="6">
        <v>15.0</v>
      </c>
      <c r="F34" s="6">
        <f t="shared" si="1"/>
        <v>11.25</v>
      </c>
      <c r="G34" s="6">
        <f t="shared" si="2"/>
        <v>22.5</v>
      </c>
      <c r="H34" s="4" t="s">
        <v>28</v>
      </c>
      <c r="I34" s="4"/>
      <c r="J34" s="4" t="s">
        <v>29</v>
      </c>
      <c r="K34" s="4" t="s">
        <v>29</v>
      </c>
      <c r="L34" s="7"/>
      <c r="M34" s="7"/>
      <c r="N34" s="7"/>
      <c r="O34" s="7"/>
      <c r="P34" s="4" t="s">
        <v>29</v>
      </c>
      <c r="Q34" s="7"/>
      <c r="R34" s="4" t="s">
        <v>29</v>
      </c>
      <c r="S34" s="7"/>
      <c r="T34" s="7"/>
      <c r="U34" s="7"/>
      <c r="V34" s="7"/>
      <c r="W34" s="7"/>
      <c r="X34" s="7"/>
      <c r="Y34" s="7"/>
    </row>
    <row r="35">
      <c r="A35" s="4" t="s">
        <v>25</v>
      </c>
      <c r="B35" s="4" t="s">
        <v>26</v>
      </c>
      <c r="C35" s="8" t="s">
        <v>64</v>
      </c>
      <c r="D35" s="5">
        <v>4.0</v>
      </c>
      <c r="E35" s="6">
        <v>2.0</v>
      </c>
      <c r="F35" s="6">
        <f t="shared" si="1"/>
        <v>1.5</v>
      </c>
      <c r="G35" s="6">
        <f t="shared" si="2"/>
        <v>3</v>
      </c>
      <c r="H35" s="4" t="s">
        <v>28</v>
      </c>
      <c r="I35" s="4" t="s">
        <v>29</v>
      </c>
      <c r="J35" s="4" t="s">
        <v>29</v>
      </c>
      <c r="K35" s="4" t="s">
        <v>29</v>
      </c>
      <c r="L35" s="7"/>
      <c r="M35" s="7"/>
      <c r="N35" s="7"/>
      <c r="O35" s="7"/>
      <c r="P35" s="7"/>
      <c r="Q35" s="4" t="s">
        <v>29</v>
      </c>
      <c r="R35" s="4" t="s">
        <v>29</v>
      </c>
      <c r="S35" s="7"/>
      <c r="T35" s="7"/>
      <c r="U35" s="7"/>
      <c r="V35" s="7"/>
      <c r="W35" s="7"/>
      <c r="X35" s="7"/>
      <c r="Y35" s="7"/>
    </row>
    <row r="36">
      <c r="A36" s="4" t="s">
        <v>25</v>
      </c>
      <c r="B36" s="4" t="s">
        <v>26</v>
      </c>
      <c r="C36" s="8" t="s">
        <v>65</v>
      </c>
      <c r="D36" s="5">
        <v>2.0</v>
      </c>
      <c r="E36" s="6">
        <v>25.0</v>
      </c>
      <c r="F36" s="6">
        <f t="shared" si="1"/>
        <v>18.75</v>
      </c>
      <c r="G36" s="6">
        <f t="shared" si="2"/>
        <v>37.5</v>
      </c>
      <c r="H36" s="4" t="s">
        <v>28</v>
      </c>
      <c r="I36" s="4" t="s">
        <v>29</v>
      </c>
      <c r="J36" s="4" t="s">
        <v>29</v>
      </c>
      <c r="K36" s="4" t="s">
        <v>29</v>
      </c>
      <c r="L36" s="7"/>
      <c r="M36" s="7"/>
      <c r="N36" s="7"/>
      <c r="O36" s="7"/>
      <c r="P36" s="7"/>
      <c r="Q36" s="7"/>
      <c r="R36" s="4" t="s">
        <v>29</v>
      </c>
      <c r="S36" s="7"/>
      <c r="T36" s="4" t="s">
        <v>29</v>
      </c>
      <c r="U36" s="4" t="s">
        <v>29</v>
      </c>
      <c r="V36" s="7"/>
      <c r="W36" s="7"/>
      <c r="X36" s="7"/>
      <c r="Y36" s="7"/>
    </row>
    <row r="37">
      <c r="A37" s="4" t="s">
        <v>25</v>
      </c>
      <c r="B37" s="4" t="s">
        <v>26</v>
      </c>
      <c r="C37" s="8" t="s">
        <v>66</v>
      </c>
      <c r="D37" s="5">
        <v>4.0</v>
      </c>
      <c r="E37" s="6">
        <v>5.0</v>
      </c>
      <c r="F37" s="6">
        <f t="shared" si="1"/>
        <v>3.75</v>
      </c>
      <c r="G37" s="6">
        <f t="shared" si="2"/>
        <v>7.5</v>
      </c>
      <c r="H37" s="4" t="s">
        <v>28</v>
      </c>
      <c r="I37" s="4"/>
      <c r="J37" s="4"/>
      <c r="K37" s="4" t="s">
        <v>29</v>
      </c>
      <c r="L37" s="7"/>
      <c r="M37" s="7"/>
      <c r="N37" s="7"/>
      <c r="O37" s="7"/>
      <c r="P37" s="7"/>
      <c r="Q37" s="7"/>
      <c r="R37" s="4" t="s">
        <v>29</v>
      </c>
      <c r="S37" s="7"/>
      <c r="T37" s="7"/>
      <c r="U37" s="7"/>
      <c r="V37" s="7"/>
      <c r="W37" s="4" t="s">
        <v>29</v>
      </c>
      <c r="X37" s="7"/>
      <c r="Y37" s="7"/>
    </row>
    <row r="38">
      <c r="A38" s="4" t="s">
        <v>25</v>
      </c>
      <c r="B38" s="4" t="s">
        <v>26</v>
      </c>
      <c r="C38" s="8" t="s">
        <v>67</v>
      </c>
      <c r="D38" s="5">
        <v>5.0</v>
      </c>
      <c r="E38" s="6">
        <v>2.0</v>
      </c>
      <c r="F38" s="6">
        <f t="shared" si="1"/>
        <v>1.5</v>
      </c>
      <c r="G38" s="6">
        <f t="shared" si="2"/>
        <v>3</v>
      </c>
      <c r="H38" s="4" t="s">
        <v>28</v>
      </c>
      <c r="I38" s="4" t="s">
        <v>29</v>
      </c>
      <c r="J38" s="4" t="s">
        <v>29</v>
      </c>
      <c r="K38" s="4" t="s">
        <v>29</v>
      </c>
      <c r="L38" s="4" t="s">
        <v>29</v>
      </c>
      <c r="M38" s="7"/>
      <c r="N38" s="7"/>
      <c r="O38" s="7"/>
      <c r="P38" s="7"/>
      <c r="Q38" s="4" t="s">
        <v>29</v>
      </c>
      <c r="R38" s="7"/>
      <c r="S38" s="7"/>
      <c r="T38" s="7"/>
      <c r="U38" s="7"/>
      <c r="V38" s="7"/>
      <c r="W38" s="4" t="s">
        <v>29</v>
      </c>
      <c r="X38" s="7"/>
      <c r="Y38" s="7"/>
    </row>
    <row r="39">
      <c r="A39" s="4" t="s">
        <v>25</v>
      </c>
      <c r="B39" s="4" t="s">
        <v>26</v>
      </c>
      <c r="C39" s="8" t="s">
        <v>68</v>
      </c>
      <c r="D39" s="5">
        <v>39.0</v>
      </c>
      <c r="E39" s="6">
        <v>39.0</v>
      </c>
      <c r="F39" s="6">
        <f t="shared" si="1"/>
        <v>29.25</v>
      </c>
      <c r="G39" s="6">
        <f t="shared" si="2"/>
        <v>58.5</v>
      </c>
      <c r="H39" s="4" t="s">
        <v>28</v>
      </c>
      <c r="I39" s="4"/>
      <c r="J39" s="4"/>
      <c r="K39" s="4"/>
      <c r="L39" s="7"/>
      <c r="M39" s="7"/>
      <c r="N39" s="7"/>
      <c r="O39" s="4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4" t="s">
        <v>25</v>
      </c>
      <c r="B40" s="8" t="s">
        <v>69</v>
      </c>
      <c r="C40" s="4" t="s">
        <v>70</v>
      </c>
      <c r="D40" s="5" t="s">
        <v>26</v>
      </c>
      <c r="E40" s="6">
        <v>1.0</v>
      </c>
      <c r="F40" s="6">
        <f t="shared" si="1"/>
        <v>0.75</v>
      </c>
      <c r="G40" s="6">
        <f t="shared" si="2"/>
        <v>1.5</v>
      </c>
      <c r="H40" s="4" t="s">
        <v>28</v>
      </c>
      <c r="I40" s="4" t="s">
        <v>29</v>
      </c>
      <c r="J40" s="4" t="s">
        <v>29</v>
      </c>
      <c r="K40" s="4" t="s">
        <v>29</v>
      </c>
      <c r="L40" s="7"/>
      <c r="M40" s="7"/>
      <c r="N40" s="7"/>
      <c r="O40" s="7"/>
      <c r="P40" s="7"/>
      <c r="Q40" s="7"/>
      <c r="R40" s="7"/>
      <c r="S40" s="7"/>
      <c r="T40" s="7"/>
      <c r="U40" s="4" t="s">
        <v>29</v>
      </c>
      <c r="V40" s="7"/>
      <c r="W40" s="7"/>
      <c r="X40" s="7"/>
      <c r="Y40" s="7"/>
    </row>
    <row r="41">
      <c r="A41" s="4" t="s">
        <v>25</v>
      </c>
      <c r="B41" s="8" t="s">
        <v>69</v>
      </c>
      <c r="C41" s="8" t="s">
        <v>71</v>
      </c>
      <c r="D41" s="5">
        <v>4.0</v>
      </c>
      <c r="E41" s="6">
        <v>5.0</v>
      </c>
      <c r="F41" s="6">
        <f t="shared" si="1"/>
        <v>3.75</v>
      </c>
      <c r="G41" s="6">
        <f t="shared" si="2"/>
        <v>7.5</v>
      </c>
      <c r="H41" s="4" t="s">
        <v>28</v>
      </c>
      <c r="I41" s="4" t="s">
        <v>29</v>
      </c>
      <c r="J41" s="4" t="s">
        <v>29</v>
      </c>
      <c r="K41" s="4" t="s">
        <v>29</v>
      </c>
      <c r="L41" s="7"/>
      <c r="M41" s="7"/>
      <c r="N41" s="7"/>
      <c r="O41" s="7"/>
      <c r="P41" s="7"/>
      <c r="Q41" s="7"/>
      <c r="R41" s="7"/>
      <c r="S41" s="7"/>
      <c r="T41" s="7"/>
      <c r="U41" s="4" t="s">
        <v>29</v>
      </c>
      <c r="V41" s="7"/>
      <c r="W41" s="7"/>
      <c r="X41" s="7"/>
      <c r="Y41" s="7"/>
    </row>
    <row r="42">
      <c r="A42" s="4" t="s">
        <v>25</v>
      </c>
      <c r="B42" s="8" t="s">
        <v>69</v>
      </c>
      <c r="C42" s="8" t="s">
        <v>72</v>
      </c>
      <c r="D42" s="5">
        <v>1.0</v>
      </c>
      <c r="E42" s="6">
        <v>10.0</v>
      </c>
      <c r="F42" s="6">
        <f t="shared" si="1"/>
        <v>7.5</v>
      </c>
      <c r="G42" s="6">
        <f t="shared" si="2"/>
        <v>15</v>
      </c>
      <c r="H42" s="4" t="s">
        <v>28</v>
      </c>
      <c r="I42" s="4" t="s">
        <v>29</v>
      </c>
      <c r="J42" s="4" t="s">
        <v>29</v>
      </c>
      <c r="K42" s="4" t="s">
        <v>29</v>
      </c>
      <c r="L42" s="7"/>
      <c r="M42" s="7"/>
      <c r="N42" s="7"/>
      <c r="O42" s="7"/>
      <c r="P42" s="7"/>
      <c r="Q42" s="7"/>
      <c r="R42" s="7"/>
      <c r="S42" s="7"/>
      <c r="T42" s="7"/>
      <c r="U42" s="4" t="s">
        <v>29</v>
      </c>
      <c r="V42" s="7"/>
      <c r="W42" s="7"/>
      <c r="X42" s="7"/>
      <c r="Y42" s="7"/>
    </row>
    <row r="43">
      <c r="A43" s="4" t="s">
        <v>25</v>
      </c>
      <c r="B43" s="4" t="s">
        <v>26</v>
      </c>
      <c r="C43" s="8" t="s">
        <v>73</v>
      </c>
      <c r="D43" s="5">
        <v>55.0</v>
      </c>
      <c r="E43" s="6">
        <v>12.0</v>
      </c>
      <c r="F43" s="6">
        <f t="shared" si="1"/>
        <v>9</v>
      </c>
      <c r="G43" s="6">
        <f t="shared" si="2"/>
        <v>18</v>
      </c>
      <c r="H43" s="4" t="s">
        <v>28</v>
      </c>
      <c r="I43" s="4"/>
      <c r="J43" s="4"/>
      <c r="K43" s="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4" t="s">
        <v>25</v>
      </c>
      <c r="B44" s="4" t="s">
        <v>26</v>
      </c>
      <c r="C44" s="8" t="s">
        <v>74</v>
      </c>
      <c r="D44" s="5">
        <v>58.5</v>
      </c>
      <c r="E44" s="6">
        <v>40.0</v>
      </c>
      <c r="F44" s="6">
        <f t="shared" si="1"/>
        <v>30</v>
      </c>
      <c r="G44" s="6">
        <f t="shared" si="2"/>
        <v>60</v>
      </c>
      <c r="H44" s="4" t="s">
        <v>28</v>
      </c>
      <c r="I44" s="4"/>
      <c r="J44" s="4"/>
      <c r="K44" s="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4" t="s">
        <v>25</v>
      </c>
      <c r="B45" s="4" t="s">
        <v>26</v>
      </c>
      <c r="C45" s="8" t="s">
        <v>75</v>
      </c>
      <c r="D45" s="5">
        <v>55.0</v>
      </c>
      <c r="E45" s="6">
        <v>10.0</v>
      </c>
      <c r="F45" s="6">
        <f t="shared" si="1"/>
        <v>7.5</v>
      </c>
      <c r="G45" s="6">
        <f t="shared" si="2"/>
        <v>15</v>
      </c>
      <c r="H45" s="4" t="s">
        <v>28</v>
      </c>
      <c r="I45" s="4"/>
      <c r="J45" s="4"/>
      <c r="K45" s="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4" t="s">
        <v>25</v>
      </c>
      <c r="B46" s="4" t="s">
        <v>26</v>
      </c>
      <c r="C46" s="8" t="s">
        <v>76</v>
      </c>
      <c r="D46" s="5">
        <v>1.0</v>
      </c>
      <c r="E46" s="6">
        <v>0.02</v>
      </c>
      <c r="F46" s="6">
        <f t="shared" si="1"/>
        <v>0.015</v>
      </c>
      <c r="G46" s="6">
        <f t="shared" si="2"/>
        <v>0.03</v>
      </c>
      <c r="H46" s="4" t="s">
        <v>28</v>
      </c>
      <c r="I46" s="4" t="s">
        <v>29</v>
      </c>
      <c r="J46" s="4" t="s">
        <v>29</v>
      </c>
      <c r="K46" s="4" t="s">
        <v>29</v>
      </c>
      <c r="L46" s="7"/>
      <c r="M46" s="7"/>
      <c r="N46" s="7"/>
      <c r="O46" s="4" t="s">
        <v>29</v>
      </c>
      <c r="P46" s="4" t="s">
        <v>29</v>
      </c>
      <c r="Q46" s="4" t="s">
        <v>29</v>
      </c>
      <c r="R46" s="7"/>
      <c r="S46" s="7"/>
      <c r="T46" s="4" t="s">
        <v>29</v>
      </c>
      <c r="U46" s="7"/>
      <c r="V46" s="7"/>
      <c r="W46" s="7"/>
      <c r="X46" s="7"/>
      <c r="Y46" s="7"/>
    </row>
    <row r="47">
      <c r="A47" s="4" t="s">
        <v>25</v>
      </c>
      <c r="B47" s="4" t="s">
        <v>26</v>
      </c>
      <c r="C47" s="8" t="s">
        <v>77</v>
      </c>
      <c r="D47" s="5">
        <v>4.0</v>
      </c>
      <c r="E47" s="6">
        <v>2.0</v>
      </c>
      <c r="F47" s="6">
        <f t="shared" si="1"/>
        <v>1.5</v>
      </c>
      <c r="G47" s="6">
        <f t="shared" si="2"/>
        <v>3</v>
      </c>
      <c r="H47" s="4" t="s">
        <v>28</v>
      </c>
      <c r="I47" s="4"/>
      <c r="J47" s="4" t="s">
        <v>29</v>
      </c>
      <c r="K47" s="4" t="s">
        <v>29</v>
      </c>
      <c r="L47" s="4" t="s">
        <v>29</v>
      </c>
      <c r="M47" s="7"/>
      <c r="N47" s="7"/>
      <c r="O47" s="7"/>
      <c r="P47" s="7"/>
      <c r="Q47" s="4" t="s">
        <v>29</v>
      </c>
      <c r="R47" s="7"/>
      <c r="S47" s="7"/>
      <c r="T47" s="7"/>
      <c r="U47" s="7"/>
      <c r="V47" s="7"/>
      <c r="W47" s="4" t="s">
        <v>29</v>
      </c>
      <c r="X47" s="7"/>
      <c r="Y47" s="7"/>
    </row>
    <row r="48">
      <c r="A48" s="4" t="s">
        <v>25</v>
      </c>
      <c r="B48" s="4" t="s">
        <v>26</v>
      </c>
      <c r="C48" s="8" t="s">
        <v>78</v>
      </c>
      <c r="D48" s="5">
        <v>3.0</v>
      </c>
      <c r="E48" s="6">
        <v>5.0</v>
      </c>
      <c r="F48" s="6">
        <f t="shared" si="1"/>
        <v>3.75</v>
      </c>
      <c r="G48" s="6">
        <f t="shared" si="2"/>
        <v>7.5</v>
      </c>
      <c r="H48" s="4" t="s">
        <v>28</v>
      </c>
      <c r="I48" s="4"/>
      <c r="J48" s="4"/>
      <c r="K48" s="4" t="s">
        <v>29</v>
      </c>
      <c r="L48" s="7"/>
      <c r="M48" s="7"/>
      <c r="N48" s="7"/>
      <c r="O48" s="4" t="s">
        <v>29</v>
      </c>
      <c r="P48" s="7"/>
      <c r="Q48" s="4" t="s">
        <v>29</v>
      </c>
      <c r="R48" s="7"/>
      <c r="S48" s="7"/>
      <c r="T48" s="7"/>
      <c r="U48" s="7"/>
      <c r="V48" s="7"/>
      <c r="W48" s="7"/>
      <c r="X48" s="7"/>
      <c r="Y48" s="7"/>
    </row>
    <row r="49">
      <c r="A49" s="4" t="s">
        <v>25</v>
      </c>
      <c r="B49" s="4" t="s">
        <v>79</v>
      </c>
      <c r="C49" s="8" t="s">
        <v>80</v>
      </c>
      <c r="D49" s="5">
        <v>1.0</v>
      </c>
      <c r="E49" s="6">
        <v>5.0</v>
      </c>
      <c r="F49" s="6">
        <f t="shared" si="1"/>
        <v>3.75</v>
      </c>
      <c r="G49" s="6">
        <f t="shared" si="2"/>
        <v>7.5</v>
      </c>
      <c r="H49" s="4" t="s">
        <v>28</v>
      </c>
      <c r="I49" s="4" t="s">
        <v>29</v>
      </c>
      <c r="J49" s="4" t="s">
        <v>29</v>
      </c>
      <c r="K49" s="4" t="s">
        <v>29</v>
      </c>
      <c r="L49" s="7"/>
      <c r="M49" s="7"/>
      <c r="N49" s="7"/>
      <c r="O49" s="4" t="s">
        <v>29</v>
      </c>
      <c r="P49" s="7"/>
      <c r="Q49" s="7"/>
      <c r="R49" s="7"/>
      <c r="S49" s="4" t="s">
        <v>29</v>
      </c>
      <c r="T49" s="7"/>
      <c r="U49" s="7"/>
      <c r="V49" s="7"/>
      <c r="W49" s="7"/>
      <c r="X49" s="7"/>
      <c r="Y49" s="7"/>
    </row>
    <row r="50">
      <c r="A50" s="4" t="s">
        <v>25</v>
      </c>
      <c r="B50" s="4" t="s">
        <v>79</v>
      </c>
      <c r="C50" s="8" t="s">
        <v>81</v>
      </c>
      <c r="D50" s="5" t="s">
        <v>26</v>
      </c>
      <c r="E50" s="6">
        <v>5.0</v>
      </c>
      <c r="F50" s="6">
        <f t="shared" si="1"/>
        <v>3.75</v>
      </c>
      <c r="G50" s="6">
        <f t="shared" si="2"/>
        <v>7.5</v>
      </c>
      <c r="H50" s="4" t="s">
        <v>28</v>
      </c>
      <c r="I50" s="4" t="s">
        <v>29</v>
      </c>
      <c r="J50" s="4" t="s">
        <v>29</v>
      </c>
      <c r="K50" s="4" t="s">
        <v>29</v>
      </c>
      <c r="L50" s="7"/>
      <c r="M50" s="7"/>
      <c r="N50" s="7"/>
      <c r="O50" s="4" t="s">
        <v>29</v>
      </c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4" t="s">
        <v>25</v>
      </c>
      <c r="B51" s="4" t="s">
        <v>79</v>
      </c>
      <c r="C51" s="8" t="s">
        <v>82</v>
      </c>
      <c r="D51" s="5">
        <v>2.0</v>
      </c>
      <c r="E51" s="6">
        <v>5.0</v>
      </c>
      <c r="F51" s="6">
        <f t="shared" si="1"/>
        <v>3.75</v>
      </c>
      <c r="G51" s="6">
        <f t="shared" si="2"/>
        <v>7.5</v>
      </c>
      <c r="H51" s="4" t="s">
        <v>28</v>
      </c>
      <c r="I51" s="4" t="s">
        <v>29</v>
      </c>
      <c r="J51" s="4" t="s">
        <v>29</v>
      </c>
      <c r="K51" s="4" t="s">
        <v>29</v>
      </c>
      <c r="L51" s="7"/>
      <c r="M51" s="7"/>
      <c r="N51" s="7"/>
      <c r="O51" s="4" t="s">
        <v>29</v>
      </c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4" t="s">
        <v>25</v>
      </c>
      <c r="B52" s="4" t="s">
        <v>26</v>
      </c>
      <c r="C52" s="8" t="s">
        <v>83</v>
      </c>
      <c r="D52" s="5">
        <v>1.0</v>
      </c>
      <c r="E52" s="6">
        <v>25.0</v>
      </c>
      <c r="F52" s="6">
        <f t="shared" si="1"/>
        <v>18.75</v>
      </c>
      <c r="G52" s="6">
        <f t="shared" si="2"/>
        <v>37.5</v>
      </c>
      <c r="H52" s="4" t="s">
        <v>28</v>
      </c>
      <c r="I52" s="4" t="s">
        <v>29</v>
      </c>
      <c r="J52" s="4" t="s">
        <v>29</v>
      </c>
      <c r="K52" s="4" t="s">
        <v>29</v>
      </c>
      <c r="L52" s="7"/>
      <c r="M52" s="7"/>
      <c r="N52" s="7"/>
      <c r="O52" s="4" t="s">
        <v>29</v>
      </c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4" t="s">
        <v>25</v>
      </c>
      <c r="B53" s="4" t="s">
        <v>26</v>
      </c>
      <c r="C53" s="8" t="s">
        <v>84</v>
      </c>
      <c r="D53" s="5">
        <v>25.0</v>
      </c>
      <c r="E53" s="6">
        <v>5.0</v>
      </c>
      <c r="F53" s="6">
        <f t="shared" si="1"/>
        <v>3.75</v>
      </c>
      <c r="G53" s="6">
        <f t="shared" si="2"/>
        <v>7.5</v>
      </c>
      <c r="H53" s="4" t="s">
        <v>28</v>
      </c>
      <c r="I53" s="4" t="s">
        <v>29</v>
      </c>
      <c r="J53" s="4" t="s">
        <v>29</v>
      </c>
      <c r="K53" s="4" t="s">
        <v>29</v>
      </c>
      <c r="L53" s="4" t="s">
        <v>29</v>
      </c>
      <c r="M53" s="7"/>
      <c r="N53" s="7"/>
      <c r="O53" s="7"/>
      <c r="P53" s="7"/>
      <c r="Q53" s="4" t="s">
        <v>29</v>
      </c>
      <c r="R53" s="7"/>
      <c r="S53" s="7"/>
      <c r="T53" s="7"/>
      <c r="U53" s="7"/>
      <c r="V53" s="7"/>
      <c r="W53" s="7"/>
      <c r="X53" s="7"/>
      <c r="Y53" s="7"/>
    </row>
    <row r="54">
      <c r="A54" s="4" t="s">
        <v>25</v>
      </c>
      <c r="B54" s="4" t="s">
        <v>26</v>
      </c>
      <c r="C54" s="8" t="s">
        <v>85</v>
      </c>
      <c r="D54" s="5" t="s">
        <v>26</v>
      </c>
      <c r="E54" s="6">
        <v>10.0</v>
      </c>
      <c r="F54" s="6">
        <f t="shared" si="1"/>
        <v>7.5</v>
      </c>
      <c r="G54" s="6">
        <f t="shared" si="2"/>
        <v>15</v>
      </c>
      <c r="H54" s="4" t="s">
        <v>28</v>
      </c>
      <c r="I54" s="4" t="s">
        <v>29</v>
      </c>
      <c r="J54" s="4" t="s">
        <v>29</v>
      </c>
      <c r="K54" s="4" t="s">
        <v>29</v>
      </c>
      <c r="L54" s="7"/>
      <c r="M54" s="7"/>
      <c r="N54" s="7"/>
      <c r="O54" s="4" t="s">
        <v>29</v>
      </c>
      <c r="P54" s="4" t="s">
        <v>29</v>
      </c>
      <c r="Q54" s="4" t="s">
        <v>29</v>
      </c>
      <c r="R54" s="7"/>
      <c r="S54" s="7"/>
      <c r="T54" s="7"/>
      <c r="U54" s="4" t="s">
        <v>29</v>
      </c>
      <c r="V54" s="7"/>
      <c r="W54" s="4" t="s">
        <v>29</v>
      </c>
      <c r="X54" s="7"/>
      <c r="Y54" s="7"/>
    </row>
    <row r="55">
      <c r="A55" s="4" t="s">
        <v>25</v>
      </c>
      <c r="B55" s="4" t="s">
        <v>26</v>
      </c>
      <c r="C55" s="8" t="s">
        <v>86</v>
      </c>
      <c r="D55" s="5" t="s">
        <v>26</v>
      </c>
      <c r="E55" s="6">
        <v>0.02</v>
      </c>
      <c r="F55" s="6">
        <f t="shared" si="1"/>
        <v>0.015</v>
      </c>
      <c r="G55" s="6">
        <f t="shared" si="2"/>
        <v>0.03</v>
      </c>
      <c r="H55" s="4" t="s">
        <v>28</v>
      </c>
      <c r="I55" s="4"/>
      <c r="J55" s="4" t="s">
        <v>29</v>
      </c>
      <c r="K55" s="4" t="s">
        <v>29</v>
      </c>
      <c r="L55" s="7"/>
      <c r="M55" s="7"/>
      <c r="N55" s="7"/>
      <c r="O55" s="4" t="s">
        <v>29</v>
      </c>
      <c r="P55" s="4" t="s">
        <v>29</v>
      </c>
      <c r="Q55" s="4" t="s">
        <v>29</v>
      </c>
      <c r="R55" s="7"/>
      <c r="S55" s="7"/>
      <c r="T55" s="7"/>
      <c r="U55" s="4" t="s">
        <v>29</v>
      </c>
      <c r="V55" s="7"/>
      <c r="W55" s="4" t="s">
        <v>29</v>
      </c>
      <c r="X55" s="7"/>
      <c r="Y55" s="7"/>
    </row>
    <row r="56">
      <c r="A56" s="4" t="s">
        <v>25</v>
      </c>
      <c r="B56" s="4" t="s">
        <v>26</v>
      </c>
      <c r="C56" s="8" t="s">
        <v>87</v>
      </c>
      <c r="D56" s="5">
        <v>4.0</v>
      </c>
      <c r="E56" s="6">
        <v>0.02</v>
      </c>
      <c r="F56" s="6">
        <f t="shared" si="1"/>
        <v>0.015</v>
      </c>
      <c r="G56" s="6">
        <f t="shared" si="2"/>
        <v>0.03</v>
      </c>
      <c r="H56" s="4" t="s">
        <v>28</v>
      </c>
      <c r="I56" s="4" t="s">
        <v>29</v>
      </c>
      <c r="J56" s="4" t="s">
        <v>29</v>
      </c>
      <c r="K56" s="4" t="s">
        <v>29</v>
      </c>
      <c r="L56" s="7"/>
      <c r="M56" s="7"/>
      <c r="N56" s="7"/>
      <c r="O56" s="7"/>
      <c r="P56" s="4" t="s">
        <v>29</v>
      </c>
      <c r="Q56" s="4" t="s">
        <v>29</v>
      </c>
      <c r="R56" s="7"/>
      <c r="S56" s="7"/>
      <c r="T56" s="7"/>
      <c r="U56" s="7"/>
      <c r="V56" s="7"/>
      <c r="W56" s="7"/>
      <c r="X56" s="7"/>
      <c r="Y56" s="7"/>
    </row>
    <row r="57">
      <c r="A57" s="4" t="s">
        <v>25</v>
      </c>
      <c r="B57" s="4" t="s">
        <v>26</v>
      </c>
      <c r="C57" s="8" t="s">
        <v>88</v>
      </c>
      <c r="D57" s="5">
        <v>25.0</v>
      </c>
      <c r="E57" s="6">
        <v>0.1</v>
      </c>
      <c r="F57" s="6">
        <f t="shared" si="1"/>
        <v>0.075</v>
      </c>
      <c r="G57" s="6">
        <f t="shared" si="2"/>
        <v>0.15</v>
      </c>
      <c r="H57" s="4" t="s">
        <v>28</v>
      </c>
      <c r="I57" s="4"/>
      <c r="J57" s="4" t="s">
        <v>29</v>
      </c>
      <c r="K57" s="4" t="s">
        <v>29</v>
      </c>
      <c r="L57" s="7"/>
      <c r="M57" s="7"/>
      <c r="N57" s="7"/>
      <c r="O57" s="7"/>
      <c r="P57" s="4" t="s">
        <v>29</v>
      </c>
      <c r="Q57" s="4" t="s">
        <v>29</v>
      </c>
      <c r="R57" s="7"/>
      <c r="S57" s="7"/>
      <c r="T57" s="7"/>
      <c r="U57" s="7"/>
      <c r="V57" s="7"/>
      <c r="W57" s="7"/>
      <c r="X57" s="7"/>
      <c r="Y57" s="7"/>
    </row>
    <row r="58">
      <c r="A58" s="4" t="s">
        <v>25</v>
      </c>
      <c r="B58" s="4" t="s">
        <v>26</v>
      </c>
      <c r="C58" s="8" t="s">
        <v>89</v>
      </c>
      <c r="D58" s="5">
        <v>1.0</v>
      </c>
      <c r="E58" s="6">
        <v>0.5</v>
      </c>
      <c r="F58" s="6">
        <f t="shared" si="1"/>
        <v>0.375</v>
      </c>
      <c r="G58" s="6">
        <f t="shared" si="2"/>
        <v>0.75</v>
      </c>
      <c r="H58" s="4" t="s">
        <v>28</v>
      </c>
      <c r="I58" s="4"/>
      <c r="J58" s="4" t="s">
        <v>29</v>
      </c>
      <c r="K58" s="4" t="s">
        <v>29</v>
      </c>
      <c r="L58" s="4" t="s">
        <v>29</v>
      </c>
      <c r="M58" s="7"/>
      <c r="N58" s="7"/>
      <c r="O58" s="4" t="s">
        <v>29</v>
      </c>
      <c r="P58" s="4" t="s">
        <v>29</v>
      </c>
      <c r="Q58" s="7"/>
      <c r="R58" s="7"/>
      <c r="S58" s="7"/>
      <c r="T58" s="7"/>
      <c r="U58" s="7"/>
      <c r="V58" s="7"/>
      <c r="W58" s="7"/>
      <c r="X58" s="7"/>
      <c r="Y58" s="7"/>
    </row>
    <row r="59">
      <c r="A59" s="4" t="s">
        <v>25</v>
      </c>
      <c r="B59" s="4" t="s">
        <v>26</v>
      </c>
      <c r="C59" s="8" t="s">
        <v>90</v>
      </c>
      <c r="D59" s="5">
        <v>2.0</v>
      </c>
      <c r="E59" s="6">
        <v>10.0</v>
      </c>
      <c r="F59" s="6">
        <f t="shared" si="1"/>
        <v>7.5</v>
      </c>
      <c r="G59" s="6">
        <f t="shared" si="2"/>
        <v>15</v>
      </c>
      <c r="H59" s="4" t="s">
        <v>28</v>
      </c>
      <c r="I59" s="4"/>
      <c r="J59" s="4" t="s">
        <v>29</v>
      </c>
      <c r="K59" s="4" t="s">
        <v>29</v>
      </c>
      <c r="L59" s="4" t="s">
        <v>29</v>
      </c>
      <c r="M59" s="7"/>
      <c r="N59" s="7"/>
      <c r="O59" s="7"/>
      <c r="P59" s="7"/>
      <c r="Q59" s="4" t="s">
        <v>29</v>
      </c>
      <c r="R59" s="7"/>
      <c r="S59" s="7"/>
      <c r="T59" s="7"/>
      <c r="U59" s="7"/>
      <c r="V59" s="7"/>
      <c r="W59" s="4" t="s">
        <v>29</v>
      </c>
      <c r="X59" s="7"/>
      <c r="Y59" s="7"/>
    </row>
    <row r="60">
      <c r="A60" s="4" t="s">
        <v>25</v>
      </c>
      <c r="B60" s="4" t="s">
        <v>26</v>
      </c>
      <c r="C60" s="8" t="s">
        <v>91</v>
      </c>
      <c r="D60" s="5">
        <v>2.0</v>
      </c>
      <c r="E60" s="6">
        <v>5.0</v>
      </c>
      <c r="F60" s="6">
        <f t="shared" si="1"/>
        <v>3.75</v>
      </c>
      <c r="G60" s="6">
        <f t="shared" si="2"/>
        <v>7.5</v>
      </c>
      <c r="H60" s="4" t="s">
        <v>28</v>
      </c>
      <c r="I60" s="4"/>
      <c r="J60" s="4" t="s">
        <v>29</v>
      </c>
      <c r="K60" s="4" t="s">
        <v>29</v>
      </c>
      <c r="L60" s="4" t="s">
        <v>29</v>
      </c>
      <c r="M60" s="7"/>
      <c r="N60" s="7"/>
      <c r="O60" s="4" t="s">
        <v>29</v>
      </c>
      <c r="P60" s="4" t="s">
        <v>29</v>
      </c>
      <c r="Q60" s="4" t="s">
        <v>29</v>
      </c>
      <c r="R60" s="7"/>
      <c r="S60" s="7"/>
      <c r="T60" s="7"/>
      <c r="U60" s="7"/>
      <c r="V60" s="7"/>
      <c r="W60" s="7"/>
      <c r="X60" s="7"/>
      <c r="Y60" s="7"/>
    </row>
    <row r="61">
      <c r="A61" s="4" t="s">
        <v>25</v>
      </c>
      <c r="B61" s="4" t="s">
        <v>26</v>
      </c>
      <c r="C61" s="8" t="s">
        <v>92</v>
      </c>
      <c r="D61" s="5">
        <v>1.0</v>
      </c>
      <c r="E61" s="6">
        <v>10.0</v>
      </c>
      <c r="F61" s="6">
        <f t="shared" si="1"/>
        <v>7.5</v>
      </c>
      <c r="G61" s="6">
        <f t="shared" si="2"/>
        <v>15</v>
      </c>
      <c r="H61" s="4" t="s">
        <v>28</v>
      </c>
      <c r="I61" s="4"/>
      <c r="J61" s="4"/>
      <c r="K61" s="4" t="s">
        <v>29</v>
      </c>
      <c r="L61" s="4" t="s">
        <v>29</v>
      </c>
      <c r="M61" s="7"/>
      <c r="N61" s="7"/>
      <c r="O61" s="7"/>
      <c r="P61" s="4" t="s">
        <v>29</v>
      </c>
      <c r="Q61" s="4" t="s">
        <v>29</v>
      </c>
      <c r="R61" s="7"/>
      <c r="S61" s="7"/>
      <c r="T61" s="7"/>
      <c r="U61" s="7"/>
      <c r="V61" s="7"/>
      <c r="W61" s="4" t="s">
        <v>29</v>
      </c>
      <c r="X61" s="7"/>
      <c r="Y61" s="7"/>
    </row>
    <row r="62">
      <c r="A62" s="4" t="s">
        <v>25</v>
      </c>
      <c r="B62" s="4" t="s">
        <v>26</v>
      </c>
      <c r="C62" s="8" t="s">
        <v>93</v>
      </c>
      <c r="D62" s="5" t="s">
        <v>26</v>
      </c>
      <c r="E62" s="6">
        <v>100.0</v>
      </c>
      <c r="F62" s="6">
        <f t="shared" si="1"/>
        <v>75</v>
      </c>
      <c r="G62" s="6">
        <f t="shared" si="2"/>
        <v>150</v>
      </c>
      <c r="H62" s="4" t="s">
        <v>28</v>
      </c>
      <c r="I62" s="4"/>
      <c r="J62" s="4"/>
      <c r="K62" s="4" t="s">
        <v>29</v>
      </c>
      <c r="L62" s="7"/>
      <c r="M62" s="7"/>
      <c r="N62" s="7"/>
      <c r="O62" s="4"/>
      <c r="P62" s="7"/>
      <c r="Q62" s="7"/>
      <c r="R62" s="7"/>
      <c r="S62" s="4" t="s">
        <v>29</v>
      </c>
      <c r="T62" s="7"/>
      <c r="U62" s="7"/>
      <c r="V62" s="7"/>
      <c r="W62" s="7"/>
      <c r="X62" s="7"/>
      <c r="Y62" s="7"/>
    </row>
    <row r="63">
      <c r="A63" s="4" t="s">
        <v>25</v>
      </c>
      <c r="B63" s="4" t="s">
        <v>26</v>
      </c>
      <c r="C63" s="8" t="s">
        <v>94</v>
      </c>
      <c r="D63" s="5">
        <v>6.0</v>
      </c>
      <c r="E63" s="6">
        <v>2.0</v>
      </c>
      <c r="F63" s="6">
        <f t="shared" si="1"/>
        <v>1.5</v>
      </c>
      <c r="G63" s="6">
        <f t="shared" si="2"/>
        <v>3</v>
      </c>
      <c r="H63" s="4" t="s">
        <v>28</v>
      </c>
      <c r="I63" s="4"/>
      <c r="J63" s="4"/>
      <c r="K63" s="4" t="s">
        <v>29</v>
      </c>
      <c r="L63" s="4" t="s">
        <v>29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4" t="s">
        <v>29</v>
      </c>
      <c r="X63" s="7"/>
      <c r="Y63" s="7"/>
    </row>
    <row r="64">
      <c r="A64" s="4" t="s">
        <v>25</v>
      </c>
      <c r="B64" s="4" t="s">
        <v>26</v>
      </c>
      <c r="C64" s="8" t="s">
        <v>95</v>
      </c>
      <c r="D64" s="5" t="s">
        <v>26</v>
      </c>
      <c r="E64" s="6">
        <v>1.0</v>
      </c>
      <c r="F64" s="6">
        <f t="shared" si="1"/>
        <v>0.75</v>
      </c>
      <c r="G64" s="6">
        <f t="shared" si="2"/>
        <v>1.5</v>
      </c>
      <c r="H64" s="4" t="s">
        <v>28</v>
      </c>
      <c r="I64" s="4"/>
      <c r="J64" s="4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4" t="s">
        <v>25</v>
      </c>
      <c r="B65" s="4" t="s">
        <v>26</v>
      </c>
      <c r="C65" s="8" t="s">
        <v>96</v>
      </c>
      <c r="D65" s="5">
        <v>0.5</v>
      </c>
      <c r="E65" s="6">
        <v>5.0</v>
      </c>
      <c r="F65" s="6">
        <f t="shared" si="1"/>
        <v>3.75</v>
      </c>
      <c r="G65" s="6">
        <f t="shared" si="2"/>
        <v>7.5</v>
      </c>
      <c r="H65" s="4" t="s">
        <v>28</v>
      </c>
      <c r="I65" s="4"/>
      <c r="J65" s="4"/>
      <c r="K65" s="4" t="s">
        <v>29</v>
      </c>
      <c r="L65" s="4"/>
      <c r="M65" s="7"/>
      <c r="N65" s="7"/>
      <c r="O65" s="7"/>
      <c r="P65" s="4" t="s">
        <v>29</v>
      </c>
      <c r="Q65" s="4" t="s">
        <v>29</v>
      </c>
      <c r="R65" s="7"/>
      <c r="S65" s="7"/>
      <c r="T65" s="7"/>
      <c r="U65" s="7"/>
      <c r="V65" s="7"/>
      <c r="W65" s="7"/>
      <c r="X65" s="7"/>
      <c r="Y65" s="7"/>
    </row>
    <row r="66">
      <c r="A66" s="4" t="s">
        <v>25</v>
      </c>
      <c r="B66" s="4" t="s">
        <v>26</v>
      </c>
      <c r="C66" s="8" t="s">
        <v>97</v>
      </c>
      <c r="D66" s="5">
        <v>3.0</v>
      </c>
      <c r="E66" s="6">
        <v>1.0</v>
      </c>
      <c r="F66" s="6">
        <f t="shared" si="1"/>
        <v>0.75</v>
      </c>
      <c r="G66" s="6">
        <f t="shared" si="2"/>
        <v>1.5</v>
      </c>
      <c r="H66" s="4" t="s">
        <v>28</v>
      </c>
      <c r="I66" s="4"/>
      <c r="J66" s="4" t="s">
        <v>29</v>
      </c>
      <c r="K66" s="4" t="s">
        <v>29</v>
      </c>
      <c r="L66" s="7"/>
      <c r="M66" s="7"/>
      <c r="N66" s="7"/>
      <c r="O66" s="7"/>
      <c r="P66" s="4" t="s">
        <v>29</v>
      </c>
      <c r="Q66" s="7"/>
      <c r="R66" s="7"/>
      <c r="S66" s="7"/>
      <c r="T66" s="7"/>
      <c r="U66" s="7"/>
      <c r="V66" s="7"/>
      <c r="W66" s="7"/>
      <c r="X66" s="7"/>
      <c r="Y66" s="7"/>
    </row>
    <row r="67">
      <c r="A67" s="4" t="s">
        <v>25</v>
      </c>
      <c r="B67" s="4" t="s">
        <v>26</v>
      </c>
      <c r="C67" s="8" t="s">
        <v>98</v>
      </c>
      <c r="D67" s="5">
        <v>1.0</v>
      </c>
      <c r="E67" s="6">
        <v>0.1</v>
      </c>
      <c r="F67" s="6">
        <f t="shared" si="1"/>
        <v>0.075</v>
      </c>
      <c r="G67" s="6">
        <f t="shared" si="2"/>
        <v>0.15</v>
      </c>
      <c r="H67" s="4" t="s">
        <v>28</v>
      </c>
      <c r="I67" s="4" t="s">
        <v>29</v>
      </c>
      <c r="J67" s="4" t="s">
        <v>29</v>
      </c>
      <c r="K67" s="4" t="s">
        <v>29</v>
      </c>
      <c r="L67" s="7"/>
      <c r="M67" s="7"/>
      <c r="N67" s="7"/>
      <c r="O67" s="4" t="s">
        <v>29</v>
      </c>
      <c r="P67" s="7"/>
      <c r="Q67" s="7"/>
      <c r="R67" s="7"/>
      <c r="S67" s="7"/>
      <c r="T67" s="4" t="s">
        <v>29</v>
      </c>
      <c r="U67" s="7"/>
      <c r="V67" s="7"/>
      <c r="W67" s="4" t="s">
        <v>29</v>
      </c>
      <c r="X67" s="7"/>
      <c r="Y67" s="7"/>
    </row>
    <row r="68">
      <c r="A68" s="4" t="s">
        <v>25</v>
      </c>
      <c r="B68" s="4" t="s">
        <v>26</v>
      </c>
      <c r="C68" s="8" t="s">
        <v>99</v>
      </c>
      <c r="D68" s="5" t="s">
        <v>26</v>
      </c>
      <c r="E68" s="6">
        <v>0.2</v>
      </c>
      <c r="F68" s="6">
        <f t="shared" si="1"/>
        <v>0.15</v>
      </c>
      <c r="G68" s="6">
        <f t="shared" si="2"/>
        <v>0.3</v>
      </c>
      <c r="H68" s="4" t="s">
        <v>28</v>
      </c>
      <c r="I68" s="4"/>
      <c r="J68" s="4" t="s">
        <v>29</v>
      </c>
      <c r="K68" s="4" t="s">
        <v>29</v>
      </c>
      <c r="L68" s="7"/>
      <c r="M68" s="7"/>
      <c r="N68" s="7"/>
      <c r="O68" s="4" t="s">
        <v>29</v>
      </c>
      <c r="P68" s="4" t="s">
        <v>29</v>
      </c>
      <c r="Q68" s="4" t="s">
        <v>29</v>
      </c>
      <c r="R68" s="7"/>
      <c r="S68" s="7"/>
      <c r="T68" s="7"/>
      <c r="U68" s="4" t="s">
        <v>29</v>
      </c>
      <c r="V68" s="7"/>
      <c r="W68" s="7"/>
      <c r="X68" s="7"/>
      <c r="Y68" s="7"/>
    </row>
    <row r="69">
      <c r="A69" s="4" t="s">
        <v>25</v>
      </c>
      <c r="B69" s="4" t="s">
        <v>26</v>
      </c>
      <c r="C69" s="8" t="s">
        <v>100</v>
      </c>
      <c r="D69" s="5" t="s">
        <v>26</v>
      </c>
      <c r="E69" s="6">
        <v>0.1</v>
      </c>
      <c r="F69" s="6">
        <f t="shared" si="1"/>
        <v>0.075</v>
      </c>
      <c r="G69" s="6">
        <f t="shared" si="2"/>
        <v>0.15</v>
      </c>
      <c r="H69" s="4" t="s">
        <v>28</v>
      </c>
      <c r="I69" s="4" t="s">
        <v>29</v>
      </c>
      <c r="J69" s="4" t="s">
        <v>29</v>
      </c>
      <c r="K69" s="4" t="s">
        <v>29</v>
      </c>
      <c r="L69" s="7"/>
      <c r="M69" s="7"/>
      <c r="N69" s="7"/>
      <c r="O69" s="4" t="s">
        <v>29</v>
      </c>
      <c r="P69" s="4" t="s">
        <v>29</v>
      </c>
      <c r="Q69" s="4" t="s">
        <v>29</v>
      </c>
      <c r="R69" s="7"/>
      <c r="S69" s="7"/>
      <c r="T69" s="7"/>
      <c r="U69" s="4" t="s">
        <v>29</v>
      </c>
      <c r="V69" s="7"/>
      <c r="W69" s="7"/>
      <c r="X69" s="7"/>
      <c r="Y69" s="7"/>
    </row>
    <row r="70">
      <c r="A70" s="4" t="s">
        <v>25</v>
      </c>
      <c r="B70" s="4" t="s">
        <v>26</v>
      </c>
      <c r="C70" s="8" t="s">
        <v>101</v>
      </c>
      <c r="D70" s="5" t="s">
        <v>26</v>
      </c>
      <c r="E70" s="6">
        <v>5.0</v>
      </c>
      <c r="F70" s="6">
        <f t="shared" si="1"/>
        <v>3.75</v>
      </c>
      <c r="G70" s="6">
        <f t="shared" si="2"/>
        <v>7.5</v>
      </c>
      <c r="H70" s="4" t="s">
        <v>28</v>
      </c>
      <c r="I70" s="4"/>
      <c r="J70" s="4"/>
      <c r="K70" s="4" t="s">
        <v>29</v>
      </c>
      <c r="L70" s="7"/>
      <c r="M70" s="7"/>
      <c r="N70" s="7"/>
      <c r="O70" s="4" t="s">
        <v>29</v>
      </c>
      <c r="P70" s="7"/>
      <c r="Q70" s="7"/>
      <c r="R70" s="7"/>
      <c r="S70" s="7"/>
      <c r="T70" s="4" t="s">
        <v>29</v>
      </c>
      <c r="U70" s="7"/>
      <c r="V70" s="7"/>
      <c r="W70" s="7"/>
      <c r="X70" s="7"/>
      <c r="Y70" s="7"/>
    </row>
    <row r="71">
      <c r="A71" s="4" t="s">
        <v>25</v>
      </c>
      <c r="B71" s="4" t="s">
        <v>26</v>
      </c>
      <c r="C71" s="8" t="s">
        <v>102</v>
      </c>
      <c r="D71" s="5" t="s">
        <v>26</v>
      </c>
      <c r="E71" s="6">
        <v>100.0</v>
      </c>
      <c r="F71" s="6">
        <f t="shared" si="1"/>
        <v>75</v>
      </c>
      <c r="G71" s="6">
        <f t="shared" si="2"/>
        <v>150</v>
      </c>
      <c r="H71" s="4" t="s">
        <v>28</v>
      </c>
      <c r="I71" s="4" t="s">
        <v>29</v>
      </c>
      <c r="J71" s="4" t="s">
        <v>29</v>
      </c>
      <c r="K71" s="4" t="s">
        <v>29</v>
      </c>
      <c r="L71" s="7"/>
      <c r="M71" s="7"/>
      <c r="N71" s="7"/>
      <c r="O71" s="7"/>
      <c r="P71" s="7"/>
      <c r="Q71" s="7"/>
      <c r="R71" s="7"/>
      <c r="S71" s="7"/>
      <c r="T71" s="4" t="s">
        <v>29</v>
      </c>
      <c r="U71" s="7"/>
      <c r="V71" s="7"/>
      <c r="W71" s="4" t="s">
        <v>29</v>
      </c>
      <c r="X71" s="7"/>
      <c r="Y71" s="7"/>
    </row>
    <row r="72">
      <c r="A72" s="4" t="s">
        <v>25</v>
      </c>
      <c r="B72" s="4" t="s">
        <v>26</v>
      </c>
      <c r="C72" s="8" t="s">
        <v>103</v>
      </c>
      <c r="D72" s="5">
        <v>7.0</v>
      </c>
      <c r="E72" s="6">
        <v>0.05</v>
      </c>
      <c r="F72" s="6">
        <f t="shared" si="1"/>
        <v>0.0375</v>
      </c>
      <c r="G72" s="6">
        <f t="shared" si="2"/>
        <v>0.075</v>
      </c>
      <c r="H72" s="4" t="s">
        <v>28</v>
      </c>
      <c r="I72" s="4" t="s">
        <v>29</v>
      </c>
      <c r="J72" s="4" t="s">
        <v>29</v>
      </c>
      <c r="K72" s="4" t="s">
        <v>29</v>
      </c>
      <c r="L72" s="7"/>
      <c r="M72" s="7"/>
      <c r="N72" s="7"/>
      <c r="O72" s="7"/>
      <c r="P72" s="7"/>
      <c r="Q72" s="4" t="s">
        <v>29</v>
      </c>
      <c r="R72" s="7"/>
      <c r="S72" s="7"/>
      <c r="T72" s="7"/>
      <c r="U72" s="7"/>
      <c r="V72" s="7"/>
      <c r="W72" s="7"/>
      <c r="X72" s="7"/>
      <c r="Y72" s="7"/>
    </row>
    <row r="73">
      <c r="A73" s="4" t="s">
        <v>25</v>
      </c>
      <c r="B73" s="4" t="s">
        <v>26</v>
      </c>
      <c r="C73" s="8" t="s">
        <v>104</v>
      </c>
      <c r="D73" s="5">
        <v>10.0</v>
      </c>
      <c r="E73" s="6">
        <v>2.0</v>
      </c>
      <c r="F73" s="6">
        <f t="shared" si="1"/>
        <v>1.5</v>
      </c>
      <c r="G73" s="6">
        <f t="shared" si="2"/>
        <v>3</v>
      </c>
      <c r="H73" s="4" t="s">
        <v>28</v>
      </c>
      <c r="I73" s="4" t="s">
        <v>29</v>
      </c>
      <c r="J73" s="4" t="s">
        <v>29</v>
      </c>
      <c r="K73" s="4" t="s">
        <v>29</v>
      </c>
      <c r="L73" s="4" t="s">
        <v>29</v>
      </c>
      <c r="M73" s="7"/>
      <c r="N73" s="7"/>
      <c r="O73" s="7"/>
      <c r="P73" s="4" t="s">
        <v>29</v>
      </c>
      <c r="Q73" s="4" t="s">
        <v>29</v>
      </c>
      <c r="R73" s="7"/>
      <c r="S73" s="7"/>
      <c r="T73" s="7"/>
      <c r="U73" s="7"/>
      <c r="V73" s="7"/>
      <c r="W73" s="7"/>
      <c r="X73" s="7"/>
      <c r="Y73" s="7"/>
    </row>
    <row r="74">
      <c r="A74" s="4" t="s">
        <v>25</v>
      </c>
      <c r="B74" s="4" t="s">
        <v>26</v>
      </c>
      <c r="C74" s="8" t="s">
        <v>105</v>
      </c>
      <c r="D74" s="5">
        <v>0.5</v>
      </c>
      <c r="E74" s="6">
        <v>50.0</v>
      </c>
      <c r="F74" s="6">
        <f t="shared" si="1"/>
        <v>37.5</v>
      </c>
      <c r="G74" s="6">
        <f t="shared" si="2"/>
        <v>75</v>
      </c>
      <c r="H74" s="4" t="s">
        <v>28</v>
      </c>
      <c r="I74" s="4"/>
      <c r="J74" s="4" t="s">
        <v>29</v>
      </c>
      <c r="K74" s="4" t="s">
        <v>29</v>
      </c>
      <c r="L74" s="7"/>
      <c r="M74" s="7"/>
      <c r="N74" s="7"/>
      <c r="O74" s="4" t="s">
        <v>29</v>
      </c>
      <c r="P74" s="7"/>
      <c r="Q74" s="7"/>
      <c r="R74" s="7"/>
      <c r="S74" s="7"/>
      <c r="T74" s="4" t="s">
        <v>29</v>
      </c>
      <c r="U74" s="7"/>
      <c r="V74" s="7"/>
      <c r="W74" s="7"/>
      <c r="X74" s="7"/>
      <c r="Y74" s="7"/>
    </row>
    <row r="75">
      <c r="A75" s="4" t="s">
        <v>25</v>
      </c>
      <c r="B75" s="4" t="s">
        <v>26</v>
      </c>
      <c r="C75" s="8" t="s">
        <v>106</v>
      </c>
      <c r="D75" s="5">
        <v>1.0</v>
      </c>
      <c r="E75" s="6">
        <v>0.5</v>
      </c>
      <c r="F75" s="6">
        <f t="shared" si="1"/>
        <v>0.375</v>
      </c>
      <c r="G75" s="6">
        <f t="shared" si="2"/>
        <v>0.75</v>
      </c>
      <c r="H75" s="4" t="s">
        <v>28</v>
      </c>
      <c r="I75" s="4" t="s">
        <v>29</v>
      </c>
      <c r="J75" s="4" t="s">
        <v>29</v>
      </c>
      <c r="K75" s="4" t="s">
        <v>29</v>
      </c>
      <c r="L75" s="7"/>
      <c r="M75" s="7"/>
      <c r="N75" s="7"/>
      <c r="O75" s="7"/>
      <c r="P75" s="4" t="s">
        <v>29</v>
      </c>
      <c r="Q75" s="4" t="s">
        <v>29</v>
      </c>
      <c r="R75" s="4" t="s">
        <v>29</v>
      </c>
      <c r="S75" s="7"/>
      <c r="T75" s="4" t="s">
        <v>29</v>
      </c>
      <c r="U75" s="4" t="s">
        <v>29</v>
      </c>
      <c r="V75" s="7"/>
      <c r="W75" s="4"/>
      <c r="X75" s="4"/>
      <c r="Y75" s="4" t="s">
        <v>29</v>
      </c>
    </row>
    <row r="76">
      <c r="A76" s="4" t="s">
        <v>25</v>
      </c>
      <c r="B76" s="4" t="s">
        <v>26</v>
      </c>
      <c r="C76" s="8" t="s">
        <v>107</v>
      </c>
      <c r="D76" s="5">
        <v>29.0</v>
      </c>
      <c r="E76" s="6">
        <v>33.0</v>
      </c>
      <c r="F76" s="6">
        <f t="shared" si="1"/>
        <v>24.75</v>
      </c>
      <c r="G76" s="6">
        <f t="shared" si="2"/>
        <v>49.5</v>
      </c>
      <c r="H76" s="4" t="s">
        <v>28</v>
      </c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4" t="s">
        <v>25</v>
      </c>
      <c r="B77" s="4" t="s">
        <v>26</v>
      </c>
      <c r="C77" s="8" t="s">
        <v>108</v>
      </c>
      <c r="D77" s="5">
        <v>1.0</v>
      </c>
      <c r="E77" s="6">
        <v>1.0</v>
      </c>
      <c r="F77" s="6">
        <f t="shared" si="1"/>
        <v>0.75</v>
      </c>
      <c r="G77" s="6">
        <f t="shared" si="2"/>
        <v>1.5</v>
      </c>
      <c r="H77" s="4" t="s">
        <v>28</v>
      </c>
      <c r="I77" s="4" t="s">
        <v>29</v>
      </c>
      <c r="J77" s="4" t="s">
        <v>29</v>
      </c>
      <c r="K77" s="4" t="s">
        <v>29</v>
      </c>
      <c r="L77" s="7"/>
      <c r="M77" s="4" t="s">
        <v>29</v>
      </c>
      <c r="N77" s="7"/>
      <c r="O77" s="7"/>
      <c r="P77" s="7"/>
      <c r="Q77" s="4" t="s">
        <v>29</v>
      </c>
      <c r="R77" s="7"/>
      <c r="S77" s="7"/>
      <c r="T77" s="7"/>
      <c r="U77" s="7"/>
      <c r="V77" s="7"/>
      <c r="W77" s="7"/>
      <c r="X77" s="7"/>
      <c r="Y77" s="7"/>
    </row>
    <row r="78">
      <c r="A78" s="4" t="s">
        <v>25</v>
      </c>
      <c r="B78" s="4" t="s">
        <v>26</v>
      </c>
      <c r="C78" s="8" t="s">
        <v>109</v>
      </c>
      <c r="D78" s="5">
        <v>35.0</v>
      </c>
      <c r="E78" s="6">
        <v>4.0</v>
      </c>
      <c r="F78" s="6">
        <f t="shared" si="1"/>
        <v>3</v>
      </c>
      <c r="G78" s="6">
        <f t="shared" si="2"/>
        <v>6</v>
      </c>
      <c r="H78" s="4" t="s">
        <v>28</v>
      </c>
      <c r="I78" s="4"/>
      <c r="J78" s="4"/>
      <c r="K78" s="4" t="s">
        <v>29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" t="s">
        <v>29</v>
      </c>
      <c r="X78" s="7"/>
      <c r="Y78" s="7"/>
    </row>
    <row r="79">
      <c r="A79" s="4" t="s">
        <v>25</v>
      </c>
      <c r="B79" s="4" t="s">
        <v>26</v>
      </c>
      <c r="C79" s="8" t="s">
        <v>110</v>
      </c>
      <c r="D79" s="5">
        <v>2.0</v>
      </c>
      <c r="E79" s="6">
        <v>0.5</v>
      </c>
      <c r="F79" s="6">
        <f t="shared" si="1"/>
        <v>0.375</v>
      </c>
      <c r="G79" s="6">
        <f t="shared" si="2"/>
        <v>0.75</v>
      </c>
      <c r="H79" s="4" t="s">
        <v>28</v>
      </c>
      <c r="I79" s="4" t="s">
        <v>29</v>
      </c>
      <c r="J79" s="4" t="s">
        <v>29</v>
      </c>
      <c r="K79" s="4" t="s">
        <v>29</v>
      </c>
      <c r="L79" s="7"/>
      <c r="M79" s="7"/>
      <c r="N79" s="7"/>
      <c r="O79" s="4" t="s">
        <v>29</v>
      </c>
      <c r="P79" s="7"/>
      <c r="Q79" s="4" t="s">
        <v>29</v>
      </c>
      <c r="R79" s="4" t="s">
        <v>29</v>
      </c>
      <c r="S79" s="7"/>
      <c r="T79" s="7"/>
      <c r="U79" s="4" t="s">
        <v>29</v>
      </c>
      <c r="V79" s="7"/>
      <c r="W79" s="7"/>
      <c r="X79" s="7"/>
      <c r="Y79" s="7"/>
    </row>
    <row r="80">
      <c r="A80" s="4" t="s">
        <v>25</v>
      </c>
      <c r="B80" s="4" t="s">
        <v>26</v>
      </c>
      <c r="C80" s="8" t="s">
        <v>111</v>
      </c>
      <c r="D80" s="5">
        <v>4.0</v>
      </c>
      <c r="E80" s="6">
        <v>1.0</v>
      </c>
      <c r="F80" s="6">
        <f t="shared" si="1"/>
        <v>0.75</v>
      </c>
      <c r="G80" s="6">
        <f t="shared" si="2"/>
        <v>1.5</v>
      </c>
      <c r="H80" s="4" t="s">
        <v>28</v>
      </c>
      <c r="I80" s="4" t="s">
        <v>29</v>
      </c>
      <c r="J80" s="4" t="s">
        <v>29</v>
      </c>
      <c r="K80" s="4" t="s">
        <v>29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4" t="s">
        <v>25</v>
      </c>
      <c r="B81" s="4" t="s">
        <v>26</v>
      </c>
      <c r="C81" s="8" t="s">
        <v>112</v>
      </c>
      <c r="D81" s="5">
        <v>5.0</v>
      </c>
      <c r="E81" s="6">
        <v>1.0</v>
      </c>
      <c r="F81" s="6">
        <f t="shared" si="1"/>
        <v>0.75</v>
      </c>
      <c r="G81" s="6">
        <f t="shared" si="2"/>
        <v>1.5</v>
      </c>
      <c r="H81" s="4" t="s">
        <v>28</v>
      </c>
      <c r="I81" s="4" t="s">
        <v>29</v>
      </c>
      <c r="J81" s="4" t="s">
        <v>29</v>
      </c>
      <c r="K81" s="4" t="s">
        <v>29</v>
      </c>
      <c r="L81" s="7"/>
      <c r="M81" s="7"/>
      <c r="N81" s="7"/>
      <c r="O81" s="7"/>
      <c r="P81" s="4" t="s">
        <v>29</v>
      </c>
      <c r="Q81" s="4" t="s">
        <v>29</v>
      </c>
      <c r="R81" s="7"/>
      <c r="S81" s="7"/>
      <c r="T81" s="7"/>
      <c r="U81" s="7"/>
      <c r="V81" s="7"/>
      <c r="W81" s="4" t="s">
        <v>29</v>
      </c>
      <c r="X81" s="7"/>
      <c r="Y81" s="7"/>
    </row>
    <row r="82">
      <c r="A82" s="4" t="s">
        <v>25</v>
      </c>
      <c r="B82" s="4" t="s">
        <v>26</v>
      </c>
      <c r="C82" s="8" t="s">
        <v>113</v>
      </c>
      <c r="D82" s="5">
        <v>0.5</v>
      </c>
      <c r="E82" s="6">
        <v>0.01</v>
      </c>
      <c r="F82" s="6">
        <f t="shared" si="1"/>
        <v>0.0075</v>
      </c>
      <c r="G82" s="6">
        <f t="shared" si="2"/>
        <v>0.015</v>
      </c>
      <c r="H82" s="4" t="s">
        <v>28</v>
      </c>
      <c r="I82" s="4" t="s">
        <v>29</v>
      </c>
      <c r="J82" s="4" t="s">
        <v>29</v>
      </c>
      <c r="K82" s="4" t="s">
        <v>29</v>
      </c>
      <c r="L82" s="7"/>
      <c r="M82" s="7"/>
      <c r="N82" s="7"/>
      <c r="O82" s="7"/>
      <c r="P82" s="4" t="s">
        <v>29</v>
      </c>
      <c r="Q82" s="4" t="s">
        <v>29</v>
      </c>
      <c r="R82" s="4" t="s">
        <v>29</v>
      </c>
      <c r="S82" s="7"/>
      <c r="T82" s="7"/>
      <c r="U82" s="7"/>
      <c r="V82" s="7"/>
      <c r="W82" s="7"/>
      <c r="X82" s="7"/>
      <c r="Y82" s="7"/>
    </row>
    <row r="83">
      <c r="A83" s="4" t="s">
        <v>25</v>
      </c>
      <c r="B83" s="4" t="s">
        <v>26</v>
      </c>
      <c r="C83" s="8" t="s">
        <v>114</v>
      </c>
      <c r="D83" s="5">
        <v>22.0</v>
      </c>
      <c r="E83" s="6">
        <v>40.0</v>
      </c>
      <c r="F83" s="6">
        <f t="shared" si="1"/>
        <v>30</v>
      </c>
      <c r="G83" s="6">
        <f t="shared" si="2"/>
        <v>60</v>
      </c>
      <c r="H83" s="4" t="s">
        <v>28</v>
      </c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4" t="s">
        <v>25</v>
      </c>
      <c r="B84" s="4" t="s">
        <v>26</v>
      </c>
      <c r="C84" s="8" t="s">
        <v>115</v>
      </c>
      <c r="D84" s="5">
        <v>5.0</v>
      </c>
      <c r="E84" s="6">
        <v>2.0</v>
      </c>
      <c r="F84" s="6">
        <f t="shared" si="1"/>
        <v>1.5</v>
      </c>
      <c r="G84" s="6">
        <f t="shared" si="2"/>
        <v>3</v>
      </c>
      <c r="H84" s="4" t="s">
        <v>28</v>
      </c>
      <c r="I84" s="4" t="s">
        <v>29</v>
      </c>
      <c r="J84" s="4" t="s">
        <v>29</v>
      </c>
      <c r="K84" s="4" t="s">
        <v>29</v>
      </c>
      <c r="L84" s="7"/>
      <c r="M84" s="7"/>
      <c r="N84" s="7"/>
      <c r="O84" s="7"/>
      <c r="P84" s="4" t="s">
        <v>29</v>
      </c>
      <c r="Q84" s="4" t="s">
        <v>29</v>
      </c>
      <c r="R84" s="7"/>
      <c r="S84" s="7"/>
      <c r="T84" s="7"/>
      <c r="U84" s="7"/>
      <c r="V84" s="7"/>
      <c r="W84" s="7"/>
      <c r="X84" s="7"/>
      <c r="Y84" s="7"/>
    </row>
    <row r="85">
      <c r="A85" s="4" t="s">
        <v>25</v>
      </c>
      <c r="B85" s="4" t="s">
        <v>26</v>
      </c>
      <c r="C85" s="8" t="s">
        <v>116</v>
      </c>
      <c r="D85" s="5" t="s">
        <v>26</v>
      </c>
      <c r="E85" s="6">
        <v>0.05</v>
      </c>
      <c r="F85" s="6">
        <f t="shared" si="1"/>
        <v>0.0375</v>
      </c>
      <c r="G85" s="6">
        <f t="shared" si="2"/>
        <v>0.075</v>
      </c>
      <c r="H85" s="4" t="s">
        <v>28</v>
      </c>
      <c r="I85" s="4"/>
      <c r="J85" s="4" t="s">
        <v>29</v>
      </c>
      <c r="K85" s="4" t="s">
        <v>29</v>
      </c>
      <c r="L85" s="7"/>
      <c r="M85" s="7"/>
      <c r="N85" s="7"/>
      <c r="O85" s="7"/>
      <c r="P85" s="7"/>
      <c r="Q85" s="4" t="s">
        <v>29</v>
      </c>
      <c r="R85" s="7"/>
      <c r="S85" s="7"/>
      <c r="T85" s="7"/>
      <c r="U85" s="7"/>
      <c r="V85" s="7"/>
      <c r="W85" s="7"/>
      <c r="X85" s="7"/>
      <c r="Y85" s="7"/>
    </row>
    <row r="86">
      <c r="A86" s="4" t="s">
        <v>25</v>
      </c>
      <c r="B86" s="4" t="s">
        <v>26</v>
      </c>
      <c r="C86" s="8" t="s">
        <v>117</v>
      </c>
      <c r="D86" s="5" t="s">
        <v>26</v>
      </c>
      <c r="E86" s="6">
        <v>30.0</v>
      </c>
      <c r="F86" s="6">
        <f t="shared" si="1"/>
        <v>22.5</v>
      </c>
      <c r="G86" s="6">
        <f t="shared" si="2"/>
        <v>45</v>
      </c>
      <c r="H86" s="4" t="s">
        <v>28</v>
      </c>
      <c r="I86" s="4" t="s">
        <v>29</v>
      </c>
      <c r="J86" s="4" t="s">
        <v>29</v>
      </c>
      <c r="K86" s="4" t="s">
        <v>29</v>
      </c>
      <c r="L86" s="7"/>
      <c r="M86" s="7"/>
      <c r="N86" s="7"/>
      <c r="O86" s="7"/>
      <c r="P86" s="7"/>
      <c r="Q86" s="7"/>
      <c r="R86" s="7"/>
      <c r="S86" s="7"/>
      <c r="T86" s="7"/>
      <c r="U86" s="4" t="s">
        <v>29</v>
      </c>
      <c r="V86" s="7"/>
      <c r="W86" s="7"/>
      <c r="X86" s="7"/>
      <c r="Y86" s="7"/>
    </row>
    <row r="87">
      <c r="A87" s="4" t="s">
        <v>25</v>
      </c>
      <c r="B87" s="4" t="s">
        <v>26</v>
      </c>
      <c r="C87" s="8" t="s">
        <v>118</v>
      </c>
      <c r="D87" s="5" t="s">
        <v>26</v>
      </c>
      <c r="E87" s="6">
        <v>50.0</v>
      </c>
      <c r="F87" s="6">
        <f t="shared" si="1"/>
        <v>37.5</v>
      </c>
      <c r="G87" s="6">
        <f t="shared" si="2"/>
        <v>75</v>
      </c>
      <c r="H87" s="4" t="s">
        <v>28</v>
      </c>
      <c r="I87" s="4" t="s">
        <v>29</v>
      </c>
      <c r="J87" s="4" t="s">
        <v>29</v>
      </c>
      <c r="K87" s="4" t="s">
        <v>29</v>
      </c>
      <c r="L87" s="7"/>
      <c r="M87" s="7"/>
      <c r="N87" s="7"/>
      <c r="O87" s="7"/>
      <c r="P87" s="7"/>
      <c r="Q87" s="7"/>
      <c r="R87" s="7"/>
      <c r="S87" s="7"/>
      <c r="T87" s="7"/>
      <c r="U87" s="4" t="s">
        <v>29</v>
      </c>
      <c r="V87" s="7"/>
      <c r="W87" s="7"/>
      <c r="X87" s="7"/>
      <c r="Y87" s="7"/>
    </row>
    <row r="88">
      <c r="A88" s="4" t="s">
        <v>25</v>
      </c>
      <c r="B88" s="4" t="s">
        <v>26</v>
      </c>
      <c r="C88" s="8" t="s">
        <v>119</v>
      </c>
      <c r="D88" s="5">
        <v>5.0</v>
      </c>
      <c r="E88" s="6">
        <v>1.0</v>
      </c>
      <c r="F88" s="6">
        <f t="shared" si="1"/>
        <v>0.75</v>
      </c>
      <c r="G88" s="6">
        <f t="shared" si="2"/>
        <v>1.5</v>
      </c>
      <c r="H88" s="4" t="s">
        <v>28</v>
      </c>
      <c r="I88" s="4"/>
      <c r="J88" s="4" t="s">
        <v>29</v>
      </c>
      <c r="K88" s="4" t="s">
        <v>29</v>
      </c>
      <c r="L88" s="4" t="s">
        <v>29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4" t="s">
        <v>29</v>
      </c>
      <c r="X88" s="7"/>
      <c r="Y88" s="7"/>
    </row>
    <row r="89">
      <c r="A89" s="4" t="s">
        <v>25</v>
      </c>
      <c r="B89" s="4" t="s">
        <v>26</v>
      </c>
      <c r="C89" s="8" t="s">
        <v>120</v>
      </c>
      <c r="D89" s="5">
        <v>1.0</v>
      </c>
      <c r="E89" s="6">
        <v>1000.0</v>
      </c>
      <c r="F89" s="6">
        <f t="shared" si="1"/>
        <v>750</v>
      </c>
      <c r="G89" s="6">
        <f t="shared" si="2"/>
        <v>1500</v>
      </c>
      <c r="H89" s="4" t="s">
        <v>28</v>
      </c>
      <c r="I89" s="4"/>
      <c r="J89" s="4" t="s">
        <v>29</v>
      </c>
      <c r="K89" s="4" t="s">
        <v>29</v>
      </c>
      <c r="L89" s="7"/>
      <c r="M89" s="7"/>
      <c r="N89" s="7"/>
      <c r="O89" s="7"/>
      <c r="P89" s="7"/>
      <c r="Q89" s="4" t="s">
        <v>29</v>
      </c>
      <c r="R89" s="7"/>
      <c r="S89" s="7"/>
      <c r="T89" s="7"/>
      <c r="U89" s="7"/>
      <c r="V89" s="7"/>
      <c r="W89" s="7"/>
      <c r="X89" s="7"/>
      <c r="Y89" s="7"/>
    </row>
    <row r="90">
      <c r="A90" s="4" t="s">
        <v>25</v>
      </c>
      <c r="B90" s="4" t="s">
        <v>26</v>
      </c>
      <c r="C90" s="8" t="s">
        <v>121</v>
      </c>
      <c r="D90" s="5" t="s">
        <v>26</v>
      </c>
      <c r="E90" s="6">
        <v>0.1</v>
      </c>
      <c r="F90" s="6">
        <f t="shared" si="1"/>
        <v>0.075</v>
      </c>
      <c r="G90" s="6">
        <f t="shared" si="2"/>
        <v>0.15</v>
      </c>
      <c r="H90" s="4" t="s">
        <v>28</v>
      </c>
      <c r="I90" s="4" t="s">
        <v>29</v>
      </c>
      <c r="J90" s="4" t="s">
        <v>29</v>
      </c>
      <c r="K90" s="4" t="s">
        <v>29</v>
      </c>
      <c r="L90" s="7"/>
      <c r="M90" s="7"/>
      <c r="N90" s="7"/>
      <c r="O90" s="7"/>
      <c r="P90" s="4" t="s">
        <v>29</v>
      </c>
      <c r="Q90" s="7"/>
      <c r="R90" s="7"/>
      <c r="S90" s="7"/>
      <c r="T90" s="7"/>
      <c r="U90" s="7"/>
      <c r="V90" s="7"/>
      <c r="W90" s="7"/>
      <c r="X90" s="7"/>
      <c r="Y90" s="7"/>
    </row>
    <row r="91">
      <c r="A91" s="4" t="s">
        <v>25</v>
      </c>
      <c r="B91" s="4" t="s">
        <v>26</v>
      </c>
      <c r="C91" s="8" t="s">
        <v>122</v>
      </c>
      <c r="D91" s="5">
        <v>20.0</v>
      </c>
      <c r="E91" s="6">
        <v>2.0</v>
      </c>
      <c r="F91" s="6">
        <f t="shared" si="1"/>
        <v>1.5</v>
      </c>
      <c r="G91" s="6">
        <f t="shared" si="2"/>
        <v>3</v>
      </c>
      <c r="H91" s="4" t="s">
        <v>28</v>
      </c>
      <c r="I91" s="4"/>
      <c r="J91" s="4" t="s">
        <v>29</v>
      </c>
      <c r="K91" s="4" t="s">
        <v>29</v>
      </c>
      <c r="L91" s="7"/>
      <c r="M91" s="7"/>
      <c r="N91" s="7"/>
      <c r="O91" s="7"/>
      <c r="P91" s="7"/>
      <c r="Q91" s="4" t="s">
        <v>29</v>
      </c>
      <c r="R91" s="4" t="s">
        <v>29</v>
      </c>
      <c r="S91" s="7"/>
      <c r="T91" s="7"/>
      <c r="U91" s="7"/>
      <c r="V91" s="7"/>
      <c r="W91" s="7"/>
      <c r="X91" s="7"/>
      <c r="Y91" s="7"/>
    </row>
    <row r="92">
      <c r="A92" s="4" t="s">
        <v>25</v>
      </c>
      <c r="B92" s="4" t="s">
        <v>26</v>
      </c>
      <c r="C92" s="8" t="s">
        <v>123</v>
      </c>
      <c r="D92" s="5">
        <v>1.0</v>
      </c>
      <c r="E92" s="6">
        <v>0.5</v>
      </c>
      <c r="F92" s="6">
        <f t="shared" si="1"/>
        <v>0.375</v>
      </c>
      <c r="G92" s="6">
        <f t="shared" si="2"/>
        <v>0.75</v>
      </c>
      <c r="H92" s="4" t="s">
        <v>28</v>
      </c>
      <c r="I92" s="4" t="s">
        <v>29</v>
      </c>
      <c r="J92" s="4" t="s">
        <v>29</v>
      </c>
      <c r="K92" s="4" t="s">
        <v>29</v>
      </c>
      <c r="L92" s="7"/>
      <c r="M92" s="7"/>
      <c r="N92" s="7"/>
      <c r="O92" s="7"/>
      <c r="P92" s="7"/>
      <c r="Q92" s="4" t="s">
        <v>29</v>
      </c>
      <c r="R92" s="7"/>
      <c r="S92" s="7"/>
      <c r="T92" s="7"/>
      <c r="U92" s="7"/>
      <c r="V92" s="7"/>
      <c r="W92" s="7"/>
      <c r="X92" s="7"/>
      <c r="Y92" s="7"/>
    </row>
    <row r="93">
      <c r="A93" s="4" t="s">
        <v>25</v>
      </c>
      <c r="B93" s="4" t="s">
        <v>26</v>
      </c>
      <c r="C93" s="8" t="s">
        <v>124</v>
      </c>
      <c r="D93" s="5">
        <v>1.0</v>
      </c>
      <c r="E93" s="6">
        <v>0.01</v>
      </c>
      <c r="F93" s="6">
        <f t="shared" si="1"/>
        <v>0.0075</v>
      </c>
      <c r="G93" s="6">
        <f t="shared" si="2"/>
        <v>0.015</v>
      </c>
      <c r="H93" s="4" t="s">
        <v>28</v>
      </c>
      <c r="I93" s="4" t="s">
        <v>29</v>
      </c>
      <c r="J93" s="4" t="s">
        <v>29</v>
      </c>
      <c r="K93" s="4" t="s">
        <v>29</v>
      </c>
      <c r="L93" s="7"/>
      <c r="M93" s="7"/>
      <c r="N93" s="7"/>
      <c r="O93" s="4" t="s">
        <v>29</v>
      </c>
      <c r="P93" s="7"/>
      <c r="Q93" s="4" t="s">
        <v>29</v>
      </c>
      <c r="R93" s="7"/>
      <c r="S93" s="7"/>
      <c r="T93" s="7"/>
      <c r="U93" s="7"/>
      <c r="V93" s="7"/>
      <c r="W93" s="7"/>
      <c r="X93" s="7"/>
      <c r="Y93" s="7"/>
    </row>
    <row r="94">
      <c r="A94" s="4" t="s">
        <v>25</v>
      </c>
      <c r="B94" s="4" t="s">
        <v>26</v>
      </c>
      <c r="C94" s="8" t="s">
        <v>125</v>
      </c>
      <c r="D94" s="5" t="s">
        <v>26</v>
      </c>
      <c r="E94" s="6">
        <v>1.0</v>
      </c>
      <c r="F94" s="6">
        <f t="shared" si="1"/>
        <v>0.75</v>
      </c>
      <c r="G94" s="6">
        <f t="shared" si="2"/>
        <v>1.5</v>
      </c>
      <c r="H94" s="4" t="s">
        <v>28</v>
      </c>
      <c r="I94" s="4" t="s">
        <v>29</v>
      </c>
      <c r="J94" s="4" t="s">
        <v>29</v>
      </c>
      <c r="K94" s="4" t="s">
        <v>29</v>
      </c>
      <c r="L94" s="7"/>
      <c r="M94" s="7"/>
      <c r="N94" s="7"/>
      <c r="O94" s="4" t="s">
        <v>29</v>
      </c>
      <c r="P94" s="4" t="s">
        <v>29</v>
      </c>
      <c r="Q94" s="4" t="s">
        <v>29</v>
      </c>
      <c r="R94" s="7"/>
      <c r="S94" s="7"/>
      <c r="T94" s="4" t="s">
        <v>29</v>
      </c>
      <c r="U94" s="4" t="s">
        <v>29</v>
      </c>
      <c r="V94" s="7"/>
      <c r="W94" s="4" t="s">
        <v>29</v>
      </c>
      <c r="X94" s="7"/>
      <c r="Y94" s="7"/>
    </row>
    <row r="95">
      <c r="A95" s="4" t="s">
        <v>25</v>
      </c>
      <c r="B95" s="4" t="s">
        <v>26</v>
      </c>
      <c r="C95" s="8" t="s">
        <v>126</v>
      </c>
      <c r="D95" s="5">
        <v>5.0</v>
      </c>
      <c r="E95" s="6">
        <v>0.2</v>
      </c>
      <c r="F95" s="6">
        <f t="shared" si="1"/>
        <v>0.15</v>
      </c>
      <c r="G95" s="6">
        <f t="shared" si="2"/>
        <v>0.3</v>
      </c>
      <c r="H95" s="4" t="s">
        <v>28</v>
      </c>
      <c r="I95" s="4" t="s">
        <v>29</v>
      </c>
      <c r="J95" s="4" t="s">
        <v>29</v>
      </c>
      <c r="K95" s="4" t="s">
        <v>29</v>
      </c>
      <c r="L95" s="7"/>
      <c r="M95" s="7"/>
      <c r="N95" s="4" t="s">
        <v>29</v>
      </c>
      <c r="O95" s="4" t="s">
        <v>29</v>
      </c>
      <c r="P95" s="7"/>
      <c r="Q95" s="4" t="s">
        <v>29</v>
      </c>
      <c r="R95" s="7"/>
      <c r="S95" s="7"/>
      <c r="T95" s="7"/>
      <c r="U95" s="7"/>
      <c r="V95" s="7"/>
      <c r="W95" s="7"/>
      <c r="X95" s="7"/>
      <c r="Y95" s="7"/>
    </row>
    <row r="96">
      <c r="A96" s="4" t="s">
        <v>127</v>
      </c>
      <c r="B96" s="4" t="s">
        <v>128</v>
      </c>
      <c r="C96" s="8" t="s">
        <v>129</v>
      </c>
      <c r="D96" s="5">
        <v>8.0</v>
      </c>
      <c r="E96" s="6">
        <v>5.0</v>
      </c>
      <c r="F96" s="6">
        <f t="shared" si="1"/>
        <v>3.75</v>
      </c>
      <c r="G96" s="6">
        <f t="shared" si="2"/>
        <v>7.5</v>
      </c>
      <c r="H96" s="4" t="s">
        <v>28</v>
      </c>
      <c r="I96" s="4"/>
      <c r="J96" s="4" t="s">
        <v>29</v>
      </c>
      <c r="K96" s="4" t="s">
        <v>29</v>
      </c>
      <c r="L96" s="7"/>
      <c r="M96" s="7"/>
      <c r="N96" s="7"/>
      <c r="O96" s="7"/>
      <c r="P96" s="7"/>
      <c r="Q96" s="4" t="s">
        <v>29</v>
      </c>
      <c r="R96" s="7"/>
      <c r="S96" s="7"/>
      <c r="T96" s="7"/>
      <c r="U96" s="7"/>
      <c r="V96" s="7"/>
      <c r="W96" s="4" t="s">
        <v>29</v>
      </c>
      <c r="X96" s="7"/>
      <c r="Y96" s="7"/>
    </row>
    <row r="97">
      <c r="A97" s="4" t="s">
        <v>127</v>
      </c>
      <c r="B97" s="4" t="s">
        <v>128</v>
      </c>
      <c r="C97" s="8" t="s">
        <v>130</v>
      </c>
      <c r="D97" s="5">
        <v>10.0</v>
      </c>
      <c r="E97" s="6">
        <v>10.0</v>
      </c>
      <c r="F97" s="6">
        <f t="shared" si="1"/>
        <v>7.5</v>
      </c>
      <c r="G97" s="6">
        <f t="shared" si="2"/>
        <v>15</v>
      </c>
      <c r="H97" s="4" t="s">
        <v>28</v>
      </c>
      <c r="I97" s="4" t="s">
        <v>29</v>
      </c>
      <c r="J97" s="4" t="s">
        <v>29</v>
      </c>
      <c r="K97" s="4" t="s">
        <v>29</v>
      </c>
      <c r="L97" s="7"/>
      <c r="M97" s="7"/>
      <c r="N97" s="4" t="s">
        <v>29</v>
      </c>
      <c r="O97" s="7"/>
      <c r="P97" s="7"/>
      <c r="Q97" s="4" t="s">
        <v>29</v>
      </c>
      <c r="R97" s="7"/>
      <c r="S97" s="7"/>
      <c r="T97" s="7"/>
      <c r="U97" s="7"/>
      <c r="V97" s="7"/>
      <c r="W97" s="4" t="s">
        <v>29</v>
      </c>
      <c r="X97" s="7"/>
      <c r="Y97" s="7"/>
    </row>
    <row r="98">
      <c r="A98" s="4" t="s">
        <v>127</v>
      </c>
      <c r="B98" s="4" t="s">
        <v>128</v>
      </c>
      <c r="C98" s="8" t="s">
        <v>131</v>
      </c>
      <c r="D98" s="5">
        <v>13.0</v>
      </c>
      <c r="E98" s="6">
        <v>45.0</v>
      </c>
      <c r="F98" s="6">
        <f t="shared" si="1"/>
        <v>33.75</v>
      </c>
      <c r="G98" s="6">
        <f t="shared" si="2"/>
        <v>67.5</v>
      </c>
      <c r="H98" s="4" t="s">
        <v>28</v>
      </c>
      <c r="I98" s="4"/>
      <c r="J98" s="4" t="s">
        <v>29</v>
      </c>
      <c r="K98" s="4" t="s">
        <v>29</v>
      </c>
      <c r="L98" s="7"/>
      <c r="M98" s="7"/>
      <c r="N98" s="4" t="s">
        <v>29</v>
      </c>
      <c r="O98" s="7"/>
      <c r="P98" s="7"/>
      <c r="Q98" s="4" t="s">
        <v>29</v>
      </c>
      <c r="R98" s="7"/>
      <c r="S98" s="7"/>
      <c r="T98" s="7"/>
      <c r="U98" s="7"/>
      <c r="V98" s="7"/>
      <c r="W98" s="4" t="s">
        <v>29</v>
      </c>
      <c r="X98" s="7"/>
      <c r="Y98" s="7"/>
    </row>
    <row r="99">
      <c r="A99" s="4" t="s">
        <v>127</v>
      </c>
      <c r="B99" s="4" t="s">
        <v>132</v>
      </c>
      <c r="C99" s="8" t="s">
        <v>133</v>
      </c>
      <c r="D99" s="5">
        <v>12.0</v>
      </c>
      <c r="E99" s="6">
        <v>10.0</v>
      </c>
      <c r="F99" s="6">
        <f t="shared" si="1"/>
        <v>7.5</v>
      </c>
      <c r="G99" s="6">
        <f t="shared" si="2"/>
        <v>15</v>
      </c>
      <c r="H99" s="4" t="s">
        <v>28</v>
      </c>
      <c r="I99" s="4" t="s">
        <v>29</v>
      </c>
      <c r="J99" s="4" t="s">
        <v>29</v>
      </c>
      <c r="K99" s="4" t="s">
        <v>29</v>
      </c>
      <c r="L99" s="7"/>
      <c r="M99" s="7"/>
      <c r="N99" s="4" t="s">
        <v>29</v>
      </c>
      <c r="O99" s="7"/>
      <c r="P99" s="7"/>
      <c r="Q99" s="4" t="s">
        <v>29</v>
      </c>
      <c r="R99" s="7"/>
      <c r="S99" s="7"/>
      <c r="T99" s="7"/>
      <c r="U99" s="7"/>
      <c r="V99" s="7"/>
      <c r="W99" s="7"/>
      <c r="X99" s="7"/>
      <c r="Y99" s="7"/>
    </row>
    <row r="100">
      <c r="A100" s="4" t="s">
        <v>127</v>
      </c>
      <c r="B100" s="4" t="s">
        <v>132</v>
      </c>
      <c r="C100" s="8" t="s">
        <v>134</v>
      </c>
      <c r="D100" s="5">
        <v>20.0</v>
      </c>
      <c r="E100" s="6">
        <v>50.0</v>
      </c>
      <c r="F100" s="6">
        <f t="shared" si="1"/>
        <v>37.5</v>
      </c>
      <c r="G100" s="6">
        <f t="shared" si="2"/>
        <v>75</v>
      </c>
      <c r="H100" s="4" t="s">
        <v>28</v>
      </c>
      <c r="I100" s="4" t="s">
        <v>29</v>
      </c>
      <c r="J100" s="4" t="s">
        <v>29</v>
      </c>
      <c r="K100" s="4" t="s">
        <v>29</v>
      </c>
      <c r="L100" s="4" t="s">
        <v>29</v>
      </c>
      <c r="M100" s="7"/>
      <c r="N100" s="4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4" t="s">
        <v>127</v>
      </c>
      <c r="B101" s="4" t="s">
        <v>132</v>
      </c>
      <c r="C101" s="8" t="s">
        <v>135</v>
      </c>
      <c r="D101" s="5">
        <v>45.0</v>
      </c>
      <c r="E101" s="6">
        <v>50.0</v>
      </c>
      <c r="F101" s="6">
        <f t="shared" si="1"/>
        <v>37.5</v>
      </c>
      <c r="G101" s="6">
        <f t="shared" si="2"/>
        <v>75</v>
      </c>
      <c r="H101" s="4" t="s">
        <v>28</v>
      </c>
      <c r="I101" s="4"/>
      <c r="J101" s="4" t="s">
        <v>29</v>
      </c>
      <c r="K101" s="4" t="s">
        <v>29</v>
      </c>
      <c r="L101" s="4" t="s">
        <v>29</v>
      </c>
      <c r="M101" s="7"/>
      <c r="N101" s="4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4" t="s">
        <v>127</v>
      </c>
      <c r="B102" s="4" t="s">
        <v>132</v>
      </c>
      <c r="C102" s="8" t="s">
        <v>136</v>
      </c>
      <c r="D102" s="5">
        <v>20.0</v>
      </c>
      <c r="E102" s="6">
        <v>400.0</v>
      </c>
      <c r="F102" s="6">
        <f t="shared" si="1"/>
        <v>300</v>
      </c>
      <c r="G102" s="6">
        <f t="shared" si="2"/>
        <v>600</v>
      </c>
      <c r="H102" s="4" t="s">
        <v>28</v>
      </c>
      <c r="I102" s="4" t="s">
        <v>29</v>
      </c>
      <c r="J102" s="4" t="s">
        <v>29</v>
      </c>
      <c r="K102" s="4" t="s">
        <v>29</v>
      </c>
      <c r="L102" s="4" t="s">
        <v>29</v>
      </c>
      <c r="M102" s="7"/>
      <c r="N102" s="4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4" t="s">
        <v>127</v>
      </c>
      <c r="B103" s="4" t="s">
        <v>132</v>
      </c>
      <c r="C103" s="8" t="s">
        <v>137</v>
      </c>
      <c r="D103" s="5">
        <v>40.0</v>
      </c>
      <c r="E103" s="6">
        <v>750.0</v>
      </c>
      <c r="F103" s="6">
        <f t="shared" si="1"/>
        <v>562.5</v>
      </c>
      <c r="G103" s="6">
        <f t="shared" si="2"/>
        <v>1125</v>
      </c>
      <c r="H103" s="4" t="s">
        <v>28</v>
      </c>
      <c r="I103" s="4"/>
      <c r="J103" s="4"/>
      <c r="K103" s="4" t="s">
        <v>29</v>
      </c>
      <c r="L103" s="4" t="s">
        <v>29</v>
      </c>
      <c r="M103" s="7"/>
      <c r="N103" s="4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4" t="s">
        <v>127</v>
      </c>
      <c r="B104" s="4" t="s">
        <v>138</v>
      </c>
      <c r="C104" s="8" t="s">
        <v>139</v>
      </c>
      <c r="D104" s="5">
        <v>40.0</v>
      </c>
      <c r="E104" s="6">
        <v>30.0</v>
      </c>
      <c r="F104" s="6">
        <f t="shared" si="1"/>
        <v>22.5</v>
      </c>
      <c r="G104" s="6">
        <f t="shared" si="2"/>
        <v>45</v>
      </c>
      <c r="H104" s="4" t="s">
        <v>28</v>
      </c>
      <c r="I104" s="4" t="s">
        <v>29</v>
      </c>
      <c r="J104" s="4" t="s">
        <v>29</v>
      </c>
      <c r="K104" s="4" t="s">
        <v>29</v>
      </c>
      <c r="L104" s="4" t="s">
        <v>29</v>
      </c>
      <c r="M104" s="7"/>
      <c r="N104" s="4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4" t="s">
        <v>127</v>
      </c>
      <c r="B105" s="4" t="s">
        <v>138</v>
      </c>
      <c r="C105" s="8" t="s">
        <v>140</v>
      </c>
      <c r="D105" s="5">
        <v>55.0</v>
      </c>
      <c r="E105" s="6">
        <v>75.0</v>
      </c>
      <c r="F105" s="6">
        <f t="shared" si="1"/>
        <v>56.25</v>
      </c>
      <c r="G105" s="6">
        <f t="shared" si="2"/>
        <v>112.5</v>
      </c>
      <c r="H105" s="4" t="s">
        <v>28</v>
      </c>
      <c r="I105" s="4" t="s">
        <v>29</v>
      </c>
      <c r="J105" s="4" t="s">
        <v>29</v>
      </c>
      <c r="K105" s="4" t="s">
        <v>29</v>
      </c>
      <c r="L105" s="4" t="s">
        <v>29</v>
      </c>
      <c r="M105" s="7"/>
      <c r="N105" s="4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4" t="s">
        <v>127</v>
      </c>
      <c r="B106" s="4" t="s">
        <v>138</v>
      </c>
      <c r="C106" s="8" t="s">
        <v>141</v>
      </c>
      <c r="D106" s="5">
        <v>60.0</v>
      </c>
      <c r="E106" s="6">
        <v>200.0</v>
      </c>
      <c r="F106" s="6">
        <f t="shared" si="1"/>
        <v>150</v>
      </c>
      <c r="G106" s="6">
        <f t="shared" si="2"/>
        <v>300</v>
      </c>
      <c r="H106" s="4" t="s">
        <v>28</v>
      </c>
      <c r="I106" s="4"/>
      <c r="J106" s="4" t="s">
        <v>29</v>
      </c>
      <c r="K106" s="4" t="s">
        <v>29</v>
      </c>
      <c r="L106" s="4" t="s">
        <v>29</v>
      </c>
      <c r="M106" s="7"/>
      <c r="N106" s="4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4" t="s">
        <v>127</v>
      </c>
      <c r="B107" s="4" t="s">
        <v>138</v>
      </c>
      <c r="C107" s="8" t="s">
        <v>142</v>
      </c>
      <c r="D107" s="5">
        <v>65.0</v>
      </c>
      <c r="E107" s="6">
        <v>1500.0</v>
      </c>
      <c r="F107" s="6">
        <f t="shared" si="1"/>
        <v>1125</v>
      </c>
      <c r="G107" s="6">
        <f t="shared" si="2"/>
        <v>2250</v>
      </c>
      <c r="H107" s="4" t="s">
        <v>28</v>
      </c>
      <c r="I107" s="4"/>
      <c r="J107" s="4"/>
      <c r="K107" s="4" t="s">
        <v>29</v>
      </c>
      <c r="L107" s="4" t="s">
        <v>29</v>
      </c>
      <c r="M107" s="7"/>
      <c r="N107" s="4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4" t="s">
        <v>127</v>
      </c>
      <c r="B108" s="4" t="s">
        <v>143</v>
      </c>
      <c r="C108" s="4" t="s">
        <v>143</v>
      </c>
      <c r="D108" s="5">
        <v>6.0</v>
      </c>
      <c r="E108" s="6">
        <v>10.0</v>
      </c>
      <c r="F108" s="6">
        <f t="shared" si="1"/>
        <v>7.5</v>
      </c>
      <c r="G108" s="6">
        <f t="shared" si="2"/>
        <v>15</v>
      </c>
      <c r="H108" s="4" t="s">
        <v>28</v>
      </c>
      <c r="I108" s="4" t="s">
        <v>29</v>
      </c>
      <c r="J108" s="4" t="s">
        <v>29</v>
      </c>
      <c r="K108" s="4" t="s">
        <v>29</v>
      </c>
      <c r="L108" s="7"/>
      <c r="M108" s="7"/>
      <c r="N108" s="4" t="s">
        <v>29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4" t="s">
        <v>144</v>
      </c>
      <c r="B109" s="4" t="s">
        <v>145</v>
      </c>
      <c r="C109" s="8" t="s">
        <v>146</v>
      </c>
      <c r="D109" s="5" t="s">
        <v>26</v>
      </c>
      <c r="E109" s="6">
        <v>0.04</v>
      </c>
      <c r="F109" s="6">
        <f t="shared" si="1"/>
        <v>0.03</v>
      </c>
      <c r="G109" s="6">
        <f t="shared" si="2"/>
        <v>0.06</v>
      </c>
      <c r="H109" s="4" t="s">
        <v>28</v>
      </c>
      <c r="I109" s="4" t="s">
        <v>29</v>
      </c>
      <c r="J109" s="4" t="s">
        <v>29</v>
      </c>
      <c r="K109" s="4" t="s">
        <v>29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4" t="s">
        <v>29</v>
      </c>
      <c r="W109" s="7"/>
      <c r="X109" s="7"/>
      <c r="Y109" s="7"/>
    </row>
    <row r="110">
      <c r="A110" s="4" t="s">
        <v>144</v>
      </c>
      <c r="B110" s="4" t="s">
        <v>147</v>
      </c>
      <c r="C110" s="8" t="s">
        <v>148</v>
      </c>
      <c r="D110" s="5" t="s">
        <v>26</v>
      </c>
      <c r="E110" s="6">
        <v>0.02</v>
      </c>
      <c r="F110" s="6">
        <f t="shared" si="1"/>
        <v>0.015</v>
      </c>
      <c r="G110" s="6">
        <f t="shared" si="2"/>
        <v>0.03</v>
      </c>
      <c r="H110" s="4" t="s">
        <v>28</v>
      </c>
      <c r="I110" s="4" t="s">
        <v>29</v>
      </c>
      <c r="J110" s="4" t="s">
        <v>29</v>
      </c>
      <c r="K110" s="4" t="s">
        <v>29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4" t="s">
        <v>29</v>
      </c>
      <c r="W110" s="7"/>
      <c r="X110" s="7"/>
      <c r="Y110" s="7"/>
    </row>
    <row r="111">
      <c r="A111" s="4" t="s">
        <v>144</v>
      </c>
      <c r="B111" s="4" t="s">
        <v>147</v>
      </c>
      <c r="C111" s="8" t="s">
        <v>149</v>
      </c>
      <c r="D111" s="5" t="s">
        <v>26</v>
      </c>
      <c r="E111" s="6">
        <v>0.1</v>
      </c>
      <c r="F111" s="6">
        <f t="shared" si="1"/>
        <v>0.075</v>
      </c>
      <c r="G111" s="6">
        <f t="shared" si="2"/>
        <v>0.15</v>
      </c>
      <c r="H111" s="4" t="s">
        <v>28</v>
      </c>
      <c r="I111" s="4" t="s">
        <v>29</v>
      </c>
      <c r="J111" s="4" t="s">
        <v>29</v>
      </c>
      <c r="K111" s="4" t="s">
        <v>29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4" t="s">
        <v>29</v>
      </c>
      <c r="W111" s="7"/>
      <c r="X111" s="7"/>
      <c r="Y111" s="7"/>
    </row>
    <row r="112">
      <c r="A112" s="4" t="s">
        <v>144</v>
      </c>
      <c r="B112" s="4" t="s">
        <v>150</v>
      </c>
      <c r="C112" s="8" t="s">
        <v>151</v>
      </c>
      <c r="D112" s="5" t="s">
        <v>26</v>
      </c>
      <c r="E112" s="6">
        <v>0.07</v>
      </c>
      <c r="F112" s="6">
        <f t="shared" si="1"/>
        <v>0.0525</v>
      </c>
      <c r="G112" s="6">
        <f t="shared" si="2"/>
        <v>0.105</v>
      </c>
      <c r="H112" s="4" t="s">
        <v>28</v>
      </c>
      <c r="I112" s="4" t="s">
        <v>29</v>
      </c>
      <c r="J112" s="4" t="s">
        <v>29</v>
      </c>
      <c r="K112" s="4" t="s">
        <v>29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4" t="s">
        <v>29</v>
      </c>
      <c r="W112" s="7"/>
      <c r="X112" s="7"/>
      <c r="Y112" s="7"/>
    </row>
    <row r="113">
      <c r="A113" s="4" t="s">
        <v>144</v>
      </c>
      <c r="B113" s="4" t="s">
        <v>150</v>
      </c>
      <c r="C113" s="8" t="s">
        <v>152</v>
      </c>
      <c r="D113" s="5" t="s">
        <v>26</v>
      </c>
      <c r="E113" s="6">
        <v>0.1</v>
      </c>
      <c r="F113" s="6">
        <f t="shared" si="1"/>
        <v>0.075</v>
      </c>
      <c r="G113" s="6">
        <f t="shared" si="2"/>
        <v>0.15</v>
      </c>
      <c r="H113" s="4" t="s">
        <v>28</v>
      </c>
      <c r="I113" s="4" t="s">
        <v>29</v>
      </c>
      <c r="J113" s="4" t="s">
        <v>29</v>
      </c>
      <c r="K113" s="4" t="s">
        <v>29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4" t="s">
        <v>29</v>
      </c>
      <c r="W113" s="7"/>
      <c r="X113" s="7"/>
      <c r="Y113" s="7"/>
    </row>
    <row r="114">
      <c r="A114" s="4" t="s">
        <v>144</v>
      </c>
      <c r="B114" s="4" t="s">
        <v>150</v>
      </c>
      <c r="C114" s="8" t="s">
        <v>153</v>
      </c>
      <c r="D114" s="5" t="s">
        <v>26</v>
      </c>
      <c r="E114" s="6">
        <v>0.5</v>
      </c>
      <c r="F114" s="6">
        <f t="shared" si="1"/>
        <v>0.375</v>
      </c>
      <c r="G114" s="6">
        <f t="shared" si="2"/>
        <v>0.75</v>
      </c>
      <c r="H114" s="4" t="s">
        <v>28</v>
      </c>
      <c r="I114" s="4" t="s">
        <v>29</v>
      </c>
      <c r="J114" s="4" t="s">
        <v>29</v>
      </c>
      <c r="K114" s="4" t="s">
        <v>29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4" t="s">
        <v>29</v>
      </c>
      <c r="W114" s="7"/>
      <c r="X114" s="7"/>
      <c r="Y114" s="7"/>
    </row>
    <row r="115">
      <c r="A115" s="4" t="s">
        <v>144</v>
      </c>
      <c r="B115" s="4" t="s">
        <v>150</v>
      </c>
      <c r="C115" s="8" t="s">
        <v>154</v>
      </c>
      <c r="D115" s="5" t="s">
        <v>26</v>
      </c>
      <c r="E115" s="6">
        <v>0.8</v>
      </c>
      <c r="F115" s="6">
        <f t="shared" si="1"/>
        <v>0.6</v>
      </c>
      <c r="G115" s="6">
        <f t="shared" si="2"/>
        <v>1.2</v>
      </c>
      <c r="H115" s="4" t="s">
        <v>28</v>
      </c>
      <c r="I115" s="4"/>
      <c r="J115" s="4" t="s">
        <v>29</v>
      </c>
      <c r="K115" s="4" t="s">
        <v>29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4" t="s">
        <v>29</v>
      </c>
      <c r="W115" s="7"/>
      <c r="X115" s="7"/>
      <c r="Y115" s="7"/>
    </row>
    <row r="116">
      <c r="A116" s="4" t="s">
        <v>144</v>
      </c>
      <c r="B116" s="4" t="s">
        <v>150</v>
      </c>
      <c r="C116" s="8" t="s">
        <v>155</v>
      </c>
      <c r="D116" s="5" t="s">
        <v>26</v>
      </c>
      <c r="E116" s="6">
        <v>2.0</v>
      </c>
      <c r="F116" s="6">
        <f t="shared" si="1"/>
        <v>1.5</v>
      </c>
      <c r="G116" s="6">
        <f t="shared" si="2"/>
        <v>3</v>
      </c>
      <c r="H116" s="4" t="s">
        <v>28</v>
      </c>
      <c r="I116" s="4"/>
      <c r="J116" s="4" t="s">
        <v>29</v>
      </c>
      <c r="K116" s="4" t="s">
        <v>29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4" t="s">
        <v>29</v>
      </c>
      <c r="W116" s="7"/>
      <c r="X116" s="7"/>
      <c r="Y116" s="7"/>
    </row>
    <row r="117">
      <c r="A117" s="4" t="s">
        <v>144</v>
      </c>
      <c r="B117" s="4" t="s">
        <v>150</v>
      </c>
      <c r="C117" s="8" t="s">
        <v>156</v>
      </c>
      <c r="D117" s="5" t="s">
        <v>26</v>
      </c>
      <c r="E117" s="6">
        <v>4.0</v>
      </c>
      <c r="F117" s="6">
        <f t="shared" si="1"/>
        <v>3</v>
      </c>
      <c r="G117" s="6">
        <f t="shared" si="2"/>
        <v>6</v>
      </c>
      <c r="H117" s="4" t="s">
        <v>28</v>
      </c>
      <c r="I117" s="4"/>
      <c r="J117" s="4"/>
      <c r="K117" s="4" t="s">
        <v>29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4" t="s">
        <v>29</v>
      </c>
      <c r="W117" s="7"/>
      <c r="X117" s="7"/>
      <c r="Y117" s="7"/>
    </row>
    <row r="118">
      <c r="A118" s="4" t="s">
        <v>144</v>
      </c>
      <c r="B118" s="4" t="s">
        <v>147</v>
      </c>
      <c r="C118" s="8" t="s">
        <v>157</v>
      </c>
      <c r="D118" s="5" t="s">
        <v>26</v>
      </c>
      <c r="E118" s="6">
        <v>0.01</v>
      </c>
      <c r="F118" s="6">
        <f t="shared" si="1"/>
        <v>0.0075</v>
      </c>
      <c r="G118" s="6">
        <f t="shared" si="2"/>
        <v>0.015</v>
      </c>
      <c r="H118" s="4" t="s">
        <v>28</v>
      </c>
      <c r="I118" s="4" t="s">
        <v>29</v>
      </c>
      <c r="J118" s="4" t="s">
        <v>29</v>
      </c>
      <c r="K118" s="4" t="s">
        <v>29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4" t="s">
        <v>29</v>
      </c>
      <c r="W118" s="7"/>
      <c r="X118" s="7"/>
      <c r="Y118" s="7"/>
    </row>
    <row r="119">
      <c r="A119" s="4" t="s">
        <v>144</v>
      </c>
      <c r="B119" s="4" t="s">
        <v>147</v>
      </c>
      <c r="C119" s="8" t="s">
        <v>158</v>
      </c>
      <c r="D119" s="5" t="s">
        <v>26</v>
      </c>
      <c r="E119" s="6">
        <v>0.02</v>
      </c>
      <c r="F119" s="6">
        <f t="shared" si="1"/>
        <v>0.015</v>
      </c>
      <c r="G119" s="6">
        <f t="shared" si="2"/>
        <v>0.03</v>
      </c>
      <c r="H119" s="4" t="s">
        <v>28</v>
      </c>
      <c r="I119" s="4" t="s">
        <v>29</v>
      </c>
      <c r="J119" s="4" t="s">
        <v>29</v>
      </c>
      <c r="K119" s="4" t="s">
        <v>29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4" t="s">
        <v>29</v>
      </c>
      <c r="W119" s="7"/>
      <c r="X119" s="7"/>
      <c r="Y119" s="7"/>
    </row>
    <row r="120">
      <c r="A120" s="4" t="s">
        <v>144</v>
      </c>
      <c r="B120" s="4" t="s">
        <v>147</v>
      </c>
      <c r="C120" s="8" t="s">
        <v>159</v>
      </c>
      <c r="D120" s="5" t="s">
        <v>26</v>
      </c>
      <c r="E120" s="6">
        <v>0.1</v>
      </c>
      <c r="F120" s="6">
        <f t="shared" si="1"/>
        <v>0.075</v>
      </c>
      <c r="G120" s="6">
        <f t="shared" si="2"/>
        <v>0.15</v>
      </c>
      <c r="H120" s="4" t="s">
        <v>28</v>
      </c>
      <c r="I120" s="4" t="s">
        <v>29</v>
      </c>
      <c r="J120" s="4" t="s">
        <v>29</v>
      </c>
      <c r="K120" s="4" t="s">
        <v>29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4" t="s">
        <v>29</v>
      </c>
      <c r="W120" s="7"/>
      <c r="X120" s="7"/>
      <c r="Y120" s="7"/>
    </row>
    <row r="121">
      <c r="A121" s="4" t="s">
        <v>144</v>
      </c>
      <c r="B121" s="4" t="s">
        <v>147</v>
      </c>
      <c r="C121" s="8" t="s">
        <v>160</v>
      </c>
      <c r="D121" s="5" t="s">
        <v>26</v>
      </c>
      <c r="E121" s="6">
        <v>0.2</v>
      </c>
      <c r="F121" s="6">
        <f t="shared" si="1"/>
        <v>0.15</v>
      </c>
      <c r="G121" s="6">
        <f t="shared" si="2"/>
        <v>0.3</v>
      </c>
      <c r="H121" s="4" t="s">
        <v>28</v>
      </c>
      <c r="I121" s="4"/>
      <c r="J121" s="4" t="s">
        <v>29</v>
      </c>
      <c r="K121" s="4" t="s">
        <v>29</v>
      </c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4" t="s">
        <v>29</v>
      </c>
      <c r="W121" s="7"/>
      <c r="X121" s="7"/>
      <c r="Y121" s="7"/>
    </row>
    <row r="122">
      <c r="A122" s="4" t="s">
        <v>144</v>
      </c>
      <c r="B122" s="4" t="s">
        <v>147</v>
      </c>
      <c r="C122" s="8" t="s">
        <v>161</v>
      </c>
      <c r="D122" s="5" t="s">
        <v>26</v>
      </c>
      <c r="E122" s="6">
        <v>0.3</v>
      </c>
      <c r="F122" s="6">
        <f t="shared" si="1"/>
        <v>0.225</v>
      </c>
      <c r="G122" s="6">
        <f t="shared" si="2"/>
        <v>0.45</v>
      </c>
      <c r="H122" s="4" t="s">
        <v>28</v>
      </c>
      <c r="I122" s="4"/>
      <c r="J122" s="4" t="s">
        <v>29</v>
      </c>
      <c r="K122" s="4" t="s">
        <v>29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4" t="s">
        <v>29</v>
      </c>
      <c r="W122" s="7"/>
      <c r="X122" s="7"/>
      <c r="Y122" s="7"/>
    </row>
    <row r="123">
      <c r="A123" s="4" t="s">
        <v>144</v>
      </c>
      <c r="B123" s="4" t="s">
        <v>147</v>
      </c>
      <c r="C123" s="8" t="s">
        <v>162</v>
      </c>
      <c r="D123" s="5" t="s">
        <v>26</v>
      </c>
      <c r="E123" s="6">
        <v>0.6</v>
      </c>
      <c r="F123" s="6">
        <f t="shared" si="1"/>
        <v>0.45</v>
      </c>
      <c r="G123" s="6">
        <f t="shared" si="2"/>
        <v>0.9</v>
      </c>
      <c r="H123" s="4" t="s">
        <v>28</v>
      </c>
      <c r="I123" s="4"/>
      <c r="J123" s="4"/>
      <c r="K123" s="4" t="s">
        <v>29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4" t="s">
        <v>29</v>
      </c>
      <c r="W123" s="7"/>
      <c r="X123" s="7"/>
      <c r="Y123" s="7"/>
    </row>
    <row r="124">
      <c r="A124" s="4" t="s">
        <v>144</v>
      </c>
      <c r="B124" s="4" t="s">
        <v>145</v>
      </c>
      <c r="C124" s="8" t="s">
        <v>163</v>
      </c>
      <c r="D124" s="5" t="s">
        <v>26</v>
      </c>
      <c r="E124" s="6">
        <v>0.2</v>
      </c>
      <c r="F124" s="6">
        <f t="shared" si="1"/>
        <v>0.15</v>
      </c>
      <c r="G124" s="6">
        <f t="shared" si="2"/>
        <v>0.3</v>
      </c>
      <c r="H124" s="4" t="s">
        <v>28</v>
      </c>
      <c r="I124" s="4" t="s">
        <v>29</v>
      </c>
      <c r="J124" s="4" t="s">
        <v>29</v>
      </c>
      <c r="K124" s="4" t="s">
        <v>29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4" t="s">
        <v>29</v>
      </c>
      <c r="W124" s="7"/>
      <c r="X124" s="7"/>
      <c r="Y124" s="7"/>
    </row>
    <row r="125">
      <c r="A125" s="4" t="s">
        <v>144</v>
      </c>
      <c r="B125" s="4" t="s">
        <v>145</v>
      </c>
      <c r="C125" s="8" t="s">
        <v>164</v>
      </c>
      <c r="D125" s="5" t="s">
        <v>26</v>
      </c>
      <c r="E125" s="6">
        <v>10.0</v>
      </c>
      <c r="F125" s="6">
        <f t="shared" si="1"/>
        <v>7.5</v>
      </c>
      <c r="G125" s="6">
        <f t="shared" si="2"/>
        <v>15</v>
      </c>
      <c r="H125" s="4" t="s">
        <v>28</v>
      </c>
      <c r="I125" s="4"/>
      <c r="J125" s="4" t="s">
        <v>29</v>
      </c>
      <c r="K125" s="4" t="s">
        <v>29</v>
      </c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4" t="s">
        <v>29</v>
      </c>
      <c r="W125" s="7"/>
      <c r="X125" s="7"/>
      <c r="Y125" s="7"/>
    </row>
    <row r="126">
      <c r="A126" s="4" t="s">
        <v>165</v>
      </c>
      <c r="B126" s="4" t="s">
        <v>166</v>
      </c>
      <c r="C126" s="8" t="s">
        <v>167</v>
      </c>
      <c r="D126" s="5" t="s">
        <v>26</v>
      </c>
      <c r="E126" s="6">
        <v>0.03</v>
      </c>
      <c r="F126" s="6">
        <f t="shared" si="1"/>
        <v>0.0225</v>
      </c>
      <c r="G126" s="6">
        <f t="shared" si="2"/>
        <v>0.045</v>
      </c>
      <c r="H126" s="4" t="s">
        <v>28</v>
      </c>
      <c r="I126" s="4"/>
      <c r="J126" s="4" t="s">
        <v>29</v>
      </c>
      <c r="K126" s="4" t="s">
        <v>29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4" t="s">
        <v>165</v>
      </c>
      <c r="B127" s="4" t="s">
        <v>166</v>
      </c>
      <c r="C127" s="8" t="s">
        <v>168</v>
      </c>
      <c r="D127" s="5" t="s">
        <v>26</v>
      </c>
      <c r="E127" s="6">
        <v>0.01</v>
      </c>
      <c r="F127" s="6">
        <f t="shared" si="1"/>
        <v>0.0075</v>
      </c>
      <c r="G127" s="6">
        <f t="shared" si="2"/>
        <v>0.015</v>
      </c>
      <c r="H127" s="4" t="s">
        <v>28</v>
      </c>
      <c r="I127" s="4"/>
      <c r="J127" s="4"/>
      <c r="K127" s="4" t="s">
        <v>29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4" t="s">
        <v>165</v>
      </c>
      <c r="B128" s="4" t="s">
        <v>166</v>
      </c>
      <c r="C128" s="8" t="s">
        <v>169</v>
      </c>
      <c r="D128" s="5" t="s">
        <v>26</v>
      </c>
      <c r="E128" s="6">
        <v>0.01</v>
      </c>
      <c r="F128" s="6">
        <f t="shared" si="1"/>
        <v>0.0075</v>
      </c>
      <c r="G128" s="6">
        <f t="shared" si="2"/>
        <v>0.015</v>
      </c>
      <c r="H128" s="4" t="s">
        <v>28</v>
      </c>
      <c r="I128" s="4"/>
      <c r="J128" s="4"/>
      <c r="K128" s="4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4" t="s">
        <v>165</v>
      </c>
      <c r="B129" s="4" t="s">
        <v>166</v>
      </c>
      <c r="C129" s="8" t="s">
        <v>170</v>
      </c>
      <c r="D129" s="5" t="s">
        <v>26</v>
      </c>
      <c r="E129" s="6">
        <v>0.1</v>
      </c>
      <c r="F129" s="6">
        <f t="shared" si="1"/>
        <v>0.075</v>
      </c>
      <c r="G129" s="6">
        <f t="shared" si="2"/>
        <v>0.15</v>
      </c>
      <c r="H129" s="4" t="s">
        <v>28</v>
      </c>
      <c r="I129" s="4"/>
      <c r="J129" s="4"/>
      <c r="K129" s="4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4" t="s">
        <v>165</v>
      </c>
      <c r="B130" s="4" t="s">
        <v>171</v>
      </c>
      <c r="C130" s="4" t="s">
        <v>172</v>
      </c>
      <c r="D130" s="5" t="s">
        <v>26</v>
      </c>
      <c r="E130" s="6">
        <v>2.0</v>
      </c>
      <c r="F130" s="6">
        <f t="shared" si="1"/>
        <v>1.5</v>
      </c>
      <c r="G130" s="6">
        <f t="shared" si="2"/>
        <v>3</v>
      </c>
      <c r="H130" s="4" t="s">
        <v>28</v>
      </c>
      <c r="I130" s="4"/>
      <c r="J130" s="4" t="s">
        <v>29</v>
      </c>
      <c r="K130" s="4" t="s">
        <v>29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4" t="s">
        <v>165</v>
      </c>
      <c r="B131" s="4" t="s">
        <v>171</v>
      </c>
      <c r="C131" s="4" t="s">
        <v>173</v>
      </c>
      <c r="D131" s="5" t="s">
        <v>26</v>
      </c>
      <c r="E131" s="6">
        <v>0.2</v>
      </c>
      <c r="F131" s="6">
        <f t="shared" si="1"/>
        <v>0.15</v>
      </c>
      <c r="G131" s="6">
        <f t="shared" si="2"/>
        <v>0.3</v>
      </c>
      <c r="H131" s="4" t="s">
        <v>28</v>
      </c>
      <c r="I131" s="4" t="s">
        <v>29</v>
      </c>
      <c r="J131" s="4" t="s">
        <v>29</v>
      </c>
      <c r="K131" s="4" t="s">
        <v>29</v>
      </c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4" t="s">
        <v>165</v>
      </c>
      <c r="B132" s="4" t="s">
        <v>171</v>
      </c>
      <c r="C132" s="4" t="s">
        <v>174</v>
      </c>
      <c r="D132" s="5" t="s">
        <v>26</v>
      </c>
      <c r="E132" s="6">
        <v>0.02</v>
      </c>
      <c r="F132" s="6">
        <f t="shared" si="1"/>
        <v>0.015</v>
      </c>
      <c r="G132" s="6">
        <f t="shared" si="2"/>
        <v>0.03</v>
      </c>
      <c r="H132" s="4" t="s">
        <v>28</v>
      </c>
      <c r="I132" s="4"/>
      <c r="J132" s="4" t="s">
        <v>29</v>
      </c>
      <c r="K132" s="4" t="s">
        <v>29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4" t="s">
        <v>165</v>
      </c>
      <c r="B133" s="4" t="s">
        <v>175</v>
      </c>
      <c r="C133" s="8" t="s">
        <v>176</v>
      </c>
      <c r="D133" s="5" t="s">
        <v>26</v>
      </c>
      <c r="E133" s="6">
        <v>30.0</v>
      </c>
      <c r="F133" s="6">
        <f t="shared" si="1"/>
        <v>22.5</v>
      </c>
      <c r="G133" s="6">
        <f t="shared" si="2"/>
        <v>45</v>
      </c>
      <c r="H133" s="4" t="s">
        <v>28</v>
      </c>
      <c r="I133" s="4" t="s">
        <v>29</v>
      </c>
      <c r="J133" s="4" t="s">
        <v>29</v>
      </c>
      <c r="K133" s="4" t="s">
        <v>29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4" t="s">
        <v>165</v>
      </c>
      <c r="B134" s="4" t="s">
        <v>175</v>
      </c>
      <c r="C134" s="8" t="s">
        <v>177</v>
      </c>
      <c r="D134" s="5" t="s">
        <v>26</v>
      </c>
      <c r="E134" s="6">
        <v>50.0</v>
      </c>
      <c r="F134" s="6">
        <f t="shared" si="1"/>
        <v>37.5</v>
      </c>
      <c r="G134" s="6">
        <f t="shared" si="2"/>
        <v>75</v>
      </c>
      <c r="H134" s="4" t="s">
        <v>28</v>
      </c>
      <c r="I134" s="4" t="s">
        <v>29</v>
      </c>
      <c r="J134" s="4" t="s">
        <v>29</v>
      </c>
      <c r="K134" s="4" t="s">
        <v>29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4" t="s">
        <v>165</v>
      </c>
      <c r="B135" s="4" t="s">
        <v>175</v>
      </c>
      <c r="C135" s="8" t="s">
        <v>178</v>
      </c>
      <c r="D135" s="5" t="s">
        <v>26</v>
      </c>
      <c r="E135" s="6">
        <v>200.0</v>
      </c>
      <c r="F135" s="6">
        <f t="shared" si="1"/>
        <v>150</v>
      </c>
      <c r="G135" s="6">
        <f t="shared" si="2"/>
        <v>300</v>
      </c>
      <c r="H135" s="4" t="s">
        <v>28</v>
      </c>
      <c r="I135" s="4" t="s">
        <v>29</v>
      </c>
      <c r="J135" s="4" t="s">
        <v>29</v>
      </c>
      <c r="K135" s="4" t="s">
        <v>29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4" t="s">
        <v>165</v>
      </c>
      <c r="B136" s="4" t="s">
        <v>175</v>
      </c>
      <c r="C136" s="8" t="s">
        <v>179</v>
      </c>
      <c r="D136" s="5" t="s">
        <v>26</v>
      </c>
      <c r="E136" s="6">
        <v>300.0</v>
      </c>
      <c r="F136" s="6">
        <f t="shared" si="1"/>
        <v>225</v>
      </c>
      <c r="G136" s="6">
        <f t="shared" si="2"/>
        <v>450</v>
      </c>
      <c r="H136" s="4" t="s">
        <v>28</v>
      </c>
      <c r="I136" s="4"/>
      <c r="J136" s="4" t="s">
        <v>29</v>
      </c>
      <c r="K136" s="4" t="s">
        <v>29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4" t="s">
        <v>165</v>
      </c>
      <c r="B137" s="4" t="s">
        <v>175</v>
      </c>
      <c r="C137" s="8" t="s">
        <v>180</v>
      </c>
      <c r="D137" s="5" t="s">
        <v>26</v>
      </c>
      <c r="E137" s="6">
        <v>2000.0</v>
      </c>
      <c r="F137" s="6">
        <f t="shared" si="1"/>
        <v>1500</v>
      </c>
      <c r="G137" s="6">
        <f t="shared" si="2"/>
        <v>3000</v>
      </c>
      <c r="H137" s="4" t="s">
        <v>28</v>
      </c>
      <c r="I137" s="4"/>
      <c r="J137" s="4" t="s">
        <v>29</v>
      </c>
      <c r="K137" s="4" t="s">
        <v>29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4" t="s">
        <v>165</v>
      </c>
      <c r="B138" s="4" t="s">
        <v>175</v>
      </c>
      <c r="C138" s="8" t="s">
        <v>181</v>
      </c>
      <c r="D138" s="5" t="s">
        <v>26</v>
      </c>
      <c r="E138" s="6">
        <v>20000.0</v>
      </c>
      <c r="F138" s="6">
        <f t="shared" si="1"/>
        <v>15000</v>
      </c>
      <c r="G138" s="6">
        <f t="shared" si="2"/>
        <v>30000</v>
      </c>
      <c r="H138" s="4" t="s">
        <v>28</v>
      </c>
      <c r="I138" s="4"/>
      <c r="J138" s="4"/>
      <c r="K138" s="4" t="s">
        <v>29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4" t="s">
        <v>165</v>
      </c>
      <c r="B139" s="4" t="s">
        <v>175</v>
      </c>
      <c r="C139" s="8" t="s">
        <v>182</v>
      </c>
      <c r="D139" s="5" t="s">
        <v>26</v>
      </c>
      <c r="E139" s="6">
        <v>100000.0</v>
      </c>
      <c r="F139" s="6">
        <f t="shared" si="1"/>
        <v>75000</v>
      </c>
      <c r="G139" s="6">
        <f t="shared" si="2"/>
        <v>150000</v>
      </c>
      <c r="H139" s="4" t="s">
        <v>28</v>
      </c>
      <c r="I139" s="4"/>
      <c r="J139" s="4"/>
      <c r="K139" s="4" t="s">
        <v>29</v>
      </c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4" t="s">
        <v>183</v>
      </c>
      <c r="B140" s="4" t="s">
        <v>184</v>
      </c>
      <c r="C140" s="8" t="s">
        <v>185</v>
      </c>
      <c r="D140" s="5">
        <v>8.0</v>
      </c>
      <c r="E140" s="6">
        <v>50.0</v>
      </c>
      <c r="F140" s="6">
        <f t="shared" si="1"/>
        <v>37.5</v>
      </c>
      <c r="G140" s="6">
        <f t="shared" si="2"/>
        <v>75</v>
      </c>
      <c r="H140" s="4" t="s">
        <v>28</v>
      </c>
      <c r="I140" s="4"/>
      <c r="J140" s="4" t="s">
        <v>29</v>
      </c>
      <c r="K140" s="4" t="s">
        <v>29</v>
      </c>
      <c r="L140" s="7"/>
      <c r="M140" s="7"/>
      <c r="N140" s="7"/>
      <c r="O140" s="7"/>
      <c r="P140" s="7"/>
      <c r="Q140" s="7"/>
      <c r="R140" s="7"/>
      <c r="S140" s="7"/>
      <c r="T140" s="4" t="s">
        <v>29</v>
      </c>
      <c r="U140" s="4" t="s">
        <v>29</v>
      </c>
      <c r="V140" s="7"/>
      <c r="W140" s="7"/>
      <c r="X140" s="7"/>
      <c r="Y140" s="7"/>
    </row>
    <row r="141">
      <c r="A141" s="4" t="s">
        <v>183</v>
      </c>
      <c r="B141" s="4" t="s">
        <v>184</v>
      </c>
      <c r="C141" s="8" t="s">
        <v>186</v>
      </c>
      <c r="D141" s="5">
        <v>9.0</v>
      </c>
      <c r="E141" s="6">
        <v>20.0</v>
      </c>
      <c r="F141" s="6">
        <f t="shared" si="1"/>
        <v>15</v>
      </c>
      <c r="G141" s="6">
        <f t="shared" si="2"/>
        <v>30</v>
      </c>
      <c r="H141" s="4" t="s">
        <v>28</v>
      </c>
      <c r="I141" s="4" t="s">
        <v>29</v>
      </c>
      <c r="J141" s="4" t="s">
        <v>29</v>
      </c>
      <c r="K141" s="4" t="s">
        <v>29</v>
      </c>
      <c r="L141" s="7"/>
      <c r="M141" s="7"/>
      <c r="N141" s="7"/>
      <c r="O141" s="7"/>
      <c r="P141" s="7"/>
      <c r="Q141" s="7"/>
      <c r="R141" s="7"/>
      <c r="S141" s="7"/>
      <c r="T141" s="4" t="s">
        <v>29</v>
      </c>
      <c r="U141" s="7"/>
      <c r="V141" s="7"/>
      <c r="W141" s="7"/>
      <c r="X141" s="7"/>
      <c r="Y141" s="7"/>
    </row>
    <row r="142">
      <c r="A142" s="4" t="s">
        <v>183</v>
      </c>
      <c r="B142" s="4" t="s">
        <v>184</v>
      </c>
      <c r="C142" s="8" t="s">
        <v>187</v>
      </c>
      <c r="D142" s="5">
        <v>5.0</v>
      </c>
      <c r="E142" s="6">
        <v>10.0</v>
      </c>
      <c r="F142" s="6">
        <f t="shared" si="1"/>
        <v>7.5</v>
      </c>
      <c r="G142" s="6">
        <f t="shared" si="2"/>
        <v>15</v>
      </c>
      <c r="H142" s="4" t="s">
        <v>28</v>
      </c>
      <c r="I142" s="4"/>
      <c r="J142" s="4" t="s">
        <v>29</v>
      </c>
      <c r="K142" s="4" t="s">
        <v>29</v>
      </c>
      <c r="L142" s="7"/>
      <c r="M142" s="7"/>
      <c r="N142" s="7"/>
      <c r="O142" s="4" t="s">
        <v>29</v>
      </c>
      <c r="P142" s="7"/>
      <c r="Q142" s="7"/>
      <c r="R142" s="7"/>
      <c r="S142" s="7"/>
      <c r="T142" s="7"/>
      <c r="U142" s="4" t="s">
        <v>29</v>
      </c>
      <c r="V142" s="7"/>
      <c r="W142" s="7"/>
      <c r="X142" s="7"/>
      <c r="Y142" s="7"/>
    </row>
    <row r="143">
      <c r="A143" s="4" t="s">
        <v>183</v>
      </c>
      <c r="B143" s="4" t="s">
        <v>184</v>
      </c>
      <c r="C143" s="8" t="s">
        <v>188</v>
      </c>
      <c r="D143" s="5">
        <v>6.0</v>
      </c>
      <c r="E143" s="6">
        <v>8.0</v>
      </c>
      <c r="F143" s="6">
        <f t="shared" si="1"/>
        <v>6</v>
      </c>
      <c r="G143" s="6">
        <f t="shared" si="2"/>
        <v>12</v>
      </c>
      <c r="H143" s="4" t="s">
        <v>28</v>
      </c>
      <c r="I143" s="4" t="s">
        <v>29</v>
      </c>
      <c r="J143" s="4" t="s">
        <v>29</v>
      </c>
      <c r="K143" s="4" t="s">
        <v>29</v>
      </c>
      <c r="L143" s="4" t="s">
        <v>29</v>
      </c>
      <c r="M143" s="7"/>
      <c r="N143" s="7"/>
      <c r="O143" s="7"/>
      <c r="P143" s="4" t="s">
        <v>29</v>
      </c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4" t="s">
        <v>183</v>
      </c>
      <c r="B144" s="4" t="s">
        <v>184</v>
      </c>
      <c r="C144" s="8" t="s">
        <v>189</v>
      </c>
      <c r="D144" s="5">
        <v>6.0</v>
      </c>
      <c r="E144" s="6">
        <v>15.0</v>
      </c>
      <c r="F144" s="6">
        <f t="shared" si="1"/>
        <v>11.25</v>
      </c>
      <c r="G144" s="6">
        <f t="shared" si="2"/>
        <v>22.5</v>
      </c>
      <c r="H144" s="4" t="s">
        <v>28</v>
      </c>
      <c r="I144" s="4"/>
      <c r="J144" s="4" t="s">
        <v>29</v>
      </c>
      <c r="K144" s="4" t="s">
        <v>29</v>
      </c>
      <c r="L144" s="7"/>
      <c r="M144" s="7"/>
      <c r="N144" s="7"/>
      <c r="O144" s="7"/>
      <c r="P144" s="7"/>
      <c r="Q144" s="4" t="s">
        <v>29</v>
      </c>
      <c r="R144" s="7"/>
      <c r="S144" s="7"/>
      <c r="T144" s="7"/>
      <c r="U144" s="7"/>
      <c r="V144" s="7"/>
      <c r="W144" s="7"/>
      <c r="X144" s="7"/>
      <c r="Y144" s="7"/>
    </row>
    <row r="145">
      <c r="A145" s="4" t="s">
        <v>183</v>
      </c>
      <c r="B145" s="4" t="s">
        <v>184</v>
      </c>
      <c r="C145" s="8" t="s">
        <v>190</v>
      </c>
      <c r="D145" s="5">
        <v>5.0</v>
      </c>
      <c r="E145" s="6">
        <v>5.0</v>
      </c>
      <c r="F145" s="6">
        <f t="shared" si="1"/>
        <v>3.75</v>
      </c>
      <c r="G145" s="6">
        <f t="shared" si="2"/>
        <v>7.5</v>
      </c>
      <c r="H145" s="4" t="s">
        <v>28</v>
      </c>
      <c r="I145" s="4" t="s">
        <v>29</v>
      </c>
      <c r="J145" s="4" t="s">
        <v>29</v>
      </c>
      <c r="K145" s="4" t="s">
        <v>29</v>
      </c>
      <c r="L145" s="7"/>
      <c r="M145" s="7"/>
      <c r="N145" s="4" t="s">
        <v>29</v>
      </c>
      <c r="O145" s="7"/>
      <c r="P145" s="4" t="s">
        <v>29</v>
      </c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4" t="s">
        <v>183</v>
      </c>
      <c r="B146" s="4" t="s">
        <v>184</v>
      </c>
      <c r="C146" s="8" t="s">
        <v>191</v>
      </c>
      <c r="D146" s="5">
        <v>8.0</v>
      </c>
      <c r="E146" s="6">
        <v>1.0</v>
      </c>
      <c r="F146" s="6">
        <f t="shared" si="1"/>
        <v>0.75</v>
      </c>
      <c r="G146" s="6">
        <f t="shared" si="2"/>
        <v>1.5</v>
      </c>
      <c r="H146" s="4" t="s">
        <v>28</v>
      </c>
      <c r="I146" s="4" t="s">
        <v>29</v>
      </c>
      <c r="J146" s="4" t="s">
        <v>29</v>
      </c>
      <c r="K146" s="4" t="s">
        <v>29</v>
      </c>
      <c r="L146" s="7"/>
      <c r="M146" s="7"/>
      <c r="N146" s="7"/>
      <c r="O146" s="7"/>
      <c r="P146" s="4" t="s">
        <v>29</v>
      </c>
      <c r="Q146" s="7"/>
      <c r="R146" s="7"/>
      <c r="S146" s="7"/>
      <c r="T146" s="4" t="s">
        <v>29</v>
      </c>
      <c r="U146" s="7"/>
      <c r="V146" s="7"/>
      <c r="W146" s="7"/>
      <c r="X146" s="7"/>
      <c r="Y146" s="7"/>
    </row>
    <row r="147">
      <c r="A147" s="4" t="s">
        <v>183</v>
      </c>
      <c r="B147" s="4" t="s">
        <v>184</v>
      </c>
      <c r="C147" s="8" t="s">
        <v>192</v>
      </c>
      <c r="D147" s="5">
        <v>5.0</v>
      </c>
      <c r="E147" s="6">
        <v>30.0</v>
      </c>
      <c r="F147" s="6">
        <f t="shared" si="1"/>
        <v>22.5</v>
      </c>
      <c r="G147" s="6">
        <f t="shared" si="2"/>
        <v>45</v>
      </c>
      <c r="H147" s="4" t="s">
        <v>28</v>
      </c>
      <c r="I147" s="4"/>
      <c r="J147" s="4"/>
      <c r="K147" s="4" t="s">
        <v>29</v>
      </c>
      <c r="L147" s="7"/>
      <c r="M147" s="7"/>
      <c r="N147" s="7"/>
      <c r="O147" s="7"/>
      <c r="P147" s="4" t="s">
        <v>29</v>
      </c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4" t="s">
        <v>183</v>
      </c>
      <c r="B148" s="4" t="s">
        <v>184</v>
      </c>
      <c r="C148" s="8" t="s">
        <v>193</v>
      </c>
      <c r="D148" s="5">
        <v>2.0</v>
      </c>
      <c r="E148" s="6">
        <v>25.0</v>
      </c>
      <c r="F148" s="6">
        <f t="shared" si="1"/>
        <v>18.75</v>
      </c>
      <c r="G148" s="6">
        <f t="shared" si="2"/>
        <v>37.5</v>
      </c>
      <c r="H148" s="4" t="s">
        <v>28</v>
      </c>
      <c r="I148" s="4"/>
      <c r="J148" s="4"/>
      <c r="K148" s="4" t="s">
        <v>29</v>
      </c>
      <c r="L148" s="7"/>
      <c r="M148" s="7"/>
      <c r="N148" s="7"/>
      <c r="O148" s="7"/>
      <c r="P148" s="7"/>
      <c r="Q148" s="4" t="s">
        <v>29</v>
      </c>
      <c r="R148" s="7"/>
      <c r="S148" s="4" t="s">
        <v>29</v>
      </c>
      <c r="T148" s="7"/>
      <c r="U148" s="7"/>
      <c r="V148" s="7"/>
      <c r="W148" s="7"/>
      <c r="X148" s="7"/>
      <c r="Y148" s="7"/>
    </row>
    <row r="149">
      <c r="A149" s="4" t="s">
        <v>183</v>
      </c>
      <c r="B149" s="4" t="s">
        <v>184</v>
      </c>
      <c r="C149" s="8" t="s">
        <v>194</v>
      </c>
      <c r="D149" s="5">
        <v>5.0</v>
      </c>
      <c r="E149" s="6">
        <v>5.0</v>
      </c>
      <c r="F149" s="6">
        <f t="shared" si="1"/>
        <v>3.75</v>
      </c>
      <c r="G149" s="6">
        <f t="shared" si="2"/>
        <v>7.5</v>
      </c>
      <c r="H149" s="4" t="s">
        <v>28</v>
      </c>
      <c r="I149" s="4" t="s">
        <v>29</v>
      </c>
      <c r="J149" s="4" t="s">
        <v>29</v>
      </c>
      <c r="K149" s="4" t="s">
        <v>29</v>
      </c>
      <c r="L149" s="7"/>
      <c r="M149" s="7"/>
      <c r="N149" s="4" t="s">
        <v>29</v>
      </c>
      <c r="O149" s="7"/>
      <c r="P149" s="4" t="s">
        <v>29</v>
      </c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4" t="s">
        <v>183</v>
      </c>
      <c r="B150" s="4" t="s">
        <v>184</v>
      </c>
      <c r="C150" s="8" t="s">
        <v>195</v>
      </c>
      <c r="D150" s="5">
        <v>8.0</v>
      </c>
      <c r="E150" s="6">
        <v>10.0</v>
      </c>
      <c r="F150" s="6">
        <f t="shared" si="1"/>
        <v>7.5</v>
      </c>
      <c r="G150" s="6">
        <f t="shared" si="2"/>
        <v>15</v>
      </c>
      <c r="H150" s="4" t="s">
        <v>28</v>
      </c>
      <c r="I150" s="4"/>
      <c r="J150" s="4" t="s">
        <v>29</v>
      </c>
      <c r="K150" s="4" t="s">
        <v>29</v>
      </c>
      <c r="L150" s="4" t="s">
        <v>29</v>
      </c>
      <c r="M150" s="7"/>
      <c r="N150" s="7"/>
      <c r="O150" s="7"/>
      <c r="P150" s="4" t="s">
        <v>29</v>
      </c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4" t="s">
        <v>183</v>
      </c>
      <c r="B151" s="4" t="s">
        <v>184</v>
      </c>
      <c r="C151" s="8" t="s">
        <v>196</v>
      </c>
      <c r="D151" s="5">
        <v>5.0</v>
      </c>
      <c r="E151" s="6">
        <v>10.0</v>
      </c>
      <c r="F151" s="6">
        <f t="shared" si="1"/>
        <v>7.5</v>
      </c>
      <c r="G151" s="6">
        <f t="shared" si="2"/>
        <v>15</v>
      </c>
      <c r="H151" s="4" t="s">
        <v>28</v>
      </c>
      <c r="I151" s="4"/>
      <c r="J151" s="4"/>
      <c r="K151" s="4" t="s">
        <v>29</v>
      </c>
      <c r="L151" s="7"/>
      <c r="M151" s="7"/>
      <c r="N151" s="7"/>
      <c r="O151" s="7"/>
      <c r="P151" s="4" t="s">
        <v>29</v>
      </c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4" t="s">
        <v>183</v>
      </c>
      <c r="B152" s="4" t="s">
        <v>184</v>
      </c>
      <c r="C152" s="8" t="s">
        <v>197</v>
      </c>
      <c r="D152" s="5">
        <v>3.0</v>
      </c>
      <c r="E152" s="6">
        <v>10.0</v>
      </c>
      <c r="F152" s="6">
        <f t="shared" si="1"/>
        <v>7.5</v>
      </c>
      <c r="G152" s="6">
        <f t="shared" si="2"/>
        <v>15</v>
      </c>
      <c r="H152" s="4" t="s">
        <v>28</v>
      </c>
      <c r="I152" s="4" t="s">
        <v>29</v>
      </c>
      <c r="J152" s="4" t="s">
        <v>29</v>
      </c>
      <c r="K152" s="4" t="s">
        <v>29</v>
      </c>
      <c r="L152" s="7"/>
      <c r="M152" s="7"/>
      <c r="N152" s="7"/>
      <c r="O152" s="7"/>
      <c r="P152" s="4" t="s">
        <v>29</v>
      </c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4" t="s">
        <v>183</v>
      </c>
      <c r="B153" s="4" t="s">
        <v>184</v>
      </c>
      <c r="C153" s="8" t="s">
        <v>198</v>
      </c>
      <c r="D153" s="5">
        <v>8.0</v>
      </c>
      <c r="E153" s="6">
        <v>20.0</v>
      </c>
      <c r="F153" s="6">
        <f t="shared" si="1"/>
        <v>15</v>
      </c>
      <c r="G153" s="6">
        <f t="shared" si="2"/>
        <v>30</v>
      </c>
      <c r="H153" s="4" t="s">
        <v>28</v>
      </c>
      <c r="I153" s="4" t="s">
        <v>29</v>
      </c>
      <c r="J153" s="4" t="s">
        <v>29</v>
      </c>
      <c r="K153" s="4" t="s">
        <v>29</v>
      </c>
      <c r="L153" s="4" t="s">
        <v>29</v>
      </c>
      <c r="M153" s="7"/>
      <c r="N153" s="7"/>
      <c r="O153" s="7"/>
      <c r="P153" s="4" t="s">
        <v>29</v>
      </c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4" t="s">
        <v>183</v>
      </c>
      <c r="B154" s="4" t="s">
        <v>184</v>
      </c>
      <c r="C154" s="8" t="s">
        <v>199</v>
      </c>
      <c r="D154" s="5">
        <v>10.0</v>
      </c>
      <c r="E154" s="6">
        <v>50.0</v>
      </c>
      <c r="F154" s="6">
        <f t="shared" si="1"/>
        <v>37.5</v>
      </c>
      <c r="G154" s="6">
        <f t="shared" si="2"/>
        <v>75</v>
      </c>
      <c r="H154" s="4" t="s">
        <v>28</v>
      </c>
      <c r="I154" s="4"/>
      <c r="J154" s="4"/>
      <c r="K154" s="4" t="s">
        <v>29</v>
      </c>
      <c r="L154" s="4" t="s">
        <v>29</v>
      </c>
      <c r="M154" s="7"/>
      <c r="N154" s="7"/>
      <c r="O154" s="7"/>
      <c r="P154" s="7"/>
      <c r="Q154" s="4" t="s">
        <v>29</v>
      </c>
      <c r="R154" s="7"/>
      <c r="S154" s="7"/>
      <c r="T154" s="7"/>
      <c r="U154" s="7"/>
      <c r="V154" s="7"/>
      <c r="W154" s="7"/>
      <c r="X154" s="7"/>
      <c r="Y154" s="7"/>
    </row>
    <row r="155">
      <c r="A155" s="4" t="s">
        <v>183</v>
      </c>
      <c r="B155" s="4" t="s">
        <v>184</v>
      </c>
      <c r="C155" s="8" t="s">
        <v>200</v>
      </c>
      <c r="D155" s="5">
        <v>5.0</v>
      </c>
      <c r="E155" s="6">
        <v>1.0</v>
      </c>
      <c r="F155" s="6">
        <f t="shared" si="1"/>
        <v>0.75</v>
      </c>
      <c r="G155" s="6">
        <f t="shared" si="2"/>
        <v>1.5</v>
      </c>
      <c r="H155" s="4" t="s">
        <v>28</v>
      </c>
      <c r="I155" s="4" t="s">
        <v>29</v>
      </c>
      <c r="J155" s="4" t="s">
        <v>29</v>
      </c>
      <c r="K155" s="4" t="s">
        <v>29</v>
      </c>
      <c r="L155" s="7"/>
      <c r="M155" s="7"/>
      <c r="N155" s="7"/>
      <c r="O155" s="7"/>
      <c r="P155" s="4" t="s">
        <v>29</v>
      </c>
      <c r="Q155" s="7"/>
      <c r="R155" s="4" t="s">
        <v>29</v>
      </c>
      <c r="S155" s="7"/>
      <c r="T155" s="7"/>
      <c r="U155" s="7"/>
      <c r="V155" s="7"/>
      <c r="W155" s="7"/>
      <c r="X155" s="7"/>
      <c r="Y155" s="7"/>
    </row>
    <row r="156">
      <c r="A156" s="4" t="s">
        <v>183</v>
      </c>
      <c r="B156" s="4" t="s">
        <v>184</v>
      </c>
      <c r="C156" s="8" t="s">
        <v>201</v>
      </c>
      <c r="D156" s="5">
        <v>5.0</v>
      </c>
      <c r="E156" s="6">
        <v>1.0</v>
      </c>
      <c r="F156" s="6">
        <f t="shared" si="1"/>
        <v>0.75</v>
      </c>
      <c r="G156" s="6">
        <f t="shared" si="2"/>
        <v>1.5</v>
      </c>
      <c r="H156" s="4" t="s">
        <v>28</v>
      </c>
      <c r="I156" s="4" t="s">
        <v>29</v>
      </c>
      <c r="J156" s="4" t="s">
        <v>29</v>
      </c>
      <c r="K156" s="4" t="s">
        <v>29</v>
      </c>
      <c r="L156" s="7"/>
      <c r="M156" s="7"/>
      <c r="N156" s="7"/>
      <c r="O156" s="7"/>
      <c r="P156" s="4" t="s">
        <v>29</v>
      </c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4" t="s">
        <v>183</v>
      </c>
      <c r="B157" s="4" t="s">
        <v>26</v>
      </c>
      <c r="C157" s="8" t="s">
        <v>202</v>
      </c>
      <c r="D157" s="5">
        <v>3.0</v>
      </c>
      <c r="E157" s="6">
        <v>25.0</v>
      </c>
      <c r="F157" s="6">
        <f t="shared" si="1"/>
        <v>18.75</v>
      </c>
      <c r="G157" s="6">
        <f t="shared" si="2"/>
        <v>37.5</v>
      </c>
      <c r="H157" s="4" t="s">
        <v>28</v>
      </c>
      <c r="I157" s="4"/>
      <c r="J157" s="4" t="s">
        <v>29</v>
      </c>
      <c r="K157" s="4" t="s">
        <v>29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4" t="s">
        <v>29</v>
      </c>
      <c r="X157" s="7"/>
      <c r="Y157" s="7"/>
    </row>
    <row r="158">
      <c r="A158" s="4" t="s">
        <v>183</v>
      </c>
      <c r="B158" s="4" t="s">
        <v>26</v>
      </c>
      <c r="C158" s="8" t="s">
        <v>203</v>
      </c>
      <c r="D158" s="5">
        <v>5.0</v>
      </c>
      <c r="E158" s="6">
        <v>15.0</v>
      </c>
      <c r="F158" s="6">
        <f t="shared" si="1"/>
        <v>11.25</v>
      </c>
      <c r="G158" s="6">
        <f t="shared" si="2"/>
        <v>22.5</v>
      </c>
      <c r="H158" s="4" t="s">
        <v>28</v>
      </c>
      <c r="I158" s="4"/>
      <c r="J158" s="4" t="s">
        <v>29</v>
      </c>
      <c r="K158" s="4" t="s">
        <v>29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4" t="s">
        <v>29</v>
      </c>
      <c r="X158" s="7"/>
      <c r="Y158" s="7"/>
    </row>
    <row r="159">
      <c r="A159" s="4" t="s">
        <v>183</v>
      </c>
      <c r="B159" s="8" t="s">
        <v>204</v>
      </c>
      <c r="C159" s="4" t="s">
        <v>205</v>
      </c>
      <c r="D159" s="5" t="s">
        <v>26</v>
      </c>
      <c r="E159" s="6">
        <v>0.1</v>
      </c>
      <c r="F159" s="6">
        <f t="shared" si="1"/>
        <v>0.075</v>
      </c>
      <c r="G159" s="6">
        <f t="shared" si="2"/>
        <v>0.15</v>
      </c>
      <c r="H159" s="4" t="s">
        <v>28</v>
      </c>
      <c r="I159" s="4" t="s">
        <v>29</v>
      </c>
      <c r="J159" s="4" t="s">
        <v>29</v>
      </c>
      <c r="K159" s="4" t="s">
        <v>29</v>
      </c>
      <c r="L159" s="7"/>
      <c r="M159" s="7"/>
      <c r="N159" s="7"/>
      <c r="O159" s="7"/>
      <c r="P159" s="4" t="s">
        <v>29</v>
      </c>
      <c r="Q159" s="7"/>
      <c r="R159" s="7"/>
      <c r="S159" s="7"/>
      <c r="T159" s="7"/>
      <c r="U159" s="7"/>
      <c r="V159" s="7"/>
      <c r="W159" s="4" t="s">
        <v>29</v>
      </c>
      <c r="X159" s="7"/>
      <c r="Y159" s="7"/>
    </row>
    <row r="160">
      <c r="A160" s="4" t="s">
        <v>183</v>
      </c>
      <c r="B160" s="8" t="s">
        <v>204</v>
      </c>
      <c r="C160" s="8" t="s">
        <v>206</v>
      </c>
      <c r="D160" s="5" t="s">
        <v>26</v>
      </c>
      <c r="E160" s="6">
        <v>1.0</v>
      </c>
      <c r="F160" s="6">
        <f t="shared" si="1"/>
        <v>0.75</v>
      </c>
      <c r="G160" s="6">
        <f t="shared" si="2"/>
        <v>1.5</v>
      </c>
      <c r="H160" s="4" t="s">
        <v>28</v>
      </c>
      <c r="I160" s="4"/>
      <c r="J160" s="4" t="s">
        <v>29</v>
      </c>
      <c r="K160" s="4" t="s">
        <v>29</v>
      </c>
      <c r="L160" s="7"/>
      <c r="M160" s="7"/>
      <c r="N160" s="7"/>
      <c r="O160" s="7"/>
      <c r="P160" s="4" t="s">
        <v>29</v>
      </c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4" t="s">
        <v>183</v>
      </c>
      <c r="B161" s="8" t="s">
        <v>204</v>
      </c>
      <c r="C161" s="8" t="s">
        <v>207</v>
      </c>
      <c r="D161" s="5" t="s">
        <v>26</v>
      </c>
      <c r="E161" s="6">
        <v>0.5</v>
      </c>
      <c r="F161" s="6">
        <f t="shared" si="1"/>
        <v>0.375</v>
      </c>
      <c r="G161" s="6">
        <f t="shared" si="2"/>
        <v>0.75</v>
      </c>
      <c r="H161" s="4" t="s">
        <v>28</v>
      </c>
      <c r="I161" s="4" t="s">
        <v>29</v>
      </c>
      <c r="J161" s="4" t="s">
        <v>29</v>
      </c>
      <c r="K161" s="4" t="s">
        <v>29</v>
      </c>
      <c r="L161" s="7"/>
      <c r="M161" s="7"/>
      <c r="N161" s="7"/>
      <c r="O161" s="7"/>
      <c r="P161" s="4" t="s">
        <v>29</v>
      </c>
      <c r="Q161" s="7"/>
      <c r="R161" s="7"/>
      <c r="S161" s="7"/>
      <c r="T161" s="7"/>
      <c r="U161" s="7"/>
      <c r="V161" s="7"/>
      <c r="W161" s="4" t="s">
        <v>29</v>
      </c>
      <c r="X161" s="7"/>
      <c r="Y161" s="7"/>
    </row>
    <row r="162">
      <c r="A162" s="4" t="s">
        <v>183</v>
      </c>
      <c r="B162" s="8" t="s">
        <v>204</v>
      </c>
      <c r="C162" s="8" t="s">
        <v>208</v>
      </c>
      <c r="D162" s="5" t="s">
        <v>26</v>
      </c>
      <c r="E162" s="6">
        <v>1.0</v>
      </c>
      <c r="F162" s="6">
        <f t="shared" si="1"/>
        <v>0.75</v>
      </c>
      <c r="G162" s="6">
        <f t="shared" si="2"/>
        <v>1.5</v>
      </c>
      <c r="H162" s="4" t="s">
        <v>28</v>
      </c>
      <c r="I162" s="4"/>
      <c r="J162" s="4" t="s">
        <v>29</v>
      </c>
      <c r="K162" s="4" t="s">
        <v>29</v>
      </c>
      <c r="L162" s="7"/>
      <c r="M162" s="7"/>
      <c r="N162" s="7"/>
      <c r="O162" s="7"/>
      <c r="P162" s="4" t="s">
        <v>29</v>
      </c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4" t="s">
        <v>183</v>
      </c>
      <c r="B163" s="4" t="s">
        <v>26</v>
      </c>
      <c r="C163" s="8" t="s">
        <v>209</v>
      </c>
      <c r="D163" s="5">
        <v>3.0</v>
      </c>
      <c r="E163" s="6">
        <v>5.0</v>
      </c>
      <c r="F163" s="6">
        <f t="shared" si="1"/>
        <v>3.75</v>
      </c>
      <c r="G163" s="6">
        <f t="shared" si="2"/>
        <v>7.5</v>
      </c>
      <c r="H163" s="4" t="s">
        <v>28</v>
      </c>
      <c r="I163" s="4"/>
      <c r="J163" s="4" t="s">
        <v>29</v>
      </c>
      <c r="K163" s="4" t="s">
        <v>29</v>
      </c>
      <c r="L163" s="7"/>
      <c r="M163" s="7"/>
      <c r="N163" s="7"/>
      <c r="O163" s="4" t="s">
        <v>29</v>
      </c>
      <c r="P163" s="7"/>
      <c r="Q163" s="4" t="s">
        <v>29</v>
      </c>
      <c r="R163" s="7"/>
      <c r="S163" s="7"/>
      <c r="T163" s="7"/>
      <c r="U163" s="7"/>
      <c r="V163" s="7"/>
      <c r="W163" s="7"/>
      <c r="X163" s="7"/>
      <c r="Y163" s="7"/>
    </row>
    <row r="164">
      <c r="A164" s="4" t="s">
        <v>183</v>
      </c>
      <c r="B164" s="4" t="s">
        <v>210</v>
      </c>
      <c r="C164" s="8" t="s">
        <v>211</v>
      </c>
      <c r="D164" s="5">
        <v>6.0</v>
      </c>
      <c r="E164" s="6">
        <v>30.0</v>
      </c>
      <c r="F164" s="6">
        <f t="shared" si="1"/>
        <v>22.5</v>
      </c>
      <c r="G164" s="6">
        <f t="shared" si="2"/>
        <v>45</v>
      </c>
      <c r="H164" s="4" t="s">
        <v>28</v>
      </c>
      <c r="I164" s="4"/>
      <c r="J164" s="4"/>
      <c r="K164" s="4" t="s">
        <v>29</v>
      </c>
      <c r="L164" s="7"/>
      <c r="M164" s="7"/>
      <c r="N164" s="4" t="s">
        <v>29</v>
      </c>
      <c r="O164" s="7"/>
      <c r="P164" s="7"/>
      <c r="Q164" s="7"/>
      <c r="R164" s="7"/>
      <c r="S164" s="7"/>
      <c r="T164" s="7"/>
      <c r="U164" s="7"/>
      <c r="V164" s="7"/>
      <c r="W164" s="7"/>
      <c r="X164" s="4" t="s">
        <v>29</v>
      </c>
      <c r="Y164" s="7"/>
    </row>
    <row r="165">
      <c r="A165" s="4" t="s">
        <v>183</v>
      </c>
      <c r="B165" s="4" t="s">
        <v>210</v>
      </c>
      <c r="C165" s="8" t="s">
        <v>212</v>
      </c>
      <c r="D165" s="5">
        <v>3.0</v>
      </c>
      <c r="E165" s="6">
        <v>6.0</v>
      </c>
      <c r="F165" s="6">
        <f t="shared" si="1"/>
        <v>4.5</v>
      </c>
      <c r="G165" s="6">
        <f t="shared" si="2"/>
        <v>9</v>
      </c>
      <c r="H165" s="4" t="s">
        <v>28</v>
      </c>
      <c r="I165" s="4" t="s">
        <v>29</v>
      </c>
      <c r="J165" s="4" t="s">
        <v>29</v>
      </c>
      <c r="K165" s="4" t="s">
        <v>29</v>
      </c>
      <c r="L165" s="7"/>
      <c r="M165" s="7"/>
      <c r="N165" s="4" t="s">
        <v>29</v>
      </c>
      <c r="O165" s="7"/>
      <c r="P165" s="7"/>
      <c r="Q165" s="7"/>
      <c r="R165" s="7"/>
      <c r="S165" s="7"/>
      <c r="T165" s="7"/>
      <c r="U165" s="7"/>
      <c r="V165" s="7"/>
      <c r="W165" s="7"/>
      <c r="X165" s="4" t="s">
        <v>29</v>
      </c>
      <c r="Y165" s="7"/>
    </row>
    <row r="166">
      <c r="A166" s="4" t="s">
        <v>183</v>
      </c>
      <c r="B166" s="4" t="s">
        <v>210</v>
      </c>
      <c r="C166" s="8" t="s">
        <v>213</v>
      </c>
      <c r="D166" s="5">
        <v>10.0</v>
      </c>
      <c r="E166" s="6">
        <v>25.0</v>
      </c>
      <c r="F166" s="6">
        <f t="shared" si="1"/>
        <v>18.75</v>
      </c>
      <c r="G166" s="6">
        <f t="shared" si="2"/>
        <v>37.5</v>
      </c>
      <c r="H166" s="4" t="s">
        <v>28</v>
      </c>
      <c r="I166" s="4"/>
      <c r="J166" s="4" t="s">
        <v>29</v>
      </c>
      <c r="K166" s="4" t="s">
        <v>29</v>
      </c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4" t="s">
        <v>29</v>
      </c>
      <c r="Y166" s="7"/>
    </row>
    <row r="167">
      <c r="A167" s="4" t="s">
        <v>183</v>
      </c>
      <c r="B167" s="4" t="s">
        <v>210</v>
      </c>
      <c r="C167" s="8" t="s">
        <v>214</v>
      </c>
      <c r="D167" s="5">
        <v>1.0</v>
      </c>
      <c r="E167" s="6">
        <v>2.0</v>
      </c>
      <c r="F167" s="6">
        <f t="shared" si="1"/>
        <v>1.5</v>
      </c>
      <c r="G167" s="6">
        <f t="shared" si="2"/>
        <v>3</v>
      </c>
      <c r="H167" s="4" t="s">
        <v>28</v>
      </c>
      <c r="I167" s="4" t="s">
        <v>29</v>
      </c>
      <c r="J167" s="4" t="s">
        <v>29</v>
      </c>
      <c r="K167" s="4" t="s">
        <v>29</v>
      </c>
      <c r="L167" s="7"/>
      <c r="M167" s="7"/>
      <c r="N167" s="7"/>
      <c r="O167" s="4" t="s">
        <v>29</v>
      </c>
      <c r="P167" s="7"/>
      <c r="Q167" s="7"/>
      <c r="R167" s="7"/>
      <c r="S167" s="7"/>
      <c r="T167" s="7"/>
      <c r="U167" s="7"/>
      <c r="V167" s="7"/>
      <c r="W167" s="7"/>
      <c r="X167" s="4" t="s">
        <v>29</v>
      </c>
      <c r="Y167" s="7"/>
    </row>
    <row r="168">
      <c r="A168" s="4" t="s">
        <v>183</v>
      </c>
      <c r="B168" s="4" t="s">
        <v>210</v>
      </c>
      <c r="C168" s="8" t="s">
        <v>215</v>
      </c>
      <c r="D168" s="5">
        <v>2.0</v>
      </c>
      <c r="E168" s="6">
        <v>3.0</v>
      </c>
      <c r="F168" s="6">
        <f t="shared" si="1"/>
        <v>2.25</v>
      </c>
      <c r="G168" s="6">
        <f t="shared" si="2"/>
        <v>4.5</v>
      </c>
      <c r="H168" s="4" t="s">
        <v>28</v>
      </c>
      <c r="I168" s="4"/>
      <c r="J168" s="4" t="s">
        <v>29</v>
      </c>
      <c r="K168" s="4" t="s">
        <v>29</v>
      </c>
      <c r="L168" s="7"/>
      <c r="M168" s="7"/>
      <c r="N168" s="7"/>
      <c r="O168" s="4" t="s">
        <v>29</v>
      </c>
      <c r="P168" s="7"/>
      <c r="Q168" s="7"/>
      <c r="R168" s="7"/>
      <c r="S168" s="7"/>
      <c r="T168" s="7"/>
      <c r="U168" s="7"/>
      <c r="V168" s="7"/>
      <c r="W168" s="7"/>
      <c r="X168" s="4" t="s">
        <v>29</v>
      </c>
      <c r="Y168" s="7"/>
    </row>
    <row r="169">
      <c r="A169" s="4" t="s">
        <v>183</v>
      </c>
      <c r="B169" s="4" t="s">
        <v>210</v>
      </c>
      <c r="C169" s="8" t="s">
        <v>216</v>
      </c>
      <c r="D169" s="5">
        <v>2.0</v>
      </c>
      <c r="E169" s="6">
        <v>12.0</v>
      </c>
      <c r="F169" s="6">
        <f t="shared" si="1"/>
        <v>9</v>
      </c>
      <c r="G169" s="6">
        <f t="shared" si="2"/>
        <v>18</v>
      </c>
      <c r="H169" s="4" t="s">
        <v>28</v>
      </c>
      <c r="I169" s="4" t="s">
        <v>29</v>
      </c>
      <c r="J169" s="4" t="s">
        <v>29</v>
      </c>
      <c r="K169" s="4" t="s">
        <v>29</v>
      </c>
      <c r="L169" s="7"/>
      <c r="M169" s="7"/>
      <c r="N169" s="7"/>
      <c r="O169" s="4" t="s">
        <v>29</v>
      </c>
      <c r="P169" s="7"/>
      <c r="Q169" s="7"/>
      <c r="R169" s="7"/>
      <c r="S169" s="7"/>
      <c r="T169" s="7"/>
      <c r="U169" s="7"/>
      <c r="V169" s="7"/>
      <c r="W169" s="7"/>
      <c r="X169" s="4" t="s">
        <v>29</v>
      </c>
      <c r="Y169" s="7"/>
    </row>
    <row r="170">
      <c r="A170" s="4" t="s">
        <v>183</v>
      </c>
      <c r="B170" s="4" t="s">
        <v>210</v>
      </c>
      <c r="C170" s="8" t="s">
        <v>217</v>
      </c>
      <c r="D170" s="5">
        <v>2.0</v>
      </c>
      <c r="E170" s="6">
        <v>20.0</v>
      </c>
      <c r="F170" s="6">
        <f t="shared" si="1"/>
        <v>15</v>
      </c>
      <c r="G170" s="6">
        <f t="shared" si="2"/>
        <v>30</v>
      </c>
      <c r="H170" s="4" t="s">
        <v>28</v>
      </c>
      <c r="I170" s="4" t="s">
        <v>29</v>
      </c>
      <c r="J170" s="4" t="s">
        <v>29</v>
      </c>
      <c r="K170" s="4" t="s">
        <v>29</v>
      </c>
      <c r="L170" s="7"/>
      <c r="M170" s="7"/>
      <c r="N170" s="7"/>
      <c r="O170" s="4" t="s">
        <v>29</v>
      </c>
      <c r="P170" s="7"/>
      <c r="Q170" s="7"/>
      <c r="R170" s="7"/>
      <c r="S170" s="7"/>
      <c r="T170" s="7"/>
      <c r="U170" s="7"/>
      <c r="V170" s="7"/>
      <c r="W170" s="7"/>
      <c r="X170" s="4" t="s">
        <v>29</v>
      </c>
      <c r="Y170" s="7"/>
    </row>
    <row r="171">
      <c r="A171" s="4" t="s">
        <v>183</v>
      </c>
      <c r="B171" s="4" t="s">
        <v>210</v>
      </c>
      <c r="C171" s="8" t="s">
        <v>218</v>
      </c>
      <c r="D171" s="5">
        <v>2.0</v>
      </c>
      <c r="E171" s="6">
        <v>12.0</v>
      </c>
      <c r="F171" s="6">
        <f t="shared" si="1"/>
        <v>9</v>
      </c>
      <c r="G171" s="6">
        <f t="shared" si="2"/>
        <v>18</v>
      </c>
      <c r="H171" s="4" t="s">
        <v>28</v>
      </c>
      <c r="I171" s="4" t="s">
        <v>29</v>
      </c>
      <c r="J171" s="4" t="s">
        <v>29</v>
      </c>
      <c r="K171" s="4" t="s">
        <v>29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4" t="s">
        <v>29</v>
      </c>
      <c r="Y171" s="7"/>
    </row>
    <row r="172">
      <c r="A172" s="4" t="s">
        <v>183</v>
      </c>
      <c r="B172" s="4" t="s">
        <v>210</v>
      </c>
      <c r="C172" s="8" t="s">
        <v>219</v>
      </c>
      <c r="D172" s="5">
        <v>1.0</v>
      </c>
      <c r="E172" s="6">
        <v>2.0</v>
      </c>
      <c r="F172" s="6">
        <f t="shared" si="1"/>
        <v>1.5</v>
      </c>
      <c r="G172" s="6">
        <f t="shared" si="2"/>
        <v>3</v>
      </c>
      <c r="H172" s="4" t="s">
        <v>28</v>
      </c>
      <c r="I172" s="4" t="s">
        <v>29</v>
      </c>
      <c r="J172" s="4" t="s">
        <v>29</v>
      </c>
      <c r="K172" s="4" t="s">
        <v>29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4" t="s">
        <v>29</v>
      </c>
      <c r="Y172" s="7"/>
    </row>
    <row r="173">
      <c r="A173" s="4" t="s">
        <v>183</v>
      </c>
      <c r="B173" s="4" t="s">
        <v>210</v>
      </c>
      <c r="C173" s="8" t="s">
        <v>220</v>
      </c>
      <c r="D173" s="5">
        <v>1.0</v>
      </c>
      <c r="E173" s="6">
        <v>30.0</v>
      </c>
      <c r="F173" s="6">
        <f t="shared" si="1"/>
        <v>22.5</v>
      </c>
      <c r="G173" s="6">
        <f t="shared" si="2"/>
        <v>45</v>
      </c>
      <c r="H173" s="4" t="s">
        <v>28</v>
      </c>
      <c r="I173" s="4"/>
      <c r="J173" s="4"/>
      <c r="K173" s="4" t="s">
        <v>29</v>
      </c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 t="s">
        <v>29</v>
      </c>
      <c r="Y173" s="7"/>
    </row>
    <row r="174">
      <c r="A174" s="4" t="s">
        <v>183</v>
      </c>
      <c r="B174" s="4" t="s">
        <v>26</v>
      </c>
      <c r="C174" s="8" t="s">
        <v>221</v>
      </c>
      <c r="D174" s="5">
        <v>2.0</v>
      </c>
      <c r="E174" s="6">
        <v>25.0</v>
      </c>
      <c r="F174" s="6">
        <f t="shared" si="1"/>
        <v>18.75</v>
      </c>
      <c r="G174" s="6">
        <f t="shared" si="2"/>
        <v>37.5</v>
      </c>
      <c r="H174" s="4" t="s">
        <v>28</v>
      </c>
      <c r="I174" s="4" t="s">
        <v>29</v>
      </c>
      <c r="J174" s="4" t="s">
        <v>29</v>
      </c>
      <c r="K174" s="4" t="s">
        <v>29</v>
      </c>
      <c r="L174" s="7"/>
      <c r="M174" s="7"/>
      <c r="N174" s="7"/>
      <c r="O174" s="7"/>
      <c r="P174" s="7"/>
      <c r="Q174" s="4" t="s">
        <v>29</v>
      </c>
      <c r="R174" s="7"/>
      <c r="S174" s="7"/>
      <c r="T174" s="7"/>
      <c r="U174" s="7"/>
      <c r="V174" s="7"/>
      <c r="W174" s="4"/>
      <c r="X174" s="7"/>
      <c r="Y174" s="7"/>
    </row>
    <row r="175">
      <c r="A175" s="4" t="s">
        <v>183</v>
      </c>
      <c r="B175" s="4" t="s">
        <v>26</v>
      </c>
      <c r="C175" s="8" t="s">
        <v>222</v>
      </c>
      <c r="D175" s="5">
        <v>2.0</v>
      </c>
      <c r="E175" s="6">
        <v>50.0</v>
      </c>
      <c r="F175" s="6">
        <f t="shared" si="1"/>
        <v>37.5</v>
      </c>
      <c r="G175" s="6">
        <f t="shared" si="2"/>
        <v>75</v>
      </c>
      <c r="H175" s="4" t="s">
        <v>28</v>
      </c>
      <c r="I175" s="4" t="s">
        <v>29</v>
      </c>
      <c r="J175" s="4" t="s">
        <v>29</v>
      </c>
      <c r="K175" s="4" t="s">
        <v>29</v>
      </c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4" t="s">
        <v>29</v>
      </c>
      <c r="X175" s="7"/>
      <c r="Y175" s="7"/>
    </row>
    <row r="176">
      <c r="A176" s="4" t="s">
        <v>183</v>
      </c>
      <c r="B176" s="4" t="s">
        <v>26</v>
      </c>
      <c r="C176" s="8" t="s">
        <v>223</v>
      </c>
      <c r="D176" s="5">
        <v>1.0</v>
      </c>
      <c r="E176" s="6">
        <v>25.0</v>
      </c>
      <c r="F176" s="6">
        <f t="shared" si="1"/>
        <v>18.75</v>
      </c>
      <c r="G176" s="6">
        <f t="shared" si="2"/>
        <v>37.5</v>
      </c>
      <c r="H176" s="4" t="s">
        <v>28</v>
      </c>
      <c r="I176" s="4" t="s">
        <v>29</v>
      </c>
      <c r="J176" s="4" t="s">
        <v>29</v>
      </c>
      <c r="K176" s="4" t="s">
        <v>29</v>
      </c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4" t="s">
        <v>29</v>
      </c>
      <c r="X176" s="7"/>
      <c r="Y176" s="7"/>
    </row>
    <row r="177">
      <c r="A177" s="4" t="s">
        <v>224</v>
      </c>
      <c r="B177" s="4" t="s">
        <v>225</v>
      </c>
      <c r="C177" s="8" t="s">
        <v>226</v>
      </c>
      <c r="D177" s="5" t="s">
        <v>26</v>
      </c>
      <c r="E177" s="6">
        <v>50.0</v>
      </c>
      <c r="F177" s="6">
        <f t="shared" si="1"/>
        <v>37.5</v>
      </c>
      <c r="G177" s="6">
        <f t="shared" si="2"/>
        <v>75</v>
      </c>
      <c r="H177" s="4" t="s">
        <v>28</v>
      </c>
      <c r="I177" s="4"/>
      <c r="J177" s="4"/>
      <c r="K177" s="4" t="s">
        <v>29</v>
      </c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4" t="s">
        <v>224</v>
      </c>
      <c r="B178" s="4" t="s">
        <v>225</v>
      </c>
      <c r="C178" s="8" t="s">
        <v>227</v>
      </c>
      <c r="D178" s="5" t="s">
        <v>26</v>
      </c>
      <c r="E178" s="6">
        <v>200.0</v>
      </c>
      <c r="F178" s="6">
        <f t="shared" si="1"/>
        <v>150</v>
      </c>
      <c r="G178" s="6">
        <f t="shared" si="2"/>
        <v>300</v>
      </c>
      <c r="H178" s="4" t="s">
        <v>28</v>
      </c>
      <c r="I178" s="4"/>
      <c r="J178" s="4"/>
      <c r="K178" s="4" t="s">
        <v>29</v>
      </c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4" t="s">
        <v>224</v>
      </c>
      <c r="B179" s="4" t="s">
        <v>225</v>
      </c>
      <c r="C179" s="8" t="s">
        <v>228</v>
      </c>
      <c r="D179" s="5" t="s">
        <v>26</v>
      </c>
      <c r="E179" s="6">
        <v>50.0</v>
      </c>
      <c r="F179" s="6">
        <f t="shared" si="1"/>
        <v>37.5</v>
      </c>
      <c r="G179" s="6">
        <f t="shared" si="2"/>
        <v>75</v>
      </c>
      <c r="H179" s="4" t="s">
        <v>28</v>
      </c>
      <c r="I179" s="4" t="s">
        <v>29</v>
      </c>
      <c r="J179" s="4" t="s">
        <v>29</v>
      </c>
      <c r="K179" s="4" t="s">
        <v>29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4" t="s">
        <v>224</v>
      </c>
      <c r="B180" s="4" t="s">
        <v>225</v>
      </c>
      <c r="C180" s="8" t="s">
        <v>229</v>
      </c>
      <c r="D180" s="5" t="s">
        <v>26</v>
      </c>
      <c r="E180" s="6">
        <v>75.0</v>
      </c>
      <c r="F180" s="6">
        <f t="shared" si="1"/>
        <v>56.25</v>
      </c>
      <c r="G180" s="6">
        <f t="shared" si="2"/>
        <v>112.5</v>
      </c>
      <c r="H180" s="4" t="s">
        <v>28</v>
      </c>
      <c r="I180" s="4"/>
      <c r="J180" s="4" t="s">
        <v>29</v>
      </c>
      <c r="K180" s="4" t="s">
        <v>29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4" t="s">
        <v>224</v>
      </c>
      <c r="B181" s="4" t="s">
        <v>225</v>
      </c>
      <c r="C181" s="8" t="s">
        <v>230</v>
      </c>
      <c r="D181" s="5" t="s">
        <v>26</v>
      </c>
      <c r="E181" s="6">
        <v>25.0</v>
      </c>
      <c r="F181" s="6">
        <f t="shared" si="1"/>
        <v>18.75</v>
      </c>
      <c r="G181" s="6">
        <f t="shared" si="2"/>
        <v>37.5</v>
      </c>
      <c r="H181" s="4" t="s">
        <v>28</v>
      </c>
      <c r="I181" s="4" t="s">
        <v>29</v>
      </c>
      <c r="J181" s="4" t="s">
        <v>29</v>
      </c>
      <c r="K181" s="4" t="s">
        <v>29</v>
      </c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4" t="s">
        <v>224</v>
      </c>
      <c r="B182" s="4" t="s">
        <v>225</v>
      </c>
      <c r="C182" s="8" t="s">
        <v>231</v>
      </c>
      <c r="D182" s="5" t="s">
        <v>26</v>
      </c>
      <c r="E182" s="6">
        <v>8.0</v>
      </c>
      <c r="F182" s="6">
        <f t="shared" si="1"/>
        <v>6</v>
      </c>
      <c r="G182" s="6">
        <f t="shared" si="2"/>
        <v>12</v>
      </c>
      <c r="H182" s="4" t="s">
        <v>28</v>
      </c>
      <c r="I182" s="4" t="s">
        <v>29</v>
      </c>
      <c r="J182" s="4" t="s">
        <v>29</v>
      </c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4" t="s">
        <v>224</v>
      </c>
      <c r="B183" s="4" t="s">
        <v>225</v>
      </c>
      <c r="C183" s="8" t="s">
        <v>232</v>
      </c>
      <c r="D183" s="5" t="s">
        <v>26</v>
      </c>
      <c r="E183" s="6">
        <v>30.0</v>
      </c>
      <c r="F183" s="6">
        <f t="shared" si="1"/>
        <v>22.5</v>
      </c>
      <c r="G183" s="6">
        <f t="shared" si="2"/>
        <v>45</v>
      </c>
      <c r="H183" s="4" t="s">
        <v>28</v>
      </c>
      <c r="I183" s="4" t="s">
        <v>29</v>
      </c>
      <c r="J183" s="4" t="s">
        <v>29</v>
      </c>
      <c r="K183" s="4" t="s">
        <v>29</v>
      </c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4" t="s">
        <v>224</v>
      </c>
      <c r="B184" s="4" t="s">
        <v>225</v>
      </c>
      <c r="C184" s="8" t="s">
        <v>233</v>
      </c>
      <c r="D184" s="5" t="s">
        <v>26</v>
      </c>
      <c r="E184" s="6">
        <v>400.0</v>
      </c>
      <c r="F184" s="6">
        <f t="shared" si="1"/>
        <v>300</v>
      </c>
      <c r="G184" s="6">
        <f t="shared" si="2"/>
        <v>600</v>
      </c>
      <c r="H184" s="4" t="s">
        <v>28</v>
      </c>
      <c r="I184" s="4"/>
      <c r="J184" s="4"/>
      <c r="K184" s="4" t="s">
        <v>29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4" t="s">
        <v>224</v>
      </c>
      <c r="B185" s="4" t="s">
        <v>234</v>
      </c>
      <c r="C185" s="8" t="s">
        <v>235</v>
      </c>
      <c r="D185" s="5">
        <v>600.0</v>
      </c>
      <c r="E185" s="6">
        <v>100.0</v>
      </c>
      <c r="F185" s="6">
        <f t="shared" si="1"/>
        <v>75</v>
      </c>
      <c r="G185" s="6">
        <f t="shared" si="2"/>
        <v>150</v>
      </c>
      <c r="H185" s="4" t="s">
        <v>28</v>
      </c>
      <c r="I185" s="4"/>
      <c r="J185" s="4" t="s">
        <v>29</v>
      </c>
      <c r="K185" s="4" t="s">
        <v>29</v>
      </c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4" t="s">
        <v>224</v>
      </c>
      <c r="B186" s="4" t="s">
        <v>234</v>
      </c>
      <c r="C186" s="8" t="s">
        <v>236</v>
      </c>
      <c r="D186" s="5">
        <v>200.0</v>
      </c>
      <c r="E186" s="6">
        <v>15.0</v>
      </c>
      <c r="F186" s="6">
        <f t="shared" si="1"/>
        <v>11.25</v>
      </c>
      <c r="G186" s="6">
        <f t="shared" si="2"/>
        <v>22.5</v>
      </c>
      <c r="H186" s="4" t="s">
        <v>28</v>
      </c>
      <c r="I186" s="4" t="s">
        <v>29</v>
      </c>
      <c r="J186" s="4" t="s">
        <v>29</v>
      </c>
      <c r="K186" s="4" t="s">
        <v>29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4" t="s">
        <v>224</v>
      </c>
      <c r="B187" s="4" t="s">
        <v>234</v>
      </c>
      <c r="C187" s="8" t="s">
        <v>237</v>
      </c>
      <c r="D187" s="5">
        <v>100.0</v>
      </c>
      <c r="E187" s="6">
        <v>250.0</v>
      </c>
      <c r="F187" s="6">
        <f t="shared" si="1"/>
        <v>187.5</v>
      </c>
      <c r="G187" s="6">
        <f t="shared" si="2"/>
        <v>375</v>
      </c>
      <c r="H187" s="4" t="s">
        <v>28</v>
      </c>
      <c r="I187" s="4"/>
      <c r="J187" s="4"/>
      <c r="K187" s="4" t="s">
        <v>29</v>
      </c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4" t="s">
        <v>224</v>
      </c>
      <c r="B188" s="4" t="s">
        <v>234</v>
      </c>
      <c r="C188" s="8" t="s">
        <v>238</v>
      </c>
      <c r="D188" s="5">
        <v>10.0</v>
      </c>
      <c r="E188" s="6">
        <v>0.05</v>
      </c>
      <c r="F188" s="6">
        <f t="shared" si="1"/>
        <v>0.0375</v>
      </c>
      <c r="G188" s="6">
        <f t="shared" si="2"/>
        <v>0.075</v>
      </c>
      <c r="H188" s="4" t="s">
        <v>28</v>
      </c>
      <c r="I188" s="4" t="s">
        <v>29</v>
      </c>
      <c r="J188" s="4" t="s">
        <v>29</v>
      </c>
      <c r="K188" s="4" t="s">
        <v>29</v>
      </c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4" t="s">
        <v>224</v>
      </c>
      <c r="B189" s="4" t="s">
        <v>234</v>
      </c>
      <c r="C189" s="8" t="s">
        <v>239</v>
      </c>
      <c r="D189" s="5">
        <v>40.0</v>
      </c>
      <c r="E189" s="6">
        <v>60.0</v>
      </c>
      <c r="F189" s="6">
        <f t="shared" si="1"/>
        <v>45</v>
      </c>
      <c r="G189" s="6">
        <f t="shared" si="2"/>
        <v>90</v>
      </c>
      <c r="H189" s="4" t="s">
        <v>28</v>
      </c>
      <c r="I189" s="4"/>
      <c r="J189" s="4"/>
      <c r="K189" s="4" t="s">
        <v>29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4" t="s">
        <v>224</v>
      </c>
      <c r="B190" s="4" t="s">
        <v>234</v>
      </c>
      <c r="C190" s="8" t="s">
        <v>240</v>
      </c>
      <c r="D190" s="5">
        <v>30.0</v>
      </c>
      <c r="E190" s="6">
        <v>20.0</v>
      </c>
      <c r="F190" s="6">
        <f t="shared" si="1"/>
        <v>15</v>
      </c>
      <c r="G190" s="6">
        <f t="shared" si="2"/>
        <v>30</v>
      </c>
      <c r="H190" s="4" t="s">
        <v>28</v>
      </c>
      <c r="I190" s="4"/>
      <c r="J190" s="4" t="s">
        <v>29</v>
      </c>
      <c r="K190" s="4" t="s">
        <v>29</v>
      </c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4" t="s">
        <v>224</v>
      </c>
      <c r="B191" s="4" t="s">
        <v>234</v>
      </c>
      <c r="C191" s="8" t="s">
        <v>241</v>
      </c>
      <c r="D191" s="5">
        <v>25.0</v>
      </c>
      <c r="E191" s="6">
        <v>10.0</v>
      </c>
      <c r="F191" s="6">
        <f t="shared" si="1"/>
        <v>7.5</v>
      </c>
      <c r="G191" s="6">
        <f t="shared" si="2"/>
        <v>15</v>
      </c>
      <c r="H191" s="4" t="s">
        <v>28</v>
      </c>
      <c r="I191" s="4"/>
      <c r="J191" s="4" t="s">
        <v>29</v>
      </c>
      <c r="K191" s="4" t="s">
        <v>29</v>
      </c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4" t="s">
        <v>224</v>
      </c>
      <c r="B192" s="4" t="s">
        <v>234</v>
      </c>
      <c r="C192" s="8" t="s">
        <v>242</v>
      </c>
      <c r="D192" s="5">
        <v>300.0</v>
      </c>
      <c r="E192" s="6">
        <v>20.0</v>
      </c>
      <c r="F192" s="6">
        <f t="shared" si="1"/>
        <v>15</v>
      </c>
      <c r="G192" s="6">
        <f t="shared" si="2"/>
        <v>30</v>
      </c>
      <c r="H192" s="4" t="s">
        <v>28</v>
      </c>
      <c r="I192" s="4" t="s">
        <v>29</v>
      </c>
      <c r="J192" s="4" t="s">
        <v>29</v>
      </c>
      <c r="K192" s="4" t="s">
        <v>29</v>
      </c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4" t="s">
        <v>224</v>
      </c>
      <c r="B193" s="4" t="s">
        <v>234</v>
      </c>
      <c r="C193" s="8" t="s">
        <v>243</v>
      </c>
      <c r="D193" s="5" t="s">
        <v>26</v>
      </c>
      <c r="E193" s="6">
        <v>0.5</v>
      </c>
      <c r="F193" s="6">
        <f t="shared" si="1"/>
        <v>0.375</v>
      </c>
      <c r="G193" s="6">
        <f t="shared" si="2"/>
        <v>0.75</v>
      </c>
      <c r="H193" s="4" t="s">
        <v>28</v>
      </c>
      <c r="I193" s="4" t="s">
        <v>29</v>
      </c>
      <c r="J193" s="4" t="s">
        <v>29</v>
      </c>
      <c r="K193" s="4" t="s">
        <v>29</v>
      </c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4" t="s">
        <v>224</v>
      </c>
      <c r="B194" s="4" t="s">
        <v>234</v>
      </c>
      <c r="C194" s="8" t="s">
        <v>244</v>
      </c>
      <c r="D194" s="5">
        <v>400.0</v>
      </c>
      <c r="E194" s="6">
        <v>35.0</v>
      </c>
      <c r="F194" s="6">
        <f t="shared" si="1"/>
        <v>26.25</v>
      </c>
      <c r="G194" s="6">
        <f t="shared" si="2"/>
        <v>52.5</v>
      </c>
      <c r="H194" s="4" t="s">
        <v>28</v>
      </c>
      <c r="I194" s="4" t="s">
        <v>29</v>
      </c>
      <c r="J194" s="4" t="s">
        <v>29</v>
      </c>
      <c r="K194" s="4" t="s">
        <v>29</v>
      </c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4" t="s">
        <v>224</v>
      </c>
      <c r="B195" s="4" t="s">
        <v>245</v>
      </c>
      <c r="C195" s="8" t="s">
        <v>246</v>
      </c>
      <c r="D195" s="5" t="s">
        <v>26</v>
      </c>
      <c r="E195" s="6">
        <v>40000.0</v>
      </c>
      <c r="F195" s="6">
        <f t="shared" si="1"/>
        <v>30000</v>
      </c>
      <c r="G195" s="6">
        <f t="shared" si="2"/>
        <v>60000</v>
      </c>
      <c r="H195" s="4" t="s">
        <v>28</v>
      </c>
      <c r="I195" s="4"/>
      <c r="J195" s="4"/>
      <c r="K195" s="4" t="s">
        <v>29</v>
      </c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4" t="s">
        <v>224</v>
      </c>
      <c r="B196" s="4" t="s">
        <v>245</v>
      </c>
      <c r="C196" s="8" t="s">
        <v>247</v>
      </c>
      <c r="D196" s="5" t="s">
        <v>26</v>
      </c>
      <c r="E196" s="6">
        <v>30000.0</v>
      </c>
      <c r="F196" s="6">
        <f t="shared" si="1"/>
        <v>22500</v>
      </c>
      <c r="G196" s="6">
        <f t="shared" si="2"/>
        <v>45000</v>
      </c>
      <c r="H196" s="4" t="s">
        <v>28</v>
      </c>
      <c r="I196" s="4"/>
      <c r="J196" s="4"/>
      <c r="K196" s="4" t="s">
        <v>29</v>
      </c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4" t="s">
        <v>224</v>
      </c>
      <c r="B197" s="4" t="s">
        <v>245</v>
      </c>
      <c r="C197" s="8" t="s">
        <v>248</v>
      </c>
      <c r="D197" s="5" t="s">
        <v>26</v>
      </c>
      <c r="E197" s="6">
        <v>3000.0</v>
      </c>
      <c r="F197" s="6">
        <f t="shared" si="1"/>
        <v>2250</v>
      </c>
      <c r="G197" s="6">
        <f t="shared" si="2"/>
        <v>4500</v>
      </c>
      <c r="H197" s="4" t="s">
        <v>28</v>
      </c>
      <c r="I197" s="4" t="s">
        <v>29</v>
      </c>
      <c r="J197" s="4" t="s">
        <v>29</v>
      </c>
      <c r="K197" s="4" t="s">
        <v>29</v>
      </c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4" t="s">
        <v>224</v>
      </c>
      <c r="B198" s="4" t="s">
        <v>245</v>
      </c>
      <c r="C198" s="8" t="s">
        <v>249</v>
      </c>
      <c r="D198" s="5" t="s">
        <v>26</v>
      </c>
      <c r="E198" s="6">
        <v>10000.0</v>
      </c>
      <c r="F198" s="6">
        <f t="shared" si="1"/>
        <v>7500</v>
      </c>
      <c r="G198" s="6">
        <f t="shared" si="2"/>
        <v>15000</v>
      </c>
      <c r="H198" s="4" t="s">
        <v>28</v>
      </c>
      <c r="I198" s="4"/>
      <c r="J198" s="4" t="s">
        <v>29</v>
      </c>
      <c r="K198" s="4" t="s">
        <v>29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4" t="s">
        <v>224</v>
      </c>
      <c r="B199" s="4" t="s">
        <v>245</v>
      </c>
      <c r="C199" s="8" t="s">
        <v>250</v>
      </c>
      <c r="D199" s="5" t="s">
        <v>26</v>
      </c>
      <c r="E199" s="6">
        <v>50.0</v>
      </c>
      <c r="F199" s="6">
        <f t="shared" si="1"/>
        <v>37.5</v>
      </c>
      <c r="G199" s="6">
        <f t="shared" si="2"/>
        <v>75</v>
      </c>
      <c r="H199" s="4" t="s">
        <v>28</v>
      </c>
      <c r="I199" s="4" t="s">
        <v>29</v>
      </c>
      <c r="J199" s="4" t="s">
        <v>29</v>
      </c>
      <c r="K199" s="4" t="s">
        <v>29</v>
      </c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4" t="s">
        <v>224</v>
      </c>
      <c r="B200" s="4" t="s">
        <v>245</v>
      </c>
      <c r="C200" s="8" t="s">
        <v>251</v>
      </c>
      <c r="D200" s="5" t="s">
        <v>26</v>
      </c>
      <c r="E200" s="6">
        <v>10000.0</v>
      </c>
      <c r="F200" s="6">
        <f t="shared" si="1"/>
        <v>7500</v>
      </c>
      <c r="G200" s="6">
        <f t="shared" si="2"/>
        <v>15000</v>
      </c>
      <c r="H200" s="4" t="s">
        <v>28</v>
      </c>
      <c r="I200" s="4"/>
      <c r="J200" s="4" t="s">
        <v>29</v>
      </c>
      <c r="K200" s="4" t="s">
        <v>29</v>
      </c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4" t="s">
        <v>224</v>
      </c>
      <c r="B201" s="4" t="s">
        <v>245</v>
      </c>
      <c r="C201" s="8" t="s">
        <v>252</v>
      </c>
      <c r="D201" s="5" t="s">
        <v>26</v>
      </c>
      <c r="E201" s="6">
        <v>25000.0</v>
      </c>
      <c r="F201" s="6">
        <f t="shared" si="1"/>
        <v>18750</v>
      </c>
      <c r="G201" s="6">
        <f t="shared" si="2"/>
        <v>37500</v>
      </c>
      <c r="H201" s="4" t="s">
        <v>28</v>
      </c>
      <c r="I201" s="4"/>
      <c r="J201" s="4"/>
      <c r="K201" s="4" t="s">
        <v>29</v>
      </c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4" t="s">
        <v>253</v>
      </c>
      <c r="B202" s="4" t="s">
        <v>254</v>
      </c>
      <c r="C202" s="8" t="s">
        <v>255</v>
      </c>
      <c r="D202" s="5">
        <v>2.0</v>
      </c>
      <c r="E202" s="6">
        <v>0.1</v>
      </c>
      <c r="F202" s="6">
        <f t="shared" si="1"/>
        <v>0.075</v>
      </c>
      <c r="G202" s="6">
        <f t="shared" si="2"/>
        <v>0.15</v>
      </c>
      <c r="H202" s="4" t="s">
        <v>28</v>
      </c>
      <c r="I202" s="4" t="s">
        <v>29</v>
      </c>
      <c r="J202" s="4"/>
      <c r="K202" s="4"/>
      <c r="L202" s="7"/>
      <c r="M202" s="7"/>
      <c r="N202" s="7"/>
      <c r="O202" s="7"/>
      <c r="P202" s="7"/>
      <c r="Q202" s="4" t="s">
        <v>29</v>
      </c>
      <c r="R202" s="7"/>
      <c r="S202" s="7"/>
      <c r="T202" s="7"/>
      <c r="U202" s="7"/>
      <c r="V202" s="7"/>
      <c r="W202" s="7"/>
      <c r="X202" s="7"/>
      <c r="Y202" s="7"/>
    </row>
    <row r="203">
      <c r="A203" s="4" t="s">
        <v>253</v>
      </c>
      <c r="B203" s="4" t="s">
        <v>254</v>
      </c>
      <c r="C203" s="8" t="s">
        <v>256</v>
      </c>
      <c r="D203" s="5">
        <v>1.0</v>
      </c>
      <c r="E203" s="6">
        <v>2.0</v>
      </c>
      <c r="F203" s="6">
        <f t="shared" si="1"/>
        <v>1.5</v>
      </c>
      <c r="G203" s="6">
        <f t="shared" si="2"/>
        <v>3</v>
      </c>
      <c r="H203" s="4" t="s">
        <v>28</v>
      </c>
      <c r="I203" s="4" t="s">
        <v>29</v>
      </c>
      <c r="J203" s="4" t="s">
        <v>29</v>
      </c>
      <c r="K203" s="4" t="s">
        <v>29</v>
      </c>
      <c r="L203" s="4" t="s">
        <v>29</v>
      </c>
      <c r="M203" s="7"/>
      <c r="N203" s="7"/>
      <c r="O203" s="7"/>
      <c r="P203" s="7"/>
      <c r="Q203" s="4" t="s">
        <v>29</v>
      </c>
      <c r="R203" s="7"/>
      <c r="S203" s="7"/>
      <c r="T203" s="7"/>
      <c r="U203" s="7"/>
      <c r="V203" s="7"/>
      <c r="W203" s="4" t="s">
        <v>29</v>
      </c>
      <c r="X203" s="7"/>
      <c r="Y203" s="7"/>
    </row>
    <row r="204">
      <c r="A204" s="4" t="s">
        <v>253</v>
      </c>
      <c r="B204" s="4" t="s">
        <v>254</v>
      </c>
      <c r="C204" s="8" t="s">
        <v>257</v>
      </c>
      <c r="D204" s="5">
        <v>10.0</v>
      </c>
      <c r="E204" s="6">
        <v>0.2</v>
      </c>
      <c r="F204" s="6">
        <f t="shared" si="1"/>
        <v>0.15</v>
      </c>
      <c r="G204" s="6">
        <f t="shared" si="2"/>
        <v>0.3</v>
      </c>
      <c r="H204" s="4" t="s">
        <v>28</v>
      </c>
      <c r="I204" s="4"/>
      <c r="J204" s="4" t="s">
        <v>29</v>
      </c>
      <c r="K204" s="4" t="s">
        <v>29</v>
      </c>
      <c r="L204" s="7"/>
      <c r="M204" s="7"/>
      <c r="N204" s="7"/>
      <c r="O204" s="7"/>
      <c r="P204" s="7"/>
      <c r="Q204" s="4" t="s">
        <v>29</v>
      </c>
      <c r="R204" s="7"/>
      <c r="S204" s="7"/>
      <c r="T204" s="7"/>
      <c r="U204" s="7"/>
      <c r="V204" s="7"/>
      <c r="W204" s="7"/>
      <c r="X204" s="7"/>
      <c r="Y204" s="7"/>
    </row>
    <row r="205">
      <c r="A205" s="4" t="s">
        <v>253</v>
      </c>
      <c r="B205" s="4" t="s">
        <v>254</v>
      </c>
      <c r="C205" s="8" t="s">
        <v>258</v>
      </c>
      <c r="D205" s="5">
        <v>2.0</v>
      </c>
      <c r="E205" s="6">
        <v>5.0</v>
      </c>
      <c r="F205" s="6">
        <f t="shared" si="1"/>
        <v>3.75</v>
      </c>
      <c r="G205" s="6">
        <f t="shared" si="2"/>
        <v>7.5</v>
      </c>
      <c r="H205" s="4" t="s">
        <v>28</v>
      </c>
      <c r="I205" s="4" t="s">
        <v>29</v>
      </c>
      <c r="J205" s="4" t="s">
        <v>29</v>
      </c>
      <c r="K205" s="4" t="s">
        <v>29</v>
      </c>
      <c r="L205" s="4" t="s">
        <v>29</v>
      </c>
      <c r="M205" s="7"/>
      <c r="N205" s="7"/>
      <c r="O205" s="7"/>
      <c r="P205" s="7"/>
      <c r="Q205" s="4" t="s">
        <v>29</v>
      </c>
      <c r="R205" s="7"/>
      <c r="S205" s="7"/>
      <c r="T205" s="7"/>
      <c r="U205" s="7"/>
      <c r="V205" s="7"/>
      <c r="W205" s="7"/>
      <c r="X205" s="7"/>
      <c r="Y205" s="7"/>
    </row>
    <row r="206">
      <c r="A206" s="4" t="s">
        <v>253</v>
      </c>
      <c r="B206" s="4" t="s">
        <v>254</v>
      </c>
      <c r="C206" s="8" t="s">
        <v>259</v>
      </c>
      <c r="D206" s="5">
        <v>2.0</v>
      </c>
      <c r="E206" s="6">
        <v>0.5</v>
      </c>
      <c r="F206" s="6">
        <f t="shared" si="1"/>
        <v>0.375</v>
      </c>
      <c r="G206" s="6">
        <f t="shared" si="2"/>
        <v>0.75</v>
      </c>
      <c r="H206" s="4" t="s">
        <v>28</v>
      </c>
      <c r="I206" s="4"/>
      <c r="J206" s="4" t="s">
        <v>29</v>
      </c>
      <c r="K206" s="4" t="s">
        <v>29</v>
      </c>
      <c r="L206" s="4" t="s">
        <v>29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4" t="s">
        <v>253</v>
      </c>
      <c r="B207" s="4" t="s">
        <v>254</v>
      </c>
      <c r="C207" s="8" t="s">
        <v>260</v>
      </c>
      <c r="D207" s="5">
        <v>2.0</v>
      </c>
      <c r="E207" s="6">
        <v>2.0</v>
      </c>
      <c r="F207" s="6">
        <f t="shared" si="1"/>
        <v>1.5</v>
      </c>
      <c r="G207" s="6">
        <f t="shared" si="2"/>
        <v>3</v>
      </c>
      <c r="H207" s="4" t="s">
        <v>28</v>
      </c>
      <c r="I207" s="4"/>
      <c r="J207" s="4" t="s">
        <v>29</v>
      </c>
      <c r="K207" s="4" t="s">
        <v>29</v>
      </c>
      <c r="L207" s="4" t="s">
        <v>29</v>
      </c>
      <c r="M207" s="7"/>
      <c r="N207" s="7"/>
      <c r="O207" s="7"/>
      <c r="P207" s="7"/>
      <c r="Q207" s="4" t="s">
        <v>29</v>
      </c>
      <c r="R207" s="7"/>
      <c r="S207" s="7"/>
      <c r="T207" s="7"/>
      <c r="U207" s="7"/>
      <c r="V207" s="7"/>
      <c r="W207" s="7"/>
      <c r="X207" s="7"/>
      <c r="Y207" s="7"/>
    </row>
    <row r="208">
      <c r="A208" s="4" t="s">
        <v>253</v>
      </c>
      <c r="B208" s="4" t="s">
        <v>254</v>
      </c>
      <c r="C208" s="8" t="s">
        <v>261</v>
      </c>
      <c r="D208" s="5">
        <v>4.0</v>
      </c>
      <c r="E208" s="6">
        <v>5.0</v>
      </c>
      <c r="F208" s="6">
        <f t="shared" si="1"/>
        <v>3.75</v>
      </c>
      <c r="G208" s="6">
        <f t="shared" si="2"/>
        <v>7.5</v>
      </c>
      <c r="H208" s="4" t="s">
        <v>28</v>
      </c>
      <c r="I208" s="4" t="s">
        <v>29</v>
      </c>
      <c r="J208" s="4" t="s">
        <v>29</v>
      </c>
      <c r="K208" s="4" t="s">
        <v>29</v>
      </c>
      <c r="L208" s="4" t="s">
        <v>29</v>
      </c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4" t="s">
        <v>253</v>
      </c>
      <c r="B209" s="4" t="s">
        <v>254</v>
      </c>
      <c r="C209" s="8" t="s">
        <v>262</v>
      </c>
      <c r="D209" s="5">
        <v>4.0</v>
      </c>
      <c r="E209" s="6">
        <v>0.2</v>
      </c>
      <c r="F209" s="6">
        <f t="shared" si="1"/>
        <v>0.15</v>
      </c>
      <c r="G209" s="6">
        <f t="shared" si="2"/>
        <v>0.3</v>
      </c>
      <c r="H209" s="4" t="s">
        <v>28</v>
      </c>
      <c r="I209" s="4" t="s">
        <v>29</v>
      </c>
      <c r="J209" s="4" t="s">
        <v>29</v>
      </c>
      <c r="K209" s="4" t="s">
        <v>29</v>
      </c>
      <c r="L209" s="7"/>
      <c r="M209" s="7"/>
      <c r="N209" s="7"/>
      <c r="O209" s="7"/>
      <c r="P209" s="7"/>
      <c r="Q209" s="4" t="s">
        <v>29</v>
      </c>
      <c r="R209" s="7"/>
      <c r="S209" s="7"/>
      <c r="T209" s="7"/>
      <c r="U209" s="4" t="s">
        <v>29</v>
      </c>
      <c r="V209" s="7"/>
      <c r="W209" s="7"/>
      <c r="X209" s="7"/>
      <c r="Y209" s="7"/>
    </row>
    <row r="210">
      <c r="A210" s="4" t="s">
        <v>253</v>
      </c>
      <c r="B210" s="4" t="s">
        <v>254</v>
      </c>
      <c r="C210" s="8" t="s">
        <v>263</v>
      </c>
      <c r="D210" s="5">
        <v>2.0</v>
      </c>
      <c r="E210" s="6">
        <v>1.0</v>
      </c>
      <c r="F210" s="6">
        <f t="shared" si="1"/>
        <v>0.75</v>
      </c>
      <c r="G210" s="6">
        <f t="shared" si="2"/>
        <v>1.5</v>
      </c>
      <c r="H210" s="4" t="s">
        <v>28</v>
      </c>
      <c r="I210" s="4"/>
      <c r="J210" s="4" t="s">
        <v>29</v>
      </c>
      <c r="K210" s="4" t="s">
        <v>29</v>
      </c>
      <c r="L210" s="4" t="s">
        <v>29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4" t="s">
        <v>253</v>
      </c>
      <c r="B211" s="4" t="s">
        <v>254</v>
      </c>
      <c r="C211" s="8" t="s">
        <v>264</v>
      </c>
      <c r="D211" s="5">
        <v>3.0</v>
      </c>
      <c r="E211" s="6">
        <v>1.0</v>
      </c>
      <c r="F211" s="6">
        <f t="shared" si="1"/>
        <v>0.75</v>
      </c>
      <c r="G211" s="6">
        <f t="shared" si="2"/>
        <v>1.5</v>
      </c>
      <c r="H211" s="4" t="s">
        <v>28</v>
      </c>
      <c r="I211" s="4" t="s">
        <v>29</v>
      </c>
      <c r="J211" s="4" t="s">
        <v>29</v>
      </c>
      <c r="K211" s="4" t="s">
        <v>29</v>
      </c>
      <c r="L211" s="4" t="s">
        <v>29</v>
      </c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4" t="s">
        <v>253</v>
      </c>
      <c r="B212" s="4" t="s">
        <v>265</v>
      </c>
      <c r="C212" s="8" t="s">
        <v>266</v>
      </c>
      <c r="D212" s="5">
        <v>0.25</v>
      </c>
      <c r="E212" s="6">
        <v>5.0</v>
      </c>
      <c r="F212" s="6">
        <f t="shared" si="1"/>
        <v>3.75</v>
      </c>
      <c r="G212" s="6">
        <f t="shared" si="2"/>
        <v>7.5</v>
      </c>
      <c r="H212" s="4" t="s">
        <v>28</v>
      </c>
      <c r="I212" s="4" t="s">
        <v>29</v>
      </c>
      <c r="J212" s="4" t="s">
        <v>29</v>
      </c>
      <c r="K212" s="4" t="s">
        <v>29</v>
      </c>
      <c r="L212" s="4"/>
      <c r="M212" s="7"/>
      <c r="N212" s="7"/>
      <c r="O212" s="7"/>
      <c r="P212" s="7"/>
      <c r="Q212" s="4" t="s">
        <v>29</v>
      </c>
      <c r="R212" s="7"/>
      <c r="S212" s="7"/>
      <c r="T212" s="7"/>
      <c r="U212" s="7"/>
      <c r="V212" s="7"/>
      <c r="W212" s="4" t="s">
        <v>29</v>
      </c>
      <c r="X212" s="7"/>
      <c r="Y212" s="7"/>
    </row>
    <row r="213">
      <c r="A213" s="4" t="s">
        <v>253</v>
      </c>
      <c r="B213" s="4" t="s">
        <v>265</v>
      </c>
      <c r="C213" s="8" t="s">
        <v>267</v>
      </c>
      <c r="D213" s="5">
        <v>5.0</v>
      </c>
      <c r="E213" s="6">
        <v>25.0</v>
      </c>
      <c r="F213" s="6">
        <f t="shared" si="1"/>
        <v>18.75</v>
      </c>
      <c r="G213" s="6">
        <f t="shared" si="2"/>
        <v>37.5</v>
      </c>
      <c r="H213" s="4" t="s">
        <v>28</v>
      </c>
      <c r="I213" s="4" t="s">
        <v>29</v>
      </c>
      <c r="J213" s="4" t="s">
        <v>29</v>
      </c>
      <c r="K213" s="4" t="s">
        <v>29</v>
      </c>
      <c r="L213" s="7"/>
      <c r="M213" s="4" t="s">
        <v>29</v>
      </c>
      <c r="N213" s="7"/>
      <c r="O213" s="7"/>
      <c r="P213" s="7"/>
      <c r="Q213" s="4" t="s">
        <v>29</v>
      </c>
      <c r="R213" s="7"/>
      <c r="S213" s="7"/>
      <c r="T213" s="7"/>
      <c r="U213" s="7"/>
      <c r="V213" s="7"/>
      <c r="W213" s="4" t="s">
        <v>29</v>
      </c>
      <c r="X213" s="7"/>
      <c r="Y213" s="7"/>
    </row>
    <row r="214">
      <c r="A214" s="4" t="s">
        <v>253</v>
      </c>
      <c r="B214" s="4" t="s">
        <v>265</v>
      </c>
      <c r="C214" s="8" t="s">
        <v>268</v>
      </c>
      <c r="D214" s="5">
        <v>2.0</v>
      </c>
      <c r="E214" s="6">
        <v>25.0</v>
      </c>
      <c r="F214" s="6">
        <f t="shared" si="1"/>
        <v>18.75</v>
      </c>
      <c r="G214" s="6">
        <f t="shared" si="2"/>
        <v>37.5</v>
      </c>
      <c r="H214" s="4" t="s">
        <v>28</v>
      </c>
      <c r="I214" s="4" t="s">
        <v>29</v>
      </c>
      <c r="J214" s="4" t="s">
        <v>29</v>
      </c>
      <c r="K214" s="4" t="s">
        <v>29</v>
      </c>
      <c r="L214" s="7"/>
      <c r="M214" s="4" t="s">
        <v>29</v>
      </c>
      <c r="N214" s="7"/>
      <c r="O214" s="7"/>
      <c r="P214" s="7"/>
      <c r="Q214" s="4" t="s">
        <v>29</v>
      </c>
      <c r="R214" s="7"/>
      <c r="S214" s="7"/>
      <c r="T214" s="7"/>
      <c r="U214" s="7"/>
      <c r="V214" s="7"/>
      <c r="W214" s="4" t="s">
        <v>29</v>
      </c>
      <c r="X214" s="7"/>
      <c r="Y214" s="7"/>
    </row>
    <row r="215">
      <c r="A215" s="4" t="s">
        <v>253</v>
      </c>
      <c r="B215" s="4" t="s">
        <v>265</v>
      </c>
      <c r="C215" s="8" t="s">
        <v>269</v>
      </c>
      <c r="D215" s="5" t="s">
        <v>26</v>
      </c>
      <c r="E215" s="6">
        <v>0.1</v>
      </c>
      <c r="F215" s="6">
        <f t="shared" si="1"/>
        <v>0.075</v>
      </c>
      <c r="G215" s="6">
        <f t="shared" si="2"/>
        <v>0.15</v>
      </c>
      <c r="H215" s="4" t="s">
        <v>28</v>
      </c>
      <c r="I215" s="4" t="s">
        <v>29</v>
      </c>
      <c r="J215" s="4" t="s">
        <v>29</v>
      </c>
      <c r="K215" s="4" t="s">
        <v>29</v>
      </c>
      <c r="L215" s="7"/>
      <c r="M215" s="7"/>
      <c r="N215" s="4" t="s">
        <v>29</v>
      </c>
      <c r="O215" s="7"/>
      <c r="P215" s="7"/>
      <c r="Q215" s="4" t="s">
        <v>29</v>
      </c>
      <c r="R215" s="7"/>
      <c r="S215" s="7"/>
      <c r="T215" s="7"/>
      <c r="U215" s="7"/>
      <c r="V215" s="7"/>
      <c r="W215" s="7"/>
      <c r="X215" s="7"/>
      <c r="Y215" s="7"/>
    </row>
    <row r="216">
      <c r="A216" s="4" t="s">
        <v>253</v>
      </c>
      <c r="B216" s="4" t="s">
        <v>270</v>
      </c>
      <c r="C216" s="8" t="s">
        <v>271</v>
      </c>
      <c r="D216" s="5">
        <v>4.0</v>
      </c>
      <c r="E216" s="6">
        <v>10.0</v>
      </c>
      <c r="F216" s="6">
        <f t="shared" si="1"/>
        <v>7.5</v>
      </c>
      <c r="G216" s="6">
        <f t="shared" si="2"/>
        <v>15</v>
      </c>
      <c r="H216" s="4" t="s">
        <v>28</v>
      </c>
      <c r="I216" s="4" t="s">
        <v>29</v>
      </c>
      <c r="J216" s="4" t="s">
        <v>29</v>
      </c>
      <c r="K216" s="4" t="s">
        <v>29</v>
      </c>
      <c r="L216" s="4" t="s">
        <v>29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4" t="s">
        <v>253</v>
      </c>
      <c r="B217" s="4" t="s">
        <v>270</v>
      </c>
      <c r="C217" s="8" t="s">
        <v>272</v>
      </c>
      <c r="D217" s="5">
        <v>2.0</v>
      </c>
      <c r="E217" s="6">
        <v>10.0</v>
      </c>
      <c r="F217" s="6">
        <f t="shared" si="1"/>
        <v>7.5</v>
      </c>
      <c r="G217" s="6">
        <f t="shared" si="2"/>
        <v>15</v>
      </c>
      <c r="H217" s="4" t="s">
        <v>28</v>
      </c>
      <c r="I217" s="4"/>
      <c r="J217" s="4" t="s">
        <v>29</v>
      </c>
      <c r="K217" s="4" t="s">
        <v>29</v>
      </c>
      <c r="L217" s="4" t="s">
        <v>29</v>
      </c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4" t="s">
        <v>253</v>
      </c>
      <c r="B218" s="4" t="s">
        <v>270</v>
      </c>
      <c r="C218" s="8" t="s">
        <v>273</v>
      </c>
      <c r="D218" s="5">
        <v>6.0</v>
      </c>
      <c r="E218" s="6">
        <v>20.0</v>
      </c>
      <c r="F218" s="6">
        <f t="shared" si="1"/>
        <v>15</v>
      </c>
      <c r="G218" s="6">
        <f t="shared" si="2"/>
        <v>30</v>
      </c>
      <c r="H218" s="4" t="s">
        <v>28</v>
      </c>
      <c r="I218" s="4"/>
      <c r="J218" s="4" t="s">
        <v>29</v>
      </c>
      <c r="K218" s="4" t="s">
        <v>29</v>
      </c>
      <c r="L218" s="4" t="s">
        <v>29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4" t="s">
        <v>253</v>
      </c>
      <c r="B219" s="4" t="s">
        <v>270</v>
      </c>
      <c r="C219" s="8" t="s">
        <v>274</v>
      </c>
      <c r="D219" s="5">
        <v>7.0</v>
      </c>
      <c r="E219" s="6">
        <v>30.0</v>
      </c>
      <c r="F219" s="6">
        <f t="shared" si="1"/>
        <v>22.5</v>
      </c>
      <c r="G219" s="6">
        <f t="shared" si="2"/>
        <v>45</v>
      </c>
      <c r="H219" s="4" t="s">
        <v>28</v>
      </c>
      <c r="I219" s="4" t="s">
        <v>29</v>
      </c>
      <c r="J219" s="4" t="s">
        <v>29</v>
      </c>
      <c r="K219" s="4" t="s">
        <v>29</v>
      </c>
      <c r="L219" s="4" t="s">
        <v>29</v>
      </c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4" t="s">
        <v>253</v>
      </c>
      <c r="B220" s="4" t="s">
        <v>270</v>
      </c>
      <c r="C220" s="8" t="s">
        <v>275</v>
      </c>
      <c r="D220" s="5">
        <v>6.0</v>
      </c>
      <c r="E220" s="6">
        <v>50.0</v>
      </c>
      <c r="F220" s="6">
        <f t="shared" si="1"/>
        <v>37.5</v>
      </c>
      <c r="G220" s="6">
        <f t="shared" si="2"/>
        <v>75</v>
      </c>
      <c r="H220" s="4" t="s">
        <v>28</v>
      </c>
      <c r="I220" s="4" t="s">
        <v>29</v>
      </c>
      <c r="J220" s="4" t="s">
        <v>29</v>
      </c>
      <c r="K220" s="4" t="s">
        <v>29</v>
      </c>
      <c r="L220" s="4" t="s">
        <v>29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4" t="s">
        <v>253</v>
      </c>
      <c r="B221" s="4" t="s">
        <v>270</v>
      </c>
      <c r="C221" s="8" t="s">
        <v>276</v>
      </c>
      <c r="D221" s="5">
        <v>6.0</v>
      </c>
      <c r="E221" s="6">
        <v>20.0</v>
      </c>
      <c r="F221" s="6">
        <f t="shared" si="1"/>
        <v>15</v>
      </c>
      <c r="G221" s="6">
        <f t="shared" si="2"/>
        <v>30</v>
      </c>
      <c r="H221" s="4" t="s">
        <v>28</v>
      </c>
      <c r="I221" s="4"/>
      <c r="J221" s="4" t="s">
        <v>29</v>
      </c>
      <c r="K221" s="4" t="s">
        <v>29</v>
      </c>
      <c r="L221" s="4" t="s">
        <v>29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4" t="s">
        <v>253</v>
      </c>
      <c r="B222" s="4" t="s">
        <v>270</v>
      </c>
      <c r="C222" s="8" t="s">
        <v>277</v>
      </c>
      <c r="D222" s="5">
        <v>6.0</v>
      </c>
      <c r="E222" s="6">
        <v>10.0</v>
      </c>
      <c r="F222" s="6">
        <f t="shared" si="1"/>
        <v>7.5</v>
      </c>
      <c r="G222" s="6">
        <f t="shared" si="2"/>
        <v>15</v>
      </c>
      <c r="H222" s="4" t="s">
        <v>28</v>
      </c>
      <c r="I222" s="4"/>
      <c r="J222" s="4"/>
      <c r="K222" s="4" t="s">
        <v>29</v>
      </c>
      <c r="L222" s="4" t="s">
        <v>29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4" t="s">
        <v>253</v>
      </c>
      <c r="B223" s="4" t="s">
        <v>270</v>
      </c>
      <c r="C223" s="8" t="s">
        <v>278</v>
      </c>
      <c r="D223" s="5">
        <v>3.0</v>
      </c>
      <c r="E223" s="6">
        <v>15.0</v>
      </c>
      <c r="F223" s="6">
        <f t="shared" si="1"/>
        <v>11.25</v>
      </c>
      <c r="G223" s="6">
        <f t="shared" si="2"/>
        <v>22.5</v>
      </c>
      <c r="H223" s="4" t="s">
        <v>28</v>
      </c>
      <c r="I223" s="4" t="s">
        <v>29</v>
      </c>
      <c r="J223" s="4" t="s">
        <v>29</v>
      </c>
      <c r="K223" s="4" t="s">
        <v>29</v>
      </c>
      <c r="L223" s="4" t="s">
        <v>29</v>
      </c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4" t="s">
        <v>253</v>
      </c>
      <c r="B224" s="4" t="s">
        <v>270</v>
      </c>
      <c r="C224" s="8" t="s">
        <v>279</v>
      </c>
      <c r="D224" s="5">
        <v>10.0</v>
      </c>
      <c r="E224" s="6">
        <v>10.0</v>
      </c>
      <c r="F224" s="6">
        <f t="shared" si="1"/>
        <v>7.5</v>
      </c>
      <c r="G224" s="6">
        <f t="shared" si="2"/>
        <v>15</v>
      </c>
      <c r="H224" s="4" t="s">
        <v>28</v>
      </c>
      <c r="I224" s="4"/>
      <c r="J224" s="4" t="s">
        <v>29</v>
      </c>
      <c r="K224" s="4" t="s">
        <v>29</v>
      </c>
      <c r="L224" s="4" t="s">
        <v>29</v>
      </c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4" t="s">
        <v>253</v>
      </c>
      <c r="B225" s="4" t="s">
        <v>270</v>
      </c>
      <c r="C225" s="8" t="s">
        <v>280</v>
      </c>
      <c r="D225" s="5">
        <v>4.0</v>
      </c>
      <c r="E225" s="6">
        <v>15.0</v>
      </c>
      <c r="F225" s="6">
        <f t="shared" si="1"/>
        <v>11.25</v>
      </c>
      <c r="G225" s="6">
        <f t="shared" si="2"/>
        <v>22.5</v>
      </c>
      <c r="H225" s="4" t="s">
        <v>28</v>
      </c>
      <c r="I225" s="4"/>
      <c r="J225" s="4" t="s">
        <v>29</v>
      </c>
      <c r="K225" s="4" t="s">
        <v>29</v>
      </c>
      <c r="L225" s="4" t="s">
        <v>29</v>
      </c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4" t="s">
        <v>253</v>
      </c>
      <c r="B226" s="4" t="s">
        <v>270</v>
      </c>
      <c r="C226" s="8" t="s">
        <v>281</v>
      </c>
      <c r="D226" s="5">
        <v>18.0</v>
      </c>
      <c r="E226" s="6">
        <v>5.0</v>
      </c>
      <c r="F226" s="6">
        <f t="shared" si="1"/>
        <v>3.75</v>
      </c>
      <c r="G226" s="6">
        <f t="shared" si="2"/>
        <v>7.5</v>
      </c>
      <c r="H226" s="4" t="s">
        <v>28</v>
      </c>
      <c r="I226" s="4" t="s">
        <v>29</v>
      </c>
      <c r="J226" s="4" t="s">
        <v>29</v>
      </c>
      <c r="K226" s="4" t="s">
        <v>29</v>
      </c>
      <c r="L226" s="4" t="s">
        <v>29</v>
      </c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4" t="s">
        <v>253</v>
      </c>
      <c r="B227" s="4" t="s">
        <v>270</v>
      </c>
      <c r="C227" s="8" t="s">
        <v>282</v>
      </c>
      <c r="D227" s="5">
        <v>2.0</v>
      </c>
      <c r="E227" s="6">
        <v>25.0</v>
      </c>
      <c r="F227" s="6">
        <f t="shared" si="1"/>
        <v>18.75</v>
      </c>
      <c r="G227" s="6">
        <f t="shared" si="2"/>
        <v>37.5</v>
      </c>
      <c r="H227" s="4" t="s">
        <v>28</v>
      </c>
      <c r="I227" s="4" t="s">
        <v>29</v>
      </c>
      <c r="J227" s="4" t="s">
        <v>29</v>
      </c>
      <c r="K227" s="4" t="s">
        <v>29</v>
      </c>
      <c r="L227" s="4" t="s">
        <v>29</v>
      </c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4" t="s">
        <v>29</v>
      </c>
      <c r="X227" s="7"/>
      <c r="Y227" s="7"/>
    </row>
    <row r="228">
      <c r="A228" s="4" t="s">
        <v>253</v>
      </c>
      <c r="B228" s="4" t="s">
        <v>270</v>
      </c>
      <c r="C228" s="8" t="s">
        <v>283</v>
      </c>
      <c r="D228" s="5">
        <v>3.0</v>
      </c>
      <c r="E228" s="6">
        <v>25.0</v>
      </c>
      <c r="F228" s="6">
        <f t="shared" si="1"/>
        <v>18.75</v>
      </c>
      <c r="G228" s="6">
        <f t="shared" si="2"/>
        <v>37.5</v>
      </c>
      <c r="H228" s="4" t="s">
        <v>28</v>
      </c>
      <c r="I228" s="4"/>
      <c r="J228" s="4" t="s">
        <v>29</v>
      </c>
      <c r="K228" s="4" t="s">
        <v>29</v>
      </c>
      <c r="L228" s="4" t="s">
        <v>29</v>
      </c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4" t="s">
        <v>253</v>
      </c>
      <c r="B229" s="4" t="s">
        <v>270</v>
      </c>
      <c r="C229" s="8" t="s">
        <v>284</v>
      </c>
      <c r="D229" s="5">
        <v>2.0</v>
      </c>
      <c r="E229" s="6">
        <v>10.0</v>
      </c>
      <c r="F229" s="6">
        <f t="shared" si="1"/>
        <v>7.5</v>
      </c>
      <c r="G229" s="6">
        <f t="shared" si="2"/>
        <v>15</v>
      </c>
      <c r="H229" s="4" t="s">
        <v>28</v>
      </c>
      <c r="I229" s="4" t="s">
        <v>29</v>
      </c>
      <c r="J229" s="4" t="s">
        <v>29</v>
      </c>
      <c r="K229" s="4" t="s">
        <v>29</v>
      </c>
      <c r="L229" s="4" t="s">
        <v>29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4" t="s">
        <v>29</v>
      </c>
      <c r="X229" s="7"/>
      <c r="Y229" s="7"/>
    </row>
    <row r="230">
      <c r="A230" s="4" t="s">
        <v>253</v>
      </c>
      <c r="B230" s="4" t="s">
        <v>270</v>
      </c>
      <c r="C230" s="8" t="s">
        <v>285</v>
      </c>
      <c r="D230" s="5">
        <v>4.0</v>
      </c>
      <c r="E230" s="6">
        <v>5.0</v>
      </c>
      <c r="F230" s="6">
        <f t="shared" si="1"/>
        <v>3.75</v>
      </c>
      <c r="G230" s="6">
        <f t="shared" si="2"/>
        <v>7.5</v>
      </c>
      <c r="H230" s="4" t="s">
        <v>28</v>
      </c>
      <c r="I230" s="4"/>
      <c r="J230" s="4"/>
      <c r="K230" s="4" t="s">
        <v>29</v>
      </c>
      <c r="L230" s="4" t="s">
        <v>29</v>
      </c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4" t="s">
        <v>253</v>
      </c>
      <c r="B231" s="4" t="s">
        <v>270</v>
      </c>
      <c r="C231" s="8" t="s">
        <v>286</v>
      </c>
      <c r="D231" s="5">
        <v>5.0</v>
      </c>
      <c r="E231" s="6">
        <v>15.0</v>
      </c>
      <c r="F231" s="6">
        <f t="shared" si="1"/>
        <v>11.25</v>
      </c>
      <c r="G231" s="6">
        <f t="shared" si="2"/>
        <v>22.5</v>
      </c>
      <c r="H231" s="4" t="s">
        <v>28</v>
      </c>
      <c r="I231" s="4" t="s">
        <v>29</v>
      </c>
      <c r="J231" s="4" t="s">
        <v>29</v>
      </c>
      <c r="K231" s="4" t="s">
        <v>29</v>
      </c>
      <c r="L231" s="4" t="s">
        <v>29</v>
      </c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4" t="s">
        <v>253</v>
      </c>
      <c r="B232" s="4" t="s">
        <v>270</v>
      </c>
      <c r="C232" s="8" t="s">
        <v>287</v>
      </c>
      <c r="D232" s="5">
        <v>2.0</v>
      </c>
      <c r="E232" s="6">
        <v>5.0</v>
      </c>
      <c r="F232" s="6">
        <f t="shared" si="1"/>
        <v>3.75</v>
      </c>
      <c r="G232" s="6">
        <f t="shared" si="2"/>
        <v>7.5</v>
      </c>
      <c r="H232" s="4" t="s">
        <v>28</v>
      </c>
      <c r="I232" s="4"/>
      <c r="J232" s="4" t="s">
        <v>29</v>
      </c>
      <c r="K232" s="4" t="s">
        <v>29</v>
      </c>
      <c r="L232" s="4" t="s">
        <v>29</v>
      </c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4" t="s">
        <v>253</v>
      </c>
      <c r="B233" s="4" t="s">
        <v>270</v>
      </c>
      <c r="C233" s="8" t="s">
        <v>288</v>
      </c>
      <c r="D233" s="5">
        <v>3.0</v>
      </c>
      <c r="E233" s="6">
        <v>2.0</v>
      </c>
      <c r="F233" s="6">
        <f t="shared" si="1"/>
        <v>1.5</v>
      </c>
      <c r="G233" s="6">
        <f t="shared" si="2"/>
        <v>3</v>
      </c>
      <c r="H233" s="4" t="s">
        <v>28</v>
      </c>
      <c r="I233" s="4" t="s">
        <v>29</v>
      </c>
      <c r="J233" s="4" t="s">
        <v>29</v>
      </c>
      <c r="K233" s="4" t="s">
        <v>29</v>
      </c>
      <c r="L233" s="7"/>
      <c r="M233" s="7"/>
      <c r="N233" s="7"/>
      <c r="O233" s="7"/>
      <c r="P233" s="7"/>
      <c r="Q233" s="4" t="s">
        <v>29</v>
      </c>
      <c r="R233" s="7"/>
      <c r="S233" s="7"/>
      <c r="T233" s="7"/>
      <c r="U233" s="7"/>
      <c r="V233" s="7"/>
      <c r="W233" s="7"/>
      <c r="X233" s="7"/>
      <c r="Y233" s="7"/>
    </row>
    <row r="234">
      <c r="A234" s="4" t="s">
        <v>253</v>
      </c>
      <c r="B234" s="4" t="s">
        <v>289</v>
      </c>
      <c r="C234" s="8" t="s">
        <v>290</v>
      </c>
      <c r="D234" s="5">
        <v>1.0</v>
      </c>
      <c r="E234" s="6">
        <v>10.0</v>
      </c>
      <c r="F234" s="6">
        <f t="shared" si="1"/>
        <v>7.5</v>
      </c>
      <c r="G234" s="6">
        <f t="shared" si="2"/>
        <v>15</v>
      </c>
      <c r="H234" s="4" t="s">
        <v>28</v>
      </c>
      <c r="I234" s="4" t="s">
        <v>29</v>
      </c>
      <c r="J234" s="4"/>
      <c r="K234" s="4"/>
      <c r="L234" s="7"/>
      <c r="M234" s="7"/>
      <c r="N234" s="7"/>
      <c r="O234" s="7"/>
      <c r="P234" s="7"/>
      <c r="Q234" s="4" t="s">
        <v>29</v>
      </c>
      <c r="R234" s="7"/>
      <c r="S234" s="7"/>
      <c r="T234" s="7"/>
      <c r="U234" s="7"/>
      <c r="V234" s="7"/>
      <c r="W234" s="4" t="s">
        <v>29</v>
      </c>
      <c r="X234" s="7"/>
      <c r="Y234" s="7"/>
    </row>
    <row r="235">
      <c r="A235" s="4" t="s">
        <v>253</v>
      </c>
      <c r="B235" s="4" t="s">
        <v>289</v>
      </c>
      <c r="C235" s="8" t="s">
        <v>291</v>
      </c>
      <c r="D235" s="5">
        <v>3.0</v>
      </c>
      <c r="E235" s="6">
        <v>75.0</v>
      </c>
      <c r="F235" s="6">
        <f t="shared" si="1"/>
        <v>56.25</v>
      </c>
      <c r="G235" s="6">
        <f t="shared" si="2"/>
        <v>112.5</v>
      </c>
      <c r="H235" s="4" t="s">
        <v>28</v>
      </c>
      <c r="I235" s="4"/>
      <c r="J235" s="4" t="s">
        <v>29</v>
      </c>
      <c r="K235" s="4" t="s">
        <v>29</v>
      </c>
      <c r="L235" s="7"/>
      <c r="M235" s="4" t="s">
        <v>29</v>
      </c>
      <c r="N235" s="7"/>
      <c r="O235" s="7"/>
      <c r="P235" s="7"/>
      <c r="Q235" s="4" t="s">
        <v>29</v>
      </c>
      <c r="R235" s="7"/>
      <c r="S235" s="7"/>
      <c r="T235" s="7"/>
      <c r="U235" s="7"/>
      <c r="V235" s="7"/>
      <c r="W235" s="4" t="s">
        <v>29</v>
      </c>
      <c r="X235" s="7"/>
      <c r="Y235" s="7"/>
    </row>
    <row r="236">
      <c r="A236" s="4" t="s">
        <v>253</v>
      </c>
      <c r="B236" s="4" t="s">
        <v>289</v>
      </c>
      <c r="C236" s="8" t="s">
        <v>292</v>
      </c>
      <c r="D236" s="5">
        <v>18.0</v>
      </c>
      <c r="E236" s="6">
        <v>50.0</v>
      </c>
      <c r="F236" s="6">
        <f t="shared" si="1"/>
        <v>37.5</v>
      </c>
      <c r="G236" s="6">
        <f t="shared" si="2"/>
        <v>75</v>
      </c>
      <c r="H236" s="4" t="s">
        <v>28</v>
      </c>
      <c r="I236" s="4"/>
      <c r="J236" s="4"/>
      <c r="K236" s="4" t="s">
        <v>29</v>
      </c>
      <c r="L236" s="7"/>
      <c r="M236" s="4" t="s">
        <v>29</v>
      </c>
      <c r="N236" s="7"/>
      <c r="O236" s="7"/>
      <c r="P236" s="7"/>
      <c r="Q236" s="4" t="s">
        <v>29</v>
      </c>
      <c r="R236" s="7"/>
      <c r="S236" s="7"/>
      <c r="T236" s="7"/>
      <c r="U236" s="7"/>
      <c r="V236" s="7"/>
      <c r="W236" s="4" t="s">
        <v>29</v>
      </c>
      <c r="X236" s="7"/>
      <c r="Y236" s="7"/>
    </row>
    <row r="237">
      <c r="A237" s="4" t="s">
        <v>253</v>
      </c>
      <c r="B237" s="4" t="s">
        <v>289</v>
      </c>
      <c r="C237" s="8" t="s">
        <v>293</v>
      </c>
      <c r="D237" s="5">
        <v>2.0</v>
      </c>
      <c r="E237" s="6">
        <v>50.0</v>
      </c>
      <c r="F237" s="6">
        <f t="shared" si="1"/>
        <v>37.5</v>
      </c>
      <c r="G237" s="6">
        <f t="shared" si="2"/>
        <v>75</v>
      </c>
      <c r="H237" s="4" t="s">
        <v>28</v>
      </c>
      <c r="I237" s="4" t="s">
        <v>29</v>
      </c>
      <c r="J237" s="4" t="s">
        <v>29</v>
      </c>
      <c r="K237" s="4" t="s">
        <v>29</v>
      </c>
      <c r="L237" s="7"/>
      <c r="M237" s="4" t="s">
        <v>29</v>
      </c>
      <c r="N237" s="7"/>
      <c r="O237" s="7"/>
      <c r="P237" s="7"/>
      <c r="Q237" s="4" t="s">
        <v>29</v>
      </c>
      <c r="R237" s="7"/>
      <c r="S237" s="7"/>
      <c r="T237" s="7"/>
      <c r="U237" s="7"/>
      <c r="V237" s="7"/>
      <c r="W237" s="4" t="s">
        <v>29</v>
      </c>
      <c r="X237" s="7"/>
      <c r="Y237" s="7"/>
    </row>
    <row r="238">
      <c r="A238" s="4" t="s">
        <v>253</v>
      </c>
      <c r="B238" s="4" t="s">
        <v>289</v>
      </c>
      <c r="C238" s="8" t="s">
        <v>294</v>
      </c>
      <c r="D238" s="5">
        <v>10.0</v>
      </c>
      <c r="E238" s="6">
        <v>500.0</v>
      </c>
      <c r="F238" s="6">
        <f t="shared" si="1"/>
        <v>375</v>
      </c>
      <c r="G238" s="6">
        <f t="shared" si="2"/>
        <v>750</v>
      </c>
      <c r="H238" s="4" t="s">
        <v>28</v>
      </c>
      <c r="I238" s="4"/>
      <c r="J238" s="4"/>
      <c r="K238" s="4" t="s">
        <v>29</v>
      </c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4"/>
      <c r="X238" s="4"/>
      <c r="Y238" s="4" t="s">
        <v>29</v>
      </c>
    </row>
    <row r="239">
      <c r="A239" s="4" t="s">
        <v>253</v>
      </c>
      <c r="B239" s="4" t="s">
        <v>289</v>
      </c>
      <c r="C239" s="8" t="s">
        <v>295</v>
      </c>
      <c r="D239" s="5">
        <v>3.0</v>
      </c>
      <c r="E239" s="6">
        <v>250.0</v>
      </c>
      <c r="F239" s="6">
        <f t="shared" si="1"/>
        <v>187.5</v>
      </c>
      <c r="G239" s="6">
        <f t="shared" si="2"/>
        <v>375</v>
      </c>
      <c r="H239" s="4" t="s">
        <v>28</v>
      </c>
      <c r="I239" s="4"/>
      <c r="J239" s="4"/>
      <c r="K239" s="4" t="s">
        <v>29</v>
      </c>
      <c r="L239" s="7"/>
      <c r="M239" s="7"/>
      <c r="N239" s="7"/>
      <c r="O239" s="7"/>
      <c r="P239" s="7"/>
      <c r="Q239" s="4"/>
      <c r="R239" s="7"/>
      <c r="S239" s="7"/>
      <c r="T239" s="7"/>
      <c r="U239" s="7"/>
      <c r="V239" s="7"/>
      <c r="W239" s="4"/>
      <c r="X239" s="4"/>
      <c r="Y239" s="4" t="s">
        <v>29</v>
      </c>
    </row>
    <row r="240">
      <c r="A240" s="4"/>
      <c r="B240" s="4"/>
      <c r="C240" s="8"/>
      <c r="D240" s="9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11"/>
      <c r="D241" s="9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11"/>
      <c r="D242" s="9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11"/>
      <c r="D243" s="9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11"/>
      <c r="D244" s="9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11"/>
      <c r="D245" s="9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11"/>
      <c r="D246" s="9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11"/>
      <c r="D247" s="9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11"/>
      <c r="D248" s="9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11"/>
      <c r="D249" s="9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11"/>
      <c r="D250" s="9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11"/>
      <c r="D251" s="9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11"/>
      <c r="D252" s="9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11"/>
      <c r="D253" s="9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11"/>
      <c r="D254" s="9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11"/>
      <c r="D255" s="9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11"/>
      <c r="D256" s="9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11"/>
      <c r="D257" s="9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11"/>
      <c r="D258" s="9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11"/>
      <c r="D259" s="9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11"/>
      <c r="D260" s="9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11"/>
      <c r="D261" s="9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11"/>
      <c r="D262" s="9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11"/>
      <c r="D263" s="9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11"/>
      <c r="D264" s="9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11"/>
      <c r="D265" s="9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11"/>
      <c r="D266" s="9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11"/>
      <c r="D267" s="9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11"/>
      <c r="D268" s="9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11"/>
      <c r="D269" s="9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11"/>
      <c r="D270" s="9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11"/>
      <c r="D271" s="9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11"/>
      <c r="D272" s="9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11"/>
      <c r="D273" s="9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11"/>
      <c r="D274" s="9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11"/>
      <c r="D275" s="9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11"/>
      <c r="D276" s="9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11"/>
      <c r="D277" s="9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11"/>
      <c r="D278" s="9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11"/>
      <c r="D279" s="9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11"/>
      <c r="D280" s="9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11"/>
      <c r="D281" s="9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11"/>
      <c r="D282" s="9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11"/>
      <c r="D283" s="9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11"/>
      <c r="D284" s="9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11"/>
      <c r="D285" s="9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11"/>
      <c r="D286" s="9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11"/>
      <c r="D287" s="9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11"/>
      <c r="D288" s="9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11"/>
      <c r="D289" s="9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11"/>
      <c r="D290" s="9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11"/>
      <c r="D291" s="9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11"/>
      <c r="D292" s="9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11"/>
      <c r="D293" s="9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11"/>
      <c r="D294" s="9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11"/>
      <c r="D295" s="9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11"/>
      <c r="D296" s="9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11"/>
      <c r="D297" s="9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11"/>
      <c r="D298" s="9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11"/>
      <c r="D299" s="9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11"/>
      <c r="D300" s="9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11"/>
      <c r="D301" s="9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11"/>
      <c r="D302" s="9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11"/>
      <c r="D303" s="9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11"/>
      <c r="D304" s="9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11"/>
      <c r="D305" s="9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11"/>
      <c r="D306" s="9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11"/>
      <c r="D307" s="9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11"/>
      <c r="D308" s="9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11"/>
      <c r="D309" s="9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11"/>
      <c r="D310" s="9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11"/>
      <c r="D311" s="9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11"/>
      <c r="D312" s="9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11"/>
      <c r="D313" s="9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11"/>
      <c r="D314" s="9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11"/>
      <c r="D315" s="9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11"/>
      <c r="D316" s="9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11"/>
      <c r="D317" s="9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11"/>
      <c r="D318" s="9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11"/>
      <c r="D319" s="9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11"/>
      <c r="D320" s="9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11"/>
      <c r="D321" s="9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11"/>
      <c r="D322" s="9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11"/>
      <c r="D323" s="9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11"/>
      <c r="D324" s="9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11"/>
      <c r="D325" s="9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11"/>
      <c r="D326" s="9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11"/>
      <c r="D327" s="9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11"/>
      <c r="D328" s="9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11"/>
      <c r="D329" s="9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11"/>
      <c r="D330" s="9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11"/>
      <c r="D331" s="9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11"/>
      <c r="D332" s="9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11"/>
      <c r="D333" s="9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11"/>
      <c r="D334" s="9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11"/>
      <c r="D335" s="9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11"/>
      <c r="D336" s="9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11"/>
      <c r="D337" s="9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11"/>
      <c r="D338" s="9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11"/>
      <c r="D339" s="9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11"/>
      <c r="D340" s="9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11"/>
      <c r="D341" s="9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11"/>
      <c r="D342" s="9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11"/>
      <c r="D343" s="9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11"/>
      <c r="D344" s="9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11"/>
      <c r="D345" s="9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11"/>
      <c r="D346" s="9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11"/>
      <c r="D347" s="9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11"/>
      <c r="D348" s="9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11"/>
      <c r="D349" s="9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11"/>
      <c r="D350" s="9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11"/>
      <c r="D351" s="9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11"/>
      <c r="D352" s="9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11"/>
      <c r="D353" s="9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11"/>
      <c r="D354" s="9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11"/>
      <c r="D355" s="9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11"/>
      <c r="D356" s="9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11"/>
      <c r="D357" s="9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11"/>
      <c r="D358" s="9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11"/>
      <c r="D359" s="9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11"/>
      <c r="D360" s="9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11"/>
      <c r="D361" s="9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11"/>
      <c r="D362" s="9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11"/>
      <c r="D363" s="9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11"/>
      <c r="D364" s="9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11"/>
      <c r="D365" s="9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11"/>
      <c r="D366" s="9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11"/>
      <c r="D367" s="9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11"/>
      <c r="D368" s="9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11"/>
      <c r="D369" s="9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11"/>
      <c r="D370" s="9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11"/>
      <c r="D371" s="9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11"/>
      <c r="D372" s="9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11"/>
      <c r="D373" s="9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11"/>
      <c r="D374" s="9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11"/>
      <c r="D375" s="9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11"/>
      <c r="D376" s="9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11"/>
      <c r="D377" s="9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11"/>
      <c r="D378" s="9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11"/>
      <c r="D379" s="9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11"/>
      <c r="D380" s="9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11"/>
      <c r="D381" s="9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11"/>
      <c r="D382" s="9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11"/>
      <c r="D383" s="9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11"/>
      <c r="D384" s="9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11"/>
      <c r="D385" s="9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11"/>
      <c r="D386" s="9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11"/>
      <c r="D387" s="9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11"/>
      <c r="D388" s="9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11"/>
      <c r="D389" s="9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11"/>
      <c r="D390" s="9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11"/>
      <c r="D391" s="9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11"/>
      <c r="D392" s="9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11"/>
      <c r="D393" s="9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11"/>
      <c r="D394" s="9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11"/>
      <c r="D395" s="9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11"/>
      <c r="D396" s="9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11"/>
      <c r="D397" s="9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11"/>
      <c r="D398" s="9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11"/>
      <c r="D399" s="9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11"/>
      <c r="D400" s="9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11"/>
      <c r="D401" s="9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11"/>
      <c r="D402" s="9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11"/>
      <c r="D403" s="9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11"/>
      <c r="D404" s="9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11"/>
      <c r="D405" s="9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11"/>
      <c r="D406" s="9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11"/>
      <c r="D407" s="9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11"/>
      <c r="D408" s="9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11"/>
      <c r="D409" s="9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11"/>
      <c r="D410" s="9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11"/>
      <c r="D411" s="9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11"/>
      <c r="D412" s="9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11"/>
      <c r="D413" s="9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11"/>
      <c r="D414" s="9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11"/>
      <c r="D415" s="9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11"/>
      <c r="D416" s="9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11"/>
      <c r="D417" s="9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11"/>
      <c r="D418" s="9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11"/>
      <c r="D419" s="9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11"/>
      <c r="D420" s="9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11"/>
      <c r="D421" s="9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11"/>
      <c r="D422" s="9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11"/>
      <c r="D423" s="9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11"/>
      <c r="D424" s="9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11"/>
      <c r="D425" s="9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11"/>
      <c r="D426" s="9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11"/>
      <c r="D427" s="9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11"/>
      <c r="D428" s="9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11"/>
      <c r="D429" s="9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11"/>
      <c r="D430" s="9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11"/>
      <c r="D431" s="9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11"/>
      <c r="D432" s="9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11"/>
      <c r="D433" s="9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11"/>
      <c r="D434" s="9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11"/>
      <c r="D435" s="9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11"/>
      <c r="D436" s="9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11"/>
      <c r="D437" s="9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11"/>
      <c r="D438" s="9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11"/>
      <c r="D439" s="9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11"/>
      <c r="D440" s="9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11"/>
      <c r="D441" s="9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11"/>
      <c r="D442" s="9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11"/>
      <c r="D443" s="9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11"/>
      <c r="D444" s="9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11"/>
      <c r="D445" s="9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11"/>
      <c r="D446" s="9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11"/>
      <c r="D447" s="9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11"/>
      <c r="D448" s="9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11"/>
      <c r="D449" s="9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11"/>
      <c r="D450" s="9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11"/>
      <c r="D451" s="9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11"/>
      <c r="D452" s="9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11"/>
      <c r="D453" s="9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11"/>
      <c r="D454" s="9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11"/>
      <c r="D455" s="9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11"/>
      <c r="D456" s="9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11"/>
      <c r="D457" s="9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11"/>
      <c r="D458" s="9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11"/>
      <c r="D459" s="9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11"/>
      <c r="D460" s="9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11"/>
      <c r="D461" s="9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11"/>
      <c r="D462" s="9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11"/>
      <c r="D463" s="9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11"/>
      <c r="D464" s="9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11"/>
      <c r="D465" s="9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11"/>
      <c r="D466" s="9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11"/>
      <c r="D467" s="9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11"/>
      <c r="D468" s="9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11"/>
      <c r="D469" s="9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11"/>
      <c r="D470" s="9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11"/>
      <c r="D471" s="9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11"/>
      <c r="D472" s="9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11"/>
      <c r="D473" s="9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11"/>
      <c r="D474" s="9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11"/>
      <c r="D475" s="9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11"/>
      <c r="D476" s="9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11"/>
      <c r="D477" s="9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11"/>
      <c r="D478" s="9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11"/>
      <c r="D479" s="9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11"/>
      <c r="D480" s="9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11"/>
      <c r="D481" s="9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11"/>
      <c r="D482" s="9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11"/>
      <c r="D483" s="9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11"/>
      <c r="D484" s="9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11"/>
      <c r="D485" s="9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11"/>
      <c r="D486" s="9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11"/>
      <c r="D487" s="9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11"/>
      <c r="D488" s="9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11"/>
      <c r="D489" s="9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11"/>
      <c r="D490" s="9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11"/>
      <c r="D491" s="9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11"/>
      <c r="D492" s="9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11"/>
      <c r="D493" s="9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11"/>
      <c r="D494" s="9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11"/>
      <c r="D495" s="9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11"/>
      <c r="D496" s="9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11"/>
      <c r="D497" s="9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11"/>
      <c r="D498" s="9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11"/>
      <c r="D499" s="9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11"/>
      <c r="D500" s="9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11"/>
      <c r="D501" s="9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11"/>
      <c r="D502" s="9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11"/>
      <c r="D503" s="9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11"/>
      <c r="D504" s="9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11"/>
      <c r="D505" s="9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11"/>
      <c r="D506" s="9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11"/>
      <c r="D507" s="9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11"/>
      <c r="D508" s="9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11"/>
      <c r="D509" s="9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11"/>
      <c r="D510" s="9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11"/>
      <c r="D511" s="9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11"/>
      <c r="D512" s="9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11"/>
      <c r="D513" s="9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11"/>
      <c r="D514" s="9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11"/>
      <c r="D515" s="9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11"/>
      <c r="D516" s="9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11"/>
      <c r="D517" s="9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11"/>
      <c r="D518" s="9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11"/>
      <c r="D519" s="9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11"/>
      <c r="D520" s="9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11"/>
      <c r="D521" s="9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11"/>
      <c r="D522" s="9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11"/>
      <c r="D523" s="9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11"/>
      <c r="D524" s="9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11"/>
      <c r="D525" s="9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11"/>
      <c r="D526" s="9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11"/>
      <c r="D527" s="9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11"/>
      <c r="D528" s="9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11"/>
      <c r="D529" s="9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11"/>
      <c r="D530" s="9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11"/>
      <c r="D531" s="9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11"/>
      <c r="D532" s="9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11"/>
      <c r="D533" s="9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11"/>
      <c r="D534" s="9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11"/>
      <c r="D535" s="9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11"/>
      <c r="D536" s="9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11"/>
      <c r="D537" s="9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11"/>
      <c r="D538" s="9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11"/>
      <c r="D539" s="9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11"/>
      <c r="D540" s="9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11"/>
      <c r="D541" s="9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11"/>
      <c r="D542" s="9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11"/>
      <c r="D543" s="9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11"/>
      <c r="D544" s="9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11"/>
      <c r="D545" s="9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11"/>
      <c r="D546" s="9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11"/>
      <c r="D547" s="9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11"/>
      <c r="D548" s="9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11"/>
      <c r="D549" s="9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11"/>
      <c r="D550" s="9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11"/>
      <c r="D551" s="9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11"/>
      <c r="D552" s="9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11"/>
      <c r="D553" s="9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11"/>
      <c r="D554" s="9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11"/>
      <c r="D555" s="9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11"/>
      <c r="D556" s="9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11"/>
      <c r="D557" s="9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11"/>
      <c r="D558" s="9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11"/>
      <c r="D559" s="9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11"/>
      <c r="D560" s="9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11"/>
      <c r="D561" s="9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11"/>
      <c r="D562" s="9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11"/>
      <c r="D563" s="9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11"/>
      <c r="D564" s="9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11"/>
      <c r="D565" s="9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11"/>
      <c r="D566" s="9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11"/>
      <c r="D567" s="9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11"/>
      <c r="D568" s="9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11"/>
      <c r="D569" s="9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11"/>
      <c r="D570" s="9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11"/>
      <c r="D571" s="9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11"/>
      <c r="D572" s="9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11"/>
      <c r="D573" s="9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11"/>
      <c r="D574" s="9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11"/>
      <c r="D575" s="9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11"/>
      <c r="D576" s="9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11"/>
      <c r="D577" s="9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11"/>
      <c r="D578" s="9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11"/>
      <c r="D579" s="9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11"/>
      <c r="D580" s="9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11"/>
      <c r="D581" s="9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11"/>
      <c r="D582" s="9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11"/>
      <c r="D583" s="9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11"/>
      <c r="D584" s="9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11"/>
      <c r="D585" s="9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11"/>
      <c r="D586" s="9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11"/>
      <c r="D587" s="9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11"/>
      <c r="D588" s="9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11"/>
      <c r="D589" s="9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11"/>
      <c r="D590" s="9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11"/>
      <c r="D591" s="9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11"/>
      <c r="D592" s="9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11"/>
      <c r="D593" s="9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11"/>
      <c r="D594" s="9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11"/>
      <c r="D595" s="9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11"/>
      <c r="D596" s="9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11"/>
      <c r="D597" s="9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11"/>
      <c r="D598" s="9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11"/>
      <c r="D599" s="9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11"/>
      <c r="D600" s="9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11"/>
      <c r="D601" s="9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11"/>
      <c r="D602" s="9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11"/>
      <c r="D603" s="9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11"/>
      <c r="D604" s="9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11"/>
      <c r="D605" s="9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11"/>
      <c r="D606" s="9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11"/>
      <c r="D607" s="9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11"/>
      <c r="D608" s="9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11"/>
      <c r="D609" s="9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11"/>
      <c r="D610" s="9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11"/>
      <c r="D611" s="9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11"/>
      <c r="D612" s="9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11"/>
      <c r="D613" s="9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11"/>
      <c r="D614" s="9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11"/>
      <c r="D615" s="9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11"/>
      <c r="D616" s="9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11"/>
      <c r="D617" s="9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11"/>
      <c r="D618" s="9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11"/>
      <c r="D619" s="9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11"/>
      <c r="D620" s="9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11"/>
      <c r="D621" s="9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11"/>
      <c r="D622" s="9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11"/>
      <c r="D623" s="9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11"/>
      <c r="D624" s="9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11"/>
      <c r="D625" s="9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11"/>
      <c r="D626" s="9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11"/>
      <c r="D627" s="9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11"/>
      <c r="D628" s="9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11"/>
      <c r="D629" s="9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11"/>
      <c r="D630" s="9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11"/>
      <c r="D631" s="9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11"/>
      <c r="D632" s="9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11"/>
      <c r="D633" s="9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11"/>
      <c r="D634" s="9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11"/>
      <c r="D635" s="9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11"/>
      <c r="D636" s="9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11"/>
      <c r="D637" s="9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11"/>
      <c r="D638" s="9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11"/>
      <c r="D639" s="9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11"/>
      <c r="D640" s="9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11"/>
      <c r="D641" s="9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11"/>
      <c r="D642" s="9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11"/>
      <c r="D643" s="9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11"/>
      <c r="D644" s="9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11"/>
      <c r="D645" s="9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11"/>
      <c r="D646" s="9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11"/>
      <c r="D647" s="9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11"/>
      <c r="D648" s="9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11"/>
      <c r="D649" s="9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11"/>
      <c r="D650" s="9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11"/>
      <c r="D651" s="9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11"/>
      <c r="D652" s="9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11"/>
      <c r="D653" s="9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11"/>
      <c r="D654" s="9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11"/>
      <c r="D655" s="9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11"/>
      <c r="D656" s="9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11"/>
      <c r="D657" s="9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11"/>
      <c r="D658" s="9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11"/>
      <c r="D659" s="9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11"/>
      <c r="D660" s="9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11"/>
      <c r="D661" s="9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11"/>
      <c r="D662" s="9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11"/>
      <c r="D663" s="9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11"/>
      <c r="D664" s="9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11"/>
      <c r="D665" s="9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11"/>
      <c r="D666" s="9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11"/>
      <c r="D667" s="9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11"/>
      <c r="D668" s="9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11"/>
      <c r="D669" s="9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11"/>
      <c r="D670" s="9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11"/>
      <c r="D671" s="9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11"/>
      <c r="D672" s="9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11"/>
      <c r="D673" s="9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11"/>
      <c r="D674" s="9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11"/>
      <c r="D675" s="9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11"/>
      <c r="D676" s="9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11"/>
      <c r="D677" s="9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11"/>
      <c r="D678" s="9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11"/>
      <c r="D679" s="9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11"/>
      <c r="D680" s="9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11"/>
      <c r="D681" s="9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11"/>
      <c r="D682" s="9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11"/>
      <c r="D683" s="9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11"/>
      <c r="D684" s="9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11"/>
      <c r="D685" s="9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11"/>
      <c r="D686" s="9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11"/>
      <c r="D687" s="9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11"/>
      <c r="D688" s="9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11"/>
      <c r="D689" s="9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11"/>
      <c r="D690" s="9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11"/>
      <c r="D691" s="9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11"/>
      <c r="D692" s="9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11"/>
      <c r="D693" s="9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11"/>
      <c r="D694" s="9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11"/>
      <c r="D695" s="9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11"/>
      <c r="D696" s="9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11"/>
      <c r="D697" s="9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11"/>
      <c r="D698" s="9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11"/>
      <c r="D699" s="9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11"/>
      <c r="D700" s="9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11"/>
      <c r="D701" s="9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11"/>
      <c r="D702" s="9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11"/>
      <c r="D703" s="9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11"/>
      <c r="D704" s="9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11"/>
      <c r="D705" s="9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11"/>
      <c r="D706" s="9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11"/>
      <c r="D707" s="9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11"/>
      <c r="D708" s="9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11"/>
      <c r="D709" s="9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11"/>
      <c r="D710" s="9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11"/>
      <c r="D711" s="9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11"/>
      <c r="D712" s="9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11"/>
      <c r="D713" s="9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11"/>
      <c r="D714" s="9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11"/>
      <c r="D715" s="9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11"/>
      <c r="D716" s="9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11"/>
      <c r="D717" s="9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11"/>
      <c r="D718" s="9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11"/>
      <c r="D719" s="9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11"/>
      <c r="D720" s="9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11"/>
      <c r="D721" s="9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11"/>
      <c r="D722" s="9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11"/>
      <c r="D723" s="9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11"/>
      <c r="D724" s="9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11"/>
      <c r="D725" s="9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11"/>
      <c r="D726" s="9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11"/>
      <c r="D727" s="9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11"/>
      <c r="D728" s="9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11"/>
      <c r="D729" s="9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11"/>
      <c r="D730" s="9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11"/>
      <c r="D731" s="9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11"/>
      <c r="D732" s="9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11"/>
      <c r="D733" s="9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11"/>
      <c r="D734" s="9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11"/>
      <c r="D735" s="9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11"/>
      <c r="D736" s="9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11"/>
      <c r="D737" s="9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11"/>
      <c r="D738" s="9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11"/>
      <c r="D739" s="9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11"/>
      <c r="D740" s="9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11"/>
      <c r="D741" s="9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11"/>
      <c r="D742" s="9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11"/>
      <c r="D743" s="9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11"/>
      <c r="D744" s="9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11"/>
      <c r="D745" s="9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11"/>
      <c r="D746" s="9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11"/>
      <c r="D747" s="9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11"/>
      <c r="D748" s="9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11"/>
      <c r="D749" s="9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11"/>
      <c r="D750" s="9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11"/>
      <c r="D751" s="9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11"/>
      <c r="D752" s="9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11"/>
      <c r="D753" s="9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11"/>
      <c r="D754" s="9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11"/>
      <c r="D755" s="9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11"/>
      <c r="D756" s="9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11"/>
      <c r="D757" s="9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11"/>
      <c r="D758" s="9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11"/>
      <c r="D759" s="9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11"/>
      <c r="D760" s="9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11"/>
      <c r="D761" s="9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11"/>
      <c r="D762" s="9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11"/>
      <c r="D763" s="9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11"/>
      <c r="D764" s="9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11"/>
      <c r="D765" s="9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11"/>
      <c r="D766" s="9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11"/>
      <c r="D767" s="9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11"/>
      <c r="D768" s="9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11"/>
      <c r="D769" s="9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11"/>
      <c r="D770" s="9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11"/>
      <c r="D771" s="9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11"/>
      <c r="D772" s="9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11"/>
      <c r="D773" s="9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11"/>
      <c r="D774" s="9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11"/>
      <c r="D775" s="9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11"/>
      <c r="D776" s="9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11"/>
      <c r="D777" s="9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11"/>
      <c r="D778" s="9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11"/>
      <c r="D779" s="9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11"/>
      <c r="D780" s="9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11"/>
      <c r="D781" s="9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11"/>
      <c r="D782" s="9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11"/>
      <c r="D783" s="9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11"/>
      <c r="D784" s="9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11"/>
      <c r="D785" s="9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11"/>
      <c r="D786" s="9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11"/>
      <c r="D787" s="9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11"/>
      <c r="D788" s="9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11"/>
      <c r="D789" s="9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11"/>
      <c r="D790" s="9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11"/>
      <c r="D791" s="9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11"/>
      <c r="D792" s="9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11"/>
      <c r="D793" s="9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11"/>
      <c r="D794" s="9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11"/>
      <c r="D795" s="9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11"/>
      <c r="D796" s="9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11"/>
      <c r="D797" s="9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11"/>
      <c r="D798" s="9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11"/>
      <c r="D799" s="9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11"/>
      <c r="D800" s="9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11"/>
      <c r="D801" s="9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11"/>
      <c r="D802" s="9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11"/>
      <c r="D803" s="9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11"/>
      <c r="D804" s="9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11"/>
      <c r="D805" s="9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11"/>
      <c r="D806" s="9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11"/>
      <c r="D807" s="9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11"/>
      <c r="D808" s="9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11"/>
      <c r="D809" s="9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11"/>
      <c r="D810" s="9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11"/>
      <c r="D811" s="9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11"/>
      <c r="D812" s="9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11"/>
      <c r="D813" s="9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11"/>
      <c r="D814" s="9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11"/>
      <c r="D815" s="9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11"/>
      <c r="D816" s="9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11"/>
      <c r="D817" s="9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11"/>
      <c r="D818" s="9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11"/>
      <c r="D819" s="9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11"/>
      <c r="D820" s="9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11"/>
      <c r="D821" s="9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11"/>
      <c r="D822" s="9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11"/>
      <c r="D823" s="9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11"/>
      <c r="D824" s="9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11"/>
      <c r="D825" s="9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11"/>
      <c r="D826" s="9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11"/>
      <c r="D827" s="9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11"/>
      <c r="D828" s="9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11"/>
      <c r="D829" s="9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11"/>
      <c r="D830" s="9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11"/>
      <c r="D831" s="9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11"/>
      <c r="D832" s="9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11"/>
      <c r="D833" s="9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11"/>
      <c r="D834" s="9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11"/>
      <c r="D835" s="9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11"/>
      <c r="D836" s="9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11"/>
      <c r="D837" s="9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11"/>
      <c r="D838" s="9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11"/>
      <c r="D839" s="9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11"/>
      <c r="D840" s="9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11"/>
      <c r="D841" s="9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11"/>
      <c r="D842" s="9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11"/>
      <c r="D843" s="9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11"/>
      <c r="D844" s="9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11"/>
      <c r="D845" s="9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11"/>
      <c r="D846" s="9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11"/>
      <c r="D847" s="9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11"/>
      <c r="D848" s="9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11"/>
      <c r="D849" s="9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11"/>
      <c r="D850" s="9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11"/>
      <c r="D851" s="9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11"/>
      <c r="D852" s="9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11"/>
      <c r="D853" s="9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11"/>
      <c r="D854" s="9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11"/>
      <c r="D855" s="9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11"/>
      <c r="D856" s="9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11"/>
      <c r="D857" s="9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11"/>
      <c r="D858" s="9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11"/>
      <c r="D859" s="9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11"/>
      <c r="D860" s="9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11"/>
      <c r="D861" s="9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11"/>
      <c r="D862" s="9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11"/>
      <c r="D863" s="9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11"/>
      <c r="D864" s="9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11"/>
      <c r="D865" s="9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11"/>
      <c r="D866" s="9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11"/>
      <c r="D867" s="9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11"/>
      <c r="D868" s="9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11"/>
      <c r="D869" s="9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11"/>
      <c r="D870" s="9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11"/>
      <c r="D871" s="9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11"/>
      <c r="D872" s="9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11"/>
      <c r="D873" s="9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11"/>
      <c r="D874" s="9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11"/>
      <c r="D875" s="9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11"/>
      <c r="D876" s="9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11"/>
      <c r="D877" s="9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11"/>
      <c r="D878" s="9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11"/>
      <c r="D879" s="9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11"/>
      <c r="D880" s="9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11"/>
      <c r="D881" s="9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11"/>
      <c r="D882" s="9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11"/>
      <c r="D883" s="9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11"/>
      <c r="D884" s="9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11"/>
      <c r="D885" s="9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11"/>
      <c r="D886" s="9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11"/>
      <c r="D887" s="9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11"/>
      <c r="D888" s="9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11"/>
      <c r="D889" s="9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11"/>
      <c r="D890" s="9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11"/>
      <c r="D891" s="9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11"/>
      <c r="D892" s="9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11"/>
      <c r="D893" s="9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11"/>
      <c r="D894" s="9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11"/>
      <c r="D895" s="9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11"/>
      <c r="D896" s="9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11"/>
      <c r="D897" s="9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11"/>
      <c r="D898" s="9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11"/>
      <c r="D899" s="9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11"/>
      <c r="D900" s="9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11"/>
      <c r="D901" s="9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11"/>
      <c r="D902" s="9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11"/>
      <c r="D903" s="9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11"/>
      <c r="D904" s="9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11"/>
      <c r="D905" s="9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11"/>
      <c r="D906" s="9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11"/>
      <c r="D907" s="9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11"/>
      <c r="D908" s="9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11"/>
      <c r="D909" s="9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11"/>
      <c r="D910" s="9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11"/>
      <c r="D911" s="9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11"/>
      <c r="D912" s="9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11"/>
      <c r="D913" s="9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11"/>
      <c r="D914" s="9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11"/>
      <c r="D915" s="9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11"/>
      <c r="D916" s="9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11"/>
      <c r="D917" s="9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11"/>
      <c r="D918" s="9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11"/>
      <c r="D919" s="9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11"/>
      <c r="D920" s="9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11"/>
      <c r="D921" s="9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11"/>
      <c r="D922" s="9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11"/>
      <c r="D923" s="9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11"/>
      <c r="D924" s="9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11"/>
      <c r="D925" s="9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11"/>
      <c r="D926" s="9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11"/>
      <c r="D927" s="9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11"/>
      <c r="D928" s="9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11"/>
      <c r="D929" s="9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11"/>
      <c r="D930" s="9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11"/>
      <c r="D931" s="9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11"/>
      <c r="D932" s="9"/>
      <c r="E932" s="10"/>
      <c r="F932" s="10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11"/>
      <c r="D933" s="9"/>
      <c r="E933" s="10"/>
      <c r="F933" s="10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11"/>
      <c r="D934" s="9"/>
      <c r="E934" s="10"/>
      <c r="F934" s="10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11"/>
      <c r="D935" s="9"/>
      <c r="E935" s="10"/>
      <c r="F935" s="10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11"/>
      <c r="D936" s="9"/>
      <c r="E936" s="10"/>
      <c r="F936" s="10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11"/>
      <c r="D937" s="9"/>
      <c r="E937" s="10"/>
      <c r="F937" s="10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11"/>
      <c r="D938" s="9"/>
      <c r="E938" s="10"/>
      <c r="F938" s="10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11"/>
      <c r="D939" s="9"/>
      <c r="E939" s="10"/>
      <c r="F939" s="10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11"/>
      <c r="D940" s="9"/>
      <c r="E940" s="10"/>
      <c r="F940" s="10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11"/>
      <c r="D941" s="9"/>
      <c r="E941" s="10"/>
      <c r="F941" s="10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11"/>
      <c r="D942" s="9"/>
      <c r="E942" s="10"/>
      <c r="F942" s="10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11"/>
      <c r="D943" s="9"/>
      <c r="E943" s="10"/>
      <c r="F943" s="10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11"/>
      <c r="D944" s="9"/>
      <c r="E944" s="10"/>
      <c r="F944" s="10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11"/>
      <c r="D945" s="9"/>
      <c r="E945" s="10"/>
      <c r="F945" s="10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11"/>
      <c r="D946" s="9"/>
      <c r="E946" s="10"/>
      <c r="F946" s="10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11"/>
      <c r="D947" s="9"/>
      <c r="E947" s="10"/>
      <c r="F947" s="10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11"/>
      <c r="D948" s="9"/>
      <c r="E948" s="10"/>
      <c r="F948" s="10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11"/>
      <c r="D949" s="9"/>
      <c r="E949" s="10"/>
      <c r="F949" s="10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11"/>
      <c r="D950" s="9"/>
      <c r="E950" s="10"/>
      <c r="F950" s="10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11"/>
      <c r="D951" s="9"/>
      <c r="E951" s="10"/>
      <c r="F951" s="10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11"/>
      <c r="D952" s="9"/>
      <c r="E952" s="10"/>
      <c r="F952" s="10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11"/>
      <c r="D953" s="9"/>
      <c r="E953" s="10"/>
      <c r="F953" s="10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11"/>
      <c r="D954" s="9"/>
      <c r="E954" s="10"/>
      <c r="F954" s="10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11"/>
      <c r="D955" s="9"/>
      <c r="E955" s="10"/>
      <c r="F955" s="10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11"/>
      <c r="D956" s="9"/>
      <c r="E956" s="10"/>
      <c r="F956" s="10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11"/>
      <c r="D957" s="9"/>
      <c r="E957" s="10"/>
      <c r="F957" s="10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11"/>
      <c r="D958" s="9"/>
      <c r="E958" s="10"/>
      <c r="F958" s="10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11"/>
      <c r="D959" s="9"/>
      <c r="E959" s="10"/>
      <c r="F959" s="10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11"/>
      <c r="D960" s="9"/>
      <c r="E960" s="10"/>
      <c r="F960" s="10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11"/>
      <c r="D961" s="9"/>
      <c r="E961" s="10"/>
      <c r="F961" s="10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11"/>
      <c r="D962" s="9"/>
      <c r="E962" s="10"/>
      <c r="F962" s="10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11"/>
      <c r="D963" s="9"/>
      <c r="E963" s="10"/>
      <c r="F963" s="10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11"/>
      <c r="D964" s="9"/>
      <c r="E964" s="10"/>
      <c r="F964" s="10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11"/>
      <c r="D965" s="9"/>
      <c r="E965" s="10"/>
      <c r="F965" s="10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11"/>
      <c r="D966" s="9"/>
      <c r="E966" s="10"/>
      <c r="F966" s="10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11"/>
      <c r="D967" s="9"/>
      <c r="E967" s="10"/>
      <c r="F967" s="10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11"/>
      <c r="D968" s="9"/>
      <c r="E968" s="10"/>
      <c r="F968" s="10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11"/>
      <c r="D969" s="9"/>
      <c r="E969" s="10"/>
      <c r="F969" s="10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11"/>
      <c r="D970" s="9"/>
      <c r="E970" s="10"/>
      <c r="F970" s="10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11"/>
      <c r="D971" s="9"/>
      <c r="E971" s="10"/>
      <c r="F971" s="10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11"/>
      <c r="D972" s="9"/>
      <c r="E972" s="10"/>
      <c r="F972" s="10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11"/>
      <c r="D973" s="9"/>
      <c r="E973" s="10"/>
      <c r="F973" s="10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11"/>
      <c r="D974" s="9"/>
      <c r="E974" s="10"/>
      <c r="F974" s="10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11"/>
      <c r="D975" s="9"/>
      <c r="E975" s="10"/>
      <c r="F975" s="10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11"/>
      <c r="D976" s="9"/>
      <c r="E976" s="10"/>
      <c r="F976" s="10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11"/>
      <c r="D977" s="9"/>
      <c r="E977" s="10"/>
      <c r="F977" s="10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11"/>
      <c r="D978" s="9"/>
      <c r="E978" s="10"/>
      <c r="F978" s="10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11"/>
      <c r="D979" s="9"/>
      <c r="E979" s="10"/>
      <c r="F979" s="10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11"/>
      <c r="D980" s="9"/>
      <c r="E980" s="10"/>
      <c r="F980" s="10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11"/>
      <c r="D981" s="9"/>
      <c r="E981" s="10"/>
      <c r="F981" s="10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11"/>
      <c r="D982" s="9"/>
      <c r="E982" s="10"/>
      <c r="F982" s="10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11"/>
      <c r="D983" s="9"/>
      <c r="E983" s="10"/>
      <c r="F983" s="10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11"/>
      <c r="D984" s="9"/>
      <c r="E984" s="10"/>
      <c r="F984" s="10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11"/>
      <c r="D985" s="9"/>
      <c r="E985" s="10"/>
      <c r="F985" s="10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11"/>
      <c r="D986" s="9"/>
      <c r="E986" s="10"/>
      <c r="F986" s="10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11"/>
      <c r="D987" s="9"/>
      <c r="E987" s="10"/>
      <c r="F987" s="10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11"/>
      <c r="D988" s="9"/>
      <c r="E988" s="10"/>
      <c r="F988" s="10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11"/>
      <c r="D989" s="9"/>
      <c r="E989" s="10"/>
      <c r="F989" s="10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11"/>
      <c r="D990" s="9"/>
      <c r="E990" s="10"/>
      <c r="F990" s="10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11"/>
      <c r="D991" s="9"/>
      <c r="E991" s="10"/>
      <c r="F991" s="10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11"/>
      <c r="D992" s="9"/>
      <c r="E992" s="10"/>
      <c r="F992" s="10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11"/>
      <c r="D993" s="9"/>
      <c r="E993" s="10"/>
      <c r="F993" s="10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11"/>
      <c r="D994" s="9"/>
      <c r="E994" s="10"/>
      <c r="F994" s="10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11"/>
      <c r="D995" s="9"/>
      <c r="E995" s="10"/>
      <c r="F995" s="10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11"/>
      <c r="D996" s="9"/>
      <c r="E996" s="10"/>
      <c r="F996" s="10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11"/>
      <c r="D997" s="9"/>
      <c r="E997" s="10"/>
      <c r="F997" s="10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11"/>
      <c r="D998" s="9"/>
      <c r="E998" s="10"/>
      <c r="F998" s="10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11"/>
      <c r="D999" s="9"/>
      <c r="E999" s="10"/>
      <c r="F999" s="10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11"/>
      <c r="D1000" s="9"/>
      <c r="E1000" s="10"/>
      <c r="F1000" s="10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11"/>
      <c r="D1001" s="9"/>
      <c r="E1001" s="10"/>
      <c r="F1001" s="10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8.25"/>
    <col customWidth="1" min="3" max="3" width="28.88"/>
    <col customWidth="1" hidden="1" min="4" max="4" width="7.75"/>
    <col customWidth="1" min="5" max="7" width="11.88"/>
    <col customWidth="1" hidden="1" min="8" max="8" width="8.38"/>
    <col customWidth="1" min="9" max="11" width="8.38"/>
    <col customWidth="1" hidden="1" min="12" max="12" width="9.63"/>
    <col customWidth="1" hidden="1" min="13" max="13" width="7.5"/>
    <col customWidth="1" hidden="1" min="14" max="14" width="12.63"/>
    <col customWidth="1" hidden="1" min="15" max="15" width="6.88"/>
    <col customWidth="1" hidden="1" min="16" max="16" width="12.13"/>
    <col customWidth="1" hidden="1" min="17" max="17" width="10.63"/>
    <col customWidth="1" hidden="1" min="18" max="18" width="5.5"/>
    <col customWidth="1" hidden="1" min="19" max="19" width="7.38"/>
    <col customWidth="1" hidden="1" min="20" max="20" width="6.13"/>
    <col customWidth="1" hidden="1" min="21" max="21" width="6.63"/>
    <col customWidth="1" hidden="1" min="22" max="22" width="3.5"/>
    <col customWidth="1" hidden="1" min="23" max="23" width="7.13"/>
    <col customWidth="1" hidden="1" min="24" max="24" width="7.0"/>
    <col customWidth="1" hidden="1" min="25" max="25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tr">
        <f>IFERROR(__xludf.DUMMYFUNCTION("FILTER(Master!A:Z, Master!L:L = ""X"")"),"Adventuring Gear")</f>
        <v>Adventuring Gear</v>
      </c>
      <c r="B2" s="4" t="str">
        <f>IFERROR(__xludf.DUMMYFUNCTION("""COMPUTED_VALUE"""),"-")</f>
        <v>-</v>
      </c>
      <c r="C2" s="4" t="str">
        <f>IFERROR(__xludf.DUMMYFUNCTION("""COMPUTED_VALUE"""),"Ball Bearings")</f>
        <v>Ball Bearings</v>
      </c>
      <c r="D2" s="5">
        <f>IFERROR(__xludf.DUMMYFUNCTION("""COMPUTED_VALUE"""),2.0)</f>
        <v>2</v>
      </c>
      <c r="E2" s="6">
        <f>IFERROR(__xludf.DUMMYFUNCTION("""COMPUTED_VALUE"""),1.0)</f>
        <v>1</v>
      </c>
      <c r="F2" s="6">
        <f>IFERROR(__xludf.DUMMYFUNCTION("""COMPUTED_VALUE"""),0.75)</f>
        <v>0.75</v>
      </c>
      <c r="G2" s="6">
        <f>IFERROR(__xludf.DUMMYFUNCTION("""COMPUTED_VALUE"""),1.5)</f>
        <v>1.5</v>
      </c>
      <c r="H2" s="4" t="str">
        <f>IFERROR(__xludf.DUMMYFUNCTION("""COMPUTED_VALUE"""),"PHB 2024")</f>
        <v>PHB 2024</v>
      </c>
      <c r="I2" s="4" t="str">
        <f>IFERROR(__xludf.DUMMYFUNCTION("""COMPUTED_VALUE"""),"x")</f>
        <v>x</v>
      </c>
      <c r="J2" s="4" t="str">
        <f>IFERROR(__xludf.DUMMYFUNCTION("""COMPUTED_VALUE"""),"x")</f>
        <v>x</v>
      </c>
      <c r="K2" s="4" t="str">
        <f>IFERROR(__xludf.DUMMYFUNCTION("""COMPUTED_VALUE"""),"x")</f>
        <v>x</v>
      </c>
      <c r="L2" s="7" t="str">
        <f>IFERROR(__xludf.DUMMYFUNCTION("""COMPUTED_VALUE"""),"x")</f>
        <v>x</v>
      </c>
      <c r="M2" s="7"/>
      <c r="N2" s="7"/>
      <c r="O2" s="7"/>
      <c r="P2" s="7"/>
      <c r="Q2" s="7"/>
      <c r="R2" s="7"/>
      <c r="S2" s="7"/>
      <c r="T2" s="4"/>
      <c r="U2" s="7"/>
      <c r="V2" s="7"/>
      <c r="W2" s="7"/>
      <c r="X2" s="7"/>
      <c r="Y2" s="7"/>
    </row>
    <row r="3">
      <c r="A3" s="4" t="str">
        <f>IFERROR(__xludf.DUMMYFUNCTION("""COMPUTED_VALUE"""),"Adventuring Gear")</f>
        <v>Adventuring Gear</v>
      </c>
      <c r="B3" s="4" t="str">
        <f>IFERROR(__xludf.DUMMYFUNCTION("""COMPUTED_VALUE"""),"-")</f>
        <v>-</v>
      </c>
      <c r="C3" s="4" t="str">
        <f>IFERROR(__xludf.DUMMYFUNCTION("""COMPUTED_VALUE"""),"Bell")</f>
        <v>Bell</v>
      </c>
      <c r="D3" s="5" t="str">
        <f>IFERROR(__xludf.DUMMYFUNCTION("""COMPUTED_VALUE"""),"-")</f>
        <v>-</v>
      </c>
      <c r="E3" s="6">
        <f>IFERROR(__xludf.DUMMYFUNCTION("""COMPUTED_VALUE"""),1.0)</f>
        <v>1</v>
      </c>
      <c r="F3" s="6">
        <f>IFERROR(__xludf.DUMMYFUNCTION("""COMPUTED_VALUE"""),0.75)</f>
        <v>0.75</v>
      </c>
      <c r="G3" s="6">
        <f>IFERROR(__xludf.DUMMYFUNCTION("""COMPUTED_VALUE"""),1.5)</f>
        <v>1.5</v>
      </c>
      <c r="H3" s="4" t="str">
        <f>IFERROR(__xludf.DUMMYFUNCTION("""COMPUTED_VALUE"""),"PHB 2024")</f>
        <v>PHB 2024</v>
      </c>
      <c r="I3" s="4"/>
      <c r="J3" s="4" t="str">
        <f>IFERROR(__xludf.DUMMYFUNCTION("""COMPUTED_VALUE"""),"x")</f>
        <v>x</v>
      </c>
      <c r="K3" s="4" t="str">
        <f>IFERROR(__xludf.DUMMYFUNCTION("""COMPUTED_VALUE"""),"x")</f>
        <v>x</v>
      </c>
      <c r="L3" s="7" t="str">
        <f>IFERROR(__xludf.DUMMYFUNCTION("""COMPUTED_VALUE"""),"x")</f>
        <v>x</v>
      </c>
      <c r="M3" s="7"/>
      <c r="N3" s="7"/>
      <c r="O3" s="7" t="str">
        <f>IFERROR(__xludf.DUMMYFUNCTION("""COMPUTED_VALUE"""),"x")</f>
        <v>x</v>
      </c>
      <c r="P3" s="7"/>
      <c r="Q3" s="7"/>
      <c r="R3" s="7"/>
      <c r="S3" s="7"/>
      <c r="T3" s="4"/>
      <c r="U3" s="7"/>
      <c r="V3" s="7"/>
      <c r="W3" s="7"/>
      <c r="X3" s="7"/>
      <c r="Y3" s="7"/>
    </row>
    <row r="4">
      <c r="A4" s="4" t="str">
        <f>IFERROR(__xludf.DUMMYFUNCTION("""COMPUTED_VALUE"""),"Adventuring Gear")</f>
        <v>Adventuring Gear</v>
      </c>
      <c r="B4" s="4" t="str">
        <f>IFERROR(__xludf.DUMMYFUNCTION("""COMPUTED_VALUE"""),"-")</f>
        <v>-</v>
      </c>
      <c r="C4" s="4" t="str">
        <f>IFERROR(__xludf.DUMMYFUNCTION("""COMPUTED_VALUE"""),"Block and Tackle")</f>
        <v>Block and Tackle</v>
      </c>
      <c r="D4" s="5">
        <f>IFERROR(__xludf.DUMMYFUNCTION("""COMPUTED_VALUE"""),5.0)</f>
        <v>5</v>
      </c>
      <c r="E4" s="6">
        <f>IFERROR(__xludf.DUMMYFUNCTION("""COMPUTED_VALUE"""),1.0)</f>
        <v>1</v>
      </c>
      <c r="F4" s="6">
        <f>IFERROR(__xludf.DUMMYFUNCTION("""COMPUTED_VALUE"""),0.75)</f>
        <v>0.75</v>
      </c>
      <c r="G4" s="6">
        <f>IFERROR(__xludf.DUMMYFUNCTION("""COMPUTED_VALUE"""),1.5)</f>
        <v>1.5</v>
      </c>
      <c r="H4" s="4" t="str">
        <f>IFERROR(__xludf.DUMMYFUNCTION("""COMPUTED_VALUE"""),"PHB 2024")</f>
        <v>PHB 2024</v>
      </c>
      <c r="I4" s="4"/>
      <c r="J4" s="4" t="str">
        <f>IFERROR(__xludf.DUMMYFUNCTION("""COMPUTED_VALUE"""),"x")</f>
        <v>x</v>
      </c>
      <c r="K4" s="4" t="str">
        <f>IFERROR(__xludf.DUMMYFUNCTION("""COMPUTED_VALUE"""),"x")</f>
        <v>x</v>
      </c>
      <c r="L4" s="7" t="str">
        <f>IFERROR(__xludf.DUMMYFUNCTION("""COMPUTED_VALUE"""),"x")</f>
        <v>x</v>
      </c>
      <c r="M4" s="4"/>
      <c r="N4" s="7"/>
      <c r="O4" s="7"/>
      <c r="P4" s="7"/>
      <c r="Q4" s="4" t="str">
        <f>IFERROR(__xludf.DUMMYFUNCTION("""COMPUTED_VALUE"""),"x")</f>
        <v>x</v>
      </c>
      <c r="R4" s="7"/>
      <c r="S4" s="7"/>
      <c r="T4" s="7"/>
      <c r="U4" s="7"/>
      <c r="V4" s="7"/>
      <c r="W4" s="7"/>
      <c r="X4" s="7"/>
      <c r="Y4" s="7"/>
    </row>
    <row r="5">
      <c r="A5" s="4" t="str">
        <f>IFERROR(__xludf.DUMMYFUNCTION("""COMPUTED_VALUE"""),"Adventuring Gear")</f>
        <v>Adventuring Gear</v>
      </c>
      <c r="B5" s="4" t="str">
        <f>IFERROR(__xludf.DUMMYFUNCTION("""COMPUTED_VALUE"""),"-")</f>
        <v>-</v>
      </c>
      <c r="C5" s="8" t="str">
        <f>IFERROR(__xludf.DUMMYFUNCTION("""COMPUTED_VALUE"""),"Chain (10 feet)")</f>
        <v>Chain (10 feet)</v>
      </c>
      <c r="D5" s="5">
        <f>IFERROR(__xludf.DUMMYFUNCTION("""COMPUTED_VALUE"""),10.0)</f>
        <v>10</v>
      </c>
      <c r="E5" s="6">
        <f>IFERROR(__xludf.DUMMYFUNCTION("""COMPUTED_VALUE"""),5.0)</f>
        <v>5</v>
      </c>
      <c r="F5" s="6">
        <f>IFERROR(__xludf.DUMMYFUNCTION("""COMPUTED_VALUE"""),3.75)</f>
        <v>3.75</v>
      </c>
      <c r="G5" s="6">
        <f>IFERROR(__xludf.DUMMYFUNCTION("""COMPUTED_VALUE"""),7.5)</f>
        <v>7.5</v>
      </c>
      <c r="H5" s="4" t="str">
        <f>IFERROR(__xludf.DUMMYFUNCTION("""COMPUTED_VALUE"""),"PHB 2024")</f>
        <v>PHB 2024</v>
      </c>
      <c r="I5" s="4"/>
      <c r="J5" s="4" t="str">
        <f>IFERROR(__xludf.DUMMYFUNCTION("""COMPUTED_VALUE"""),"x")</f>
        <v>x</v>
      </c>
      <c r="K5" s="4" t="str">
        <f>IFERROR(__xludf.DUMMYFUNCTION("""COMPUTED_VALUE"""),"x")</f>
        <v>x</v>
      </c>
      <c r="L5" s="7" t="str">
        <f>IFERROR(__xludf.DUMMYFUNCTION("""COMPUTED_VALUE"""),"x")</f>
        <v>x</v>
      </c>
      <c r="M5" s="4"/>
      <c r="N5" s="7"/>
      <c r="O5" s="7"/>
      <c r="P5" s="7"/>
      <c r="Q5" s="4" t="str">
        <f>IFERROR(__xludf.DUMMYFUNCTION("""COMPUTED_VALUE"""),"x")</f>
        <v>x</v>
      </c>
      <c r="R5" s="7"/>
      <c r="S5" s="7"/>
      <c r="T5" s="7"/>
      <c r="U5" s="7"/>
      <c r="V5" s="7"/>
      <c r="W5" s="7"/>
      <c r="X5" s="7"/>
      <c r="Y5" s="7"/>
    </row>
    <row r="6">
      <c r="A6" s="4" t="str">
        <f>IFERROR(__xludf.DUMMYFUNCTION("""COMPUTED_VALUE"""),"Adventuring Gear")</f>
        <v>Adventuring Gear</v>
      </c>
      <c r="B6" s="4" t="str">
        <f>IFERROR(__xludf.DUMMYFUNCTION("""COMPUTED_VALUE"""),"-")</f>
        <v>-</v>
      </c>
      <c r="C6" s="8" t="str">
        <f>IFERROR(__xludf.DUMMYFUNCTION("""COMPUTED_VALUE"""),"Crowbar")</f>
        <v>Crowbar</v>
      </c>
      <c r="D6" s="5">
        <f>IFERROR(__xludf.DUMMYFUNCTION("""COMPUTED_VALUE"""),5.0)</f>
        <v>5</v>
      </c>
      <c r="E6" s="6">
        <f>IFERROR(__xludf.DUMMYFUNCTION("""COMPUTED_VALUE"""),2.0)</f>
        <v>2</v>
      </c>
      <c r="F6" s="6">
        <f>IFERROR(__xludf.DUMMYFUNCTION("""COMPUTED_VALUE"""),1.5)</f>
        <v>1.5</v>
      </c>
      <c r="G6" s="6">
        <f>IFERROR(__xludf.DUMMYFUNCTION("""COMPUTED_VALUE"""),3.0)</f>
        <v>3</v>
      </c>
      <c r="H6" s="4" t="str">
        <f>IFERROR(__xludf.DUMMYFUNCTION("""COMPUTED_VALUE"""),"PHB 2024")</f>
        <v>PHB 2024</v>
      </c>
      <c r="I6" s="4" t="str">
        <f>IFERROR(__xludf.DUMMYFUNCTION("""COMPUTED_VALUE"""),"x")</f>
        <v>x</v>
      </c>
      <c r="J6" s="4" t="str">
        <f>IFERROR(__xludf.DUMMYFUNCTION("""COMPUTED_VALUE"""),"x")</f>
        <v>x</v>
      </c>
      <c r="K6" s="4" t="str">
        <f>IFERROR(__xludf.DUMMYFUNCTION("""COMPUTED_VALUE"""),"x")</f>
        <v>x</v>
      </c>
      <c r="L6" s="7" t="str">
        <f>IFERROR(__xludf.DUMMYFUNCTION("""COMPUTED_VALUE"""),"x")</f>
        <v>x</v>
      </c>
      <c r="M6" s="7"/>
      <c r="N6" s="7"/>
      <c r="O6" s="7"/>
      <c r="P6" s="7"/>
      <c r="Q6" s="7" t="str">
        <f>IFERROR(__xludf.DUMMYFUNCTION("""COMPUTED_VALUE"""),"x")</f>
        <v>x</v>
      </c>
      <c r="R6" s="7"/>
      <c r="S6" s="7"/>
      <c r="T6" s="7"/>
      <c r="U6" s="7"/>
      <c r="V6" s="7"/>
      <c r="W6" s="4" t="str">
        <f>IFERROR(__xludf.DUMMYFUNCTION("""COMPUTED_VALUE"""),"x")</f>
        <v>x</v>
      </c>
      <c r="X6" s="4"/>
      <c r="Y6" s="4"/>
    </row>
    <row r="7">
      <c r="A7" s="4" t="str">
        <f>IFERROR(__xludf.DUMMYFUNCTION("""COMPUTED_VALUE"""),"Adventuring Gear")</f>
        <v>Adventuring Gear</v>
      </c>
      <c r="B7" s="4" t="str">
        <f>IFERROR(__xludf.DUMMYFUNCTION("""COMPUTED_VALUE"""),"-")</f>
        <v>-</v>
      </c>
      <c r="C7" s="8" t="str">
        <f>IFERROR(__xludf.DUMMYFUNCTION("""COMPUTED_VALUE"""),"Grappling Hook")</f>
        <v>Grappling Hook</v>
      </c>
      <c r="D7" s="5">
        <f>IFERROR(__xludf.DUMMYFUNCTION("""COMPUTED_VALUE"""),4.0)</f>
        <v>4</v>
      </c>
      <c r="E7" s="6">
        <f>IFERROR(__xludf.DUMMYFUNCTION("""COMPUTED_VALUE"""),2.0)</f>
        <v>2</v>
      </c>
      <c r="F7" s="6">
        <f>IFERROR(__xludf.DUMMYFUNCTION("""COMPUTED_VALUE"""),1.5)</f>
        <v>1.5</v>
      </c>
      <c r="G7" s="6">
        <f>IFERROR(__xludf.DUMMYFUNCTION("""COMPUTED_VALUE"""),3.0)</f>
        <v>3</v>
      </c>
      <c r="H7" s="4" t="str">
        <f>IFERROR(__xludf.DUMMYFUNCTION("""COMPUTED_VALUE"""),"PHB 2024")</f>
        <v>PHB 2024</v>
      </c>
      <c r="I7" s="4"/>
      <c r="J7" s="4" t="str">
        <f>IFERROR(__xludf.DUMMYFUNCTION("""COMPUTED_VALUE"""),"x")</f>
        <v>x</v>
      </c>
      <c r="K7" s="4" t="str">
        <f>IFERROR(__xludf.DUMMYFUNCTION("""COMPUTED_VALUE"""),"x")</f>
        <v>x</v>
      </c>
      <c r="L7" s="7" t="str">
        <f>IFERROR(__xludf.DUMMYFUNCTION("""COMPUTED_VALUE"""),"x")</f>
        <v>x</v>
      </c>
      <c r="M7" s="7"/>
      <c r="N7" s="7"/>
      <c r="O7" s="7"/>
      <c r="P7" s="7"/>
      <c r="Q7" s="4" t="str">
        <f>IFERROR(__xludf.DUMMYFUNCTION("""COMPUTED_VALUE"""),"x")</f>
        <v>x</v>
      </c>
      <c r="R7" s="7"/>
      <c r="S7" s="7"/>
      <c r="T7" s="7"/>
      <c r="U7" s="7"/>
      <c r="V7" s="7"/>
      <c r="W7" s="7" t="str">
        <f>IFERROR(__xludf.DUMMYFUNCTION("""COMPUTED_VALUE"""),"x")</f>
        <v>x</v>
      </c>
      <c r="X7" s="7"/>
      <c r="Y7" s="7"/>
    </row>
    <row r="8">
      <c r="A8" s="4" t="str">
        <f>IFERROR(__xludf.DUMMYFUNCTION("""COMPUTED_VALUE"""),"Adventuring Gear")</f>
        <v>Adventuring Gear</v>
      </c>
      <c r="B8" s="4" t="str">
        <f>IFERROR(__xludf.DUMMYFUNCTION("""COMPUTED_VALUE"""),"-")</f>
        <v>-</v>
      </c>
      <c r="C8" s="8" t="str">
        <f>IFERROR(__xludf.DUMMYFUNCTION("""COMPUTED_VALUE"""),"Hunting Trap")</f>
        <v>Hunting Trap</v>
      </c>
      <c r="D8" s="5">
        <f>IFERROR(__xludf.DUMMYFUNCTION("""COMPUTED_VALUE"""),25.0)</f>
        <v>25</v>
      </c>
      <c r="E8" s="6">
        <f>IFERROR(__xludf.DUMMYFUNCTION("""COMPUTED_VALUE"""),5.0)</f>
        <v>5</v>
      </c>
      <c r="F8" s="6">
        <f>IFERROR(__xludf.DUMMYFUNCTION("""COMPUTED_VALUE"""),3.75)</f>
        <v>3.75</v>
      </c>
      <c r="G8" s="6">
        <f>IFERROR(__xludf.DUMMYFUNCTION("""COMPUTED_VALUE"""),7.5)</f>
        <v>7.5</v>
      </c>
      <c r="H8" s="4" t="str">
        <f>IFERROR(__xludf.DUMMYFUNCTION("""COMPUTED_VALUE"""),"PHB 2024")</f>
        <v>PHB 2024</v>
      </c>
      <c r="I8" s="4" t="str">
        <f>IFERROR(__xludf.DUMMYFUNCTION("""COMPUTED_VALUE"""),"x")</f>
        <v>x</v>
      </c>
      <c r="J8" s="4" t="str">
        <f>IFERROR(__xludf.DUMMYFUNCTION("""COMPUTED_VALUE"""),"x")</f>
        <v>x</v>
      </c>
      <c r="K8" s="4" t="str">
        <f>IFERROR(__xludf.DUMMYFUNCTION("""COMPUTED_VALUE"""),"x")</f>
        <v>x</v>
      </c>
      <c r="L8" s="7" t="str">
        <f>IFERROR(__xludf.DUMMYFUNCTION("""COMPUTED_VALUE"""),"x")</f>
        <v>x</v>
      </c>
      <c r="M8" s="7"/>
      <c r="N8" s="7"/>
      <c r="O8" s="7"/>
      <c r="P8" s="7"/>
      <c r="Q8" s="4" t="str">
        <f>IFERROR(__xludf.DUMMYFUNCTION("""COMPUTED_VALUE"""),"x")</f>
        <v>x</v>
      </c>
      <c r="R8" s="7"/>
      <c r="S8" s="7"/>
      <c r="T8" s="7"/>
      <c r="U8" s="7"/>
      <c r="V8" s="7"/>
      <c r="W8" s="7"/>
      <c r="X8" s="7"/>
      <c r="Y8" s="7"/>
    </row>
    <row r="9">
      <c r="A9" s="4" t="str">
        <f>IFERROR(__xludf.DUMMYFUNCTION("""COMPUTED_VALUE"""),"Adventuring Gear")</f>
        <v>Adventuring Gear</v>
      </c>
      <c r="B9" s="4" t="str">
        <f>IFERROR(__xludf.DUMMYFUNCTION("""COMPUTED_VALUE"""),"-")</f>
        <v>-</v>
      </c>
      <c r="C9" s="8" t="str">
        <f>IFERROR(__xludf.DUMMYFUNCTION("""COMPUTED_VALUE"""),"Lamp")</f>
        <v>Lamp</v>
      </c>
      <c r="D9" s="5">
        <f>IFERROR(__xludf.DUMMYFUNCTION("""COMPUTED_VALUE"""),1.0)</f>
        <v>1</v>
      </c>
      <c r="E9" s="6">
        <f>IFERROR(__xludf.DUMMYFUNCTION("""COMPUTED_VALUE"""),0.5)</f>
        <v>0.5</v>
      </c>
      <c r="F9" s="6">
        <f>IFERROR(__xludf.DUMMYFUNCTION("""COMPUTED_VALUE"""),0.375)</f>
        <v>0.375</v>
      </c>
      <c r="G9" s="6">
        <f>IFERROR(__xludf.DUMMYFUNCTION("""COMPUTED_VALUE"""),0.75)</f>
        <v>0.75</v>
      </c>
      <c r="H9" s="4" t="str">
        <f>IFERROR(__xludf.DUMMYFUNCTION("""COMPUTED_VALUE"""),"PHB 2024")</f>
        <v>PHB 2024</v>
      </c>
      <c r="I9" s="4"/>
      <c r="J9" s="4" t="str">
        <f>IFERROR(__xludf.DUMMYFUNCTION("""COMPUTED_VALUE"""),"x")</f>
        <v>x</v>
      </c>
      <c r="K9" s="4" t="str">
        <f>IFERROR(__xludf.DUMMYFUNCTION("""COMPUTED_VALUE"""),"x")</f>
        <v>x</v>
      </c>
      <c r="L9" s="7" t="str">
        <f>IFERROR(__xludf.DUMMYFUNCTION("""COMPUTED_VALUE"""),"x")</f>
        <v>x</v>
      </c>
      <c r="M9" s="7"/>
      <c r="N9" s="7"/>
      <c r="O9" s="7" t="str">
        <f>IFERROR(__xludf.DUMMYFUNCTION("""COMPUTED_VALUE"""),"x")</f>
        <v>x</v>
      </c>
      <c r="P9" s="7" t="str">
        <f>IFERROR(__xludf.DUMMYFUNCTION("""COMPUTED_VALUE"""),"x")</f>
        <v>x</v>
      </c>
      <c r="Q9" s="7"/>
      <c r="R9" s="7"/>
      <c r="S9" s="7"/>
      <c r="T9" s="4"/>
      <c r="U9" s="7"/>
      <c r="V9" s="7"/>
      <c r="W9" s="7"/>
      <c r="X9" s="7"/>
      <c r="Y9" s="7"/>
    </row>
    <row r="10">
      <c r="A10" s="4" t="str">
        <f>IFERROR(__xludf.DUMMYFUNCTION("""COMPUTED_VALUE"""),"Adventuring Gear")</f>
        <v>Adventuring Gear</v>
      </c>
      <c r="B10" s="4" t="str">
        <f>IFERROR(__xludf.DUMMYFUNCTION("""COMPUTED_VALUE"""),"-")</f>
        <v>-</v>
      </c>
      <c r="C10" s="8" t="str">
        <f>IFERROR(__xludf.DUMMYFUNCTION("""COMPUTED_VALUE"""),"Lantern, Bullseye")</f>
        <v>Lantern, Bullseye</v>
      </c>
      <c r="D10" s="5">
        <f>IFERROR(__xludf.DUMMYFUNCTION("""COMPUTED_VALUE"""),2.0)</f>
        <v>2</v>
      </c>
      <c r="E10" s="6">
        <f>IFERROR(__xludf.DUMMYFUNCTION("""COMPUTED_VALUE"""),10.0)</f>
        <v>10</v>
      </c>
      <c r="F10" s="6">
        <f>IFERROR(__xludf.DUMMYFUNCTION("""COMPUTED_VALUE"""),7.5)</f>
        <v>7.5</v>
      </c>
      <c r="G10" s="6">
        <f>IFERROR(__xludf.DUMMYFUNCTION("""COMPUTED_VALUE"""),15.0)</f>
        <v>15</v>
      </c>
      <c r="H10" s="4" t="str">
        <f>IFERROR(__xludf.DUMMYFUNCTION("""COMPUTED_VALUE"""),"PHB 2024")</f>
        <v>PHB 2024</v>
      </c>
      <c r="I10" s="4"/>
      <c r="J10" s="4" t="str">
        <f>IFERROR(__xludf.DUMMYFUNCTION("""COMPUTED_VALUE"""),"x")</f>
        <v>x</v>
      </c>
      <c r="K10" s="4" t="str">
        <f>IFERROR(__xludf.DUMMYFUNCTION("""COMPUTED_VALUE"""),"x")</f>
        <v>x</v>
      </c>
      <c r="L10" s="7" t="str">
        <f>IFERROR(__xludf.DUMMYFUNCTION("""COMPUTED_VALUE"""),"x")</f>
        <v>x</v>
      </c>
      <c r="M10" s="7"/>
      <c r="N10" s="7"/>
      <c r="O10" s="7"/>
      <c r="P10" s="7"/>
      <c r="Q10" s="7" t="str">
        <f>IFERROR(__xludf.DUMMYFUNCTION("""COMPUTED_VALUE"""),"x")</f>
        <v>x</v>
      </c>
      <c r="R10" s="7"/>
      <c r="S10" s="4"/>
      <c r="T10" s="7"/>
      <c r="U10" s="4"/>
      <c r="V10" s="7"/>
      <c r="W10" s="7" t="str">
        <f>IFERROR(__xludf.DUMMYFUNCTION("""COMPUTED_VALUE"""),"x")</f>
        <v>x</v>
      </c>
      <c r="X10" s="7"/>
      <c r="Y10" s="7"/>
    </row>
    <row r="11">
      <c r="A11" s="4" t="str">
        <f>IFERROR(__xludf.DUMMYFUNCTION("""COMPUTED_VALUE"""),"Adventuring Gear")</f>
        <v>Adventuring Gear</v>
      </c>
      <c r="B11" s="4" t="str">
        <f>IFERROR(__xludf.DUMMYFUNCTION("""COMPUTED_VALUE"""),"-")</f>
        <v>-</v>
      </c>
      <c r="C11" s="8" t="str">
        <f>IFERROR(__xludf.DUMMYFUNCTION("""COMPUTED_VALUE"""),"Lantern, Hooded")</f>
        <v>Lantern, Hooded</v>
      </c>
      <c r="D11" s="5">
        <f>IFERROR(__xludf.DUMMYFUNCTION("""COMPUTED_VALUE"""),2.0)</f>
        <v>2</v>
      </c>
      <c r="E11" s="6">
        <f>IFERROR(__xludf.DUMMYFUNCTION("""COMPUTED_VALUE"""),5.0)</f>
        <v>5</v>
      </c>
      <c r="F11" s="6">
        <f>IFERROR(__xludf.DUMMYFUNCTION("""COMPUTED_VALUE"""),3.75)</f>
        <v>3.75</v>
      </c>
      <c r="G11" s="6">
        <f>IFERROR(__xludf.DUMMYFUNCTION("""COMPUTED_VALUE"""),7.5)</f>
        <v>7.5</v>
      </c>
      <c r="H11" s="4" t="str">
        <f>IFERROR(__xludf.DUMMYFUNCTION("""COMPUTED_VALUE"""),"PHB 2024")</f>
        <v>PHB 2024</v>
      </c>
      <c r="I11" s="4"/>
      <c r="J11" s="4" t="str">
        <f>IFERROR(__xludf.DUMMYFUNCTION("""COMPUTED_VALUE"""),"x")</f>
        <v>x</v>
      </c>
      <c r="K11" s="4" t="str">
        <f>IFERROR(__xludf.DUMMYFUNCTION("""COMPUTED_VALUE"""),"x")</f>
        <v>x</v>
      </c>
      <c r="L11" s="7" t="str">
        <f>IFERROR(__xludf.DUMMYFUNCTION("""COMPUTED_VALUE"""),"x")</f>
        <v>x</v>
      </c>
      <c r="M11" s="7"/>
      <c r="N11" s="7"/>
      <c r="O11" s="7" t="str">
        <f>IFERROR(__xludf.DUMMYFUNCTION("""COMPUTED_VALUE"""),"x")</f>
        <v>x</v>
      </c>
      <c r="P11" s="7" t="str">
        <f>IFERROR(__xludf.DUMMYFUNCTION("""COMPUTED_VALUE"""),"x")</f>
        <v>x</v>
      </c>
      <c r="Q11" s="7" t="str">
        <f>IFERROR(__xludf.DUMMYFUNCTION("""COMPUTED_VALUE"""),"x")</f>
        <v>x</v>
      </c>
      <c r="R11" s="7"/>
      <c r="S11" s="4"/>
      <c r="T11" s="7"/>
      <c r="U11" s="4"/>
      <c r="V11" s="7"/>
      <c r="W11" s="7"/>
      <c r="X11" s="7"/>
      <c r="Y11" s="7"/>
    </row>
    <row r="12">
      <c r="A12" s="4" t="str">
        <f>IFERROR(__xludf.DUMMYFUNCTION("""COMPUTED_VALUE"""),"Adventuring Gear")</f>
        <v>Adventuring Gear</v>
      </c>
      <c r="B12" s="4" t="str">
        <f>IFERROR(__xludf.DUMMYFUNCTION("""COMPUTED_VALUE"""),"-")</f>
        <v>-</v>
      </c>
      <c r="C12" s="8" t="str">
        <f>IFERROR(__xludf.DUMMYFUNCTION("""COMPUTED_VALUE"""),"Lock")</f>
        <v>Lock</v>
      </c>
      <c r="D12" s="5">
        <f>IFERROR(__xludf.DUMMYFUNCTION("""COMPUTED_VALUE"""),1.0)</f>
        <v>1</v>
      </c>
      <c r="E12" s="6">
        <f>IFERROR(__xludf.DUMMYFUNCTION("""COMPUTED_VALUE"""),10.0)</f>
        <v>10</v>
      </c>
      <c r="F12" s="6">
        <f>IFERROR(__xludf.DUMMYFUNCTION("""COMPUTED_VALUE"""),7.5)</f>
        <v>7.5</v>
      </c>
      <c r="G12" s="6">
        <f>IFERROR(__xludf.DUMMYFUNCTION("""COMPUTED_VALUE"""),15.0)</f>
        <v>15</v>
      </c>
      <c r="H12" s="4" t="str">
        <f>IFERROR(__xludf.DUMMYFUNCTION("""COMPUTED_VALUE"""),"PHB 2024")</f>
        <v>PHB 2024</v>
      </c>
      <c r="I12" s="4"/>
      <c r="J12" s="4"/>
      <c r="K12" s="4" t="str">
        <f>IFERROR(__xludf.DUMMYFUNCTION("""COMPUTED_VALUE"""),"x")</f>
        <v>x</v>
      </c>
      <c r="L12" s="7" t="str">
        <f>IFERROR(__xludf.DUMMYFUNCTION("""COMPUTED_VALUE"""),"x")</f>
        <v>x</v>
      </c>
      <c r="M12" s="7"/>
      <c r="N12" s="7"/>
      <c r="O12" s="7"/>
      <c r="P12" s="7" t="str">
        <f>IFERROR(__xludf.DUMMYFUNCTION("""COMPUTED_VALUE"""),"x")</f>
        <v>x</v>
      </c>
      <c r="Q12" s="7" t="str">
        <f>IFERROR(__xludf.DUMMYFUNCTION("""COMPUTED_VALUE"""),"x")</f>
        <v>x</v>
      </c>
      <c r="R12" s="7"/>
      <c r="S12" s="7"/>
      <c r="T12" s="7"/>
      <c r="U12" s="4"/>
      <c r="V12" s="7"/>
      <c r="W12" s="7" t="str">
        <f>IFERROR(__xludf.DUMMYFUNCTION("""COMPUTED_VALUE"""),"x")</f>
        <v>x</v>
      </c>
      <c r="X12" s="7"/>
      <c r="Y12" s="7"/>
    </row>
    <row r="13">
      <c r="A13" s="4" t="str">
        <f>IFERROR(__xludf.DUMMYFUNCTION("""COMPUTED_VALUE"""),"Adventuring Gear")</f>
        <v>Adventuring Gear</v>
      </c>
      <c r="B13" s="4" t="str">
        <f>IFERROR(__xludf.DUMMYFUNCTION("""COMPUTED_VALUE"""),"-")</f>
        <v>-</v>
      </c>
      <c r="C13" s="8" t="str">
        <f>IFERROR(__xludf.DUMMYFUNCTION("""COMPUTED_VALUE"""),"Manacles")</f>
        <v>Manacles</v>
      </c>
      <c r="D13" s="5">
        <f>IFERROR(__xludf.DUMMYFUNCTION("""COMPUTED_VALUE"""),6.0)</f>
        <v>6</v>
      </c>
      <c r="E13" s="6">
        <f>IFERROR(__xludf.DUMMYFUNCTION("""COMPUTED_VALUE"""),2.0)</f>
        <v>2</v>
      </c>
      <c r="F13" s="6">
        <f>IFERROR(__xludf.DUMMYFUNCTION("""COMPUTED_VALUE"""),1.5)</f>
        <v>1.5</v>
      </c>
      <c r="G13" s="6">
        <f>IFERROR(__xludf.DUMMYFUNCTION("""COMPUTED_VALUE"""),3.0)</f>
        <v>3</v>
      </c>
      <c r="H13" s="4" t="str">
        <f>IFERROR(__xludf.DUMMYFUNCTION("""COMPUTED_VALUE"""),"PHB 2024")</f>
        <v>PHB 2024</v>
      </c>
      <c r="I13" s="4"/>
      <c r="J13" s="4"/>
      <c r="K13" s="4" t="str">
        <f>IFERROR(__xludf.DUMMYFUNCTION("""COMPUTED_VALUE"""),"x")</f>
        <v>x</v>
      </c>
      <c r="L13" s="7" t="str">
        <f>IFERROR(__xludf.DUMMYFUNCTION("""COMPUTED_VALUE"""),"x")</f>
        <v>x</v>
      </c>
      <c r="M13" s="7"/>
      <c r="N13" s="7"/>
      <c r="O13" s="7"/>
      <c r="P13" s="7"/>
      <c r="Q13" s="7"/>
      <c r="R13" s="7"/>
      <c r="S13" s="7"/>
      <c r="T13" s="7"/>
      <c r="U13" s="4"/>
      <c r="V13" s="7"/>
      <c r="W13" s="7" t="str">
        <f>IFERROR(__xludf.DUMMYFUNCTION("""COMPUTED_VALUE"""),"x")</f>
        <v>x</v>
      </c>
      <c r="X13" s="7"/>
      <c r="Y13" s="7"/>
    </row>
    <row r="14">
      <c r="A14" s="4" t="str">
        <f>IFERROR(__xludf.DUMMYFUNCTION("""COMPUTED_VALUE"""),"Adventuring Gear")</f>
        <v>Adventuring Gear</v>
      </c>
      <c r="B14" s="4" t="str">
        <f>IFERROR(__xludf.DUMMYFUNCTION("""COMPUTED_VALUE"""),"-")</f>
        <v>-</v>
      </c>
      <c r="C14" s="8" t="str">
        <f>IFERROR(__xludf.DUMMYFUNCTION("""COMPUTED_VALUE"""),"Pot, Iron")</f>
        <v>Pot, Iron</v>
      </c>
      <c r="D14" s="5">
        <f>IFERROR(__xludf.DUMMYFUNCTION("""COMPUTED_VALUE"""),10.0)</f>
        <v>10</v>
      </c>
      <c r="E14" s="6">
        <f>IFERROR(__xludf.DUMMYFUNCTION("""COMPUTED_VALUE"""),2.0)</f>
        <v>2</v>
      </c>
      <c r="F14" s="6">
        <f>IFERROR(__xludf.DUMMYFUNCTION("""COMPUTED_VALUE"""),1.5)</f>
        <v>1.5</v>
      </c>
      <c r="G14" s="6">
        <f>IFERROR(__xludf.DUMMYFUNCTION("""COMPUTED_VALUE"""),3.0)</f>
        <v>3</v>
      </c>
      <c r="H14" s="4" t="str">
        <f>IFERROR(__xludf.DUMMYFUNCTION("""COMPUTED_VALUE"""),"PHB 2024")</f>
        <v>PHB 2024</v>
      </c>
      <c r="I14" s="4" t="str">
        <f>IFERROR(__xludf.DUMMYFUNCTION("""COMPUTED_VALUE"""),"x")</f>
        <v>x</v>
      </c>
      <c r="J14" s="4" t="str">
        <f>IFERROR(__xludf.DUMMYFUNCTION("""COMPUTED_VALUE"""),"x")</f>
        <v>x</v>
      </c>
      <c r="K14" s="4" t="str">
        <f>IFERROR(__xludf.DUMMYFUNCTION("""COMPUTED_VALUE"""),"x")</f>
        <v>x</v>
      </c>
      <c r="L14" s="7" t="str">
        <f>IFERROR(__xludf.DUMMYFUNCTION("""COMPUTED_VALUE"""),"x")</f>
        <v>x</v>
      </c>
      <c r="M14" s="7"/>
      <c r="N14" s="7"/>
      <c r="O14" s="7"/>
      <c r="P14" s="7" t="str">
        <f>IFERROR(__xludf.DUMMYFUNCTION("""COMPUTED_VALUE"""),"x")</f>
        <v>x</v>
      </c>
      <c r="Q14" s="7" t="str">
        <f>IFERROR(__xludf.DUMMYFUNCTION("""COMPUTED_VALUE"""),"x")</f>
        <v>x</v>
      </c>
      <c r="R14" s="7"/>
      <c r="S14" s="7"/>
      <c r="T14" s="7"/>
      <c r="U14" s="4"/>
      <c r="V14" s="7"/>
      <c r="W14" s="7"/>
      <c r="X14" s="7"/>
      <c r="Y14" s="7"/>
    </row>
    <row r="15">
      <c r="A15" s="4" t="str">
        <f>IFERROR(__xludf.DUMMYFUNCTION("""COMPUTED_VALUE"""),"Adventuring Gear")</f>
        <v>Adventuring Gear</v>
      </c>
      <c r="B15" s="4" t="str">
        <f>IFERROR(__xludf.DUMMYFUNCTION("""COMPUTED_VALUE"""),"-")</f>
        <v>-</v>
      </c>
      <c r="C15" s="8" t="str">
        <f>IFERROR(__xludf.DUMMYFUNCTION("""COMPUTED_VALUE"""),"Spikes, Iron")</f>
        <v>Spikes, Iron</v>
      </c>
      <c r="D15" s="5">
        <f>IFERROR(__xludf.DUMMYFUNCTION("""COMPUTED_VALUE"""),5.0)</f>
        <v>5</v>
      </c>
      <c r="E15" s="6">
        <f>IFERROR(__xludf.DUMMYFUNCTION("""COMPUTED_VALUE"""),1.0)</f>
        <v>1</v>
      </c>
      <c r="F15" s="6">
        <f>IFERROR(__xludf.DUMMYFUNCTION("""COMPUTED_VALUE"""),0.75)</f>
        <v>0.75</v>
      </c>
      <c r="G15" s="6">
        <f>IFERROR(__xludf.DUMMYFUNCTION("""COMPUTED_VALUE"""),1.5)</f>
        <v>1.5</v>
      </c>
      <c r="H15" s="4" t="str">
        <f>IFERROR(__xludf.DUMMYFUNCTION("""COMPUTED_VALUE"""),"PHB 2024")</f>
        <v>PHB 2024</v>
      </c>
      <c r="I15" s="4"/>
      <c r="J15" s="4" t="str">
        <f>IFERROR(__xludf.DUMMYFUNCTION("""COMPUTED_VALUE"""),"x")</f>
        <v>x</v>
      </c>
      <c r="K15" s="4" t="str">
        <f>IFERROR(__xludf.DUMMYFUNCTION("""COMPUTED_VALUE"""),"x")</f>
        <v>x</v>
      </c>
      <c r="L15" s="7" t="str">
        <f>IFERROR(__xludf.DUMMYFUNCTION("""COMPUTED_VALUE"""),"x")</f>
        <v>x</v>
      </c>
      <c r="M15" s="7"/>
      <c r="N15" s="7"/>
      <c r="O15" s="7"/>
      <c r="P15" s="7"/>
      <c r="Q15" s="4"/>
      <c r="R15" s="7"/>
      <c r="S15" s="7"/>
      <c r="T15" s="7"/>
      <c r="U15" s="7"/>
      <c r="V15" s="7"/>
      <c r="W15" s="7" t="str">
        <f>IFERROR(__xludf.DUMMYFUNCTION("""COMPUTED_VALUE"""),"x")</f>
        <v>x</v>
      </c>
      <c r="X15" s="7"/>
      <c r="Y15" s="7"/>
    </row>
    <row r="16">
      <c r="A16" s="4" t="str">
        <f>IFERROR(__xludf.DUMMYFUNCTION("""COMPUTED_VALUE"""),"Armor")</f>
        <v>Armor</v>
      </c>
      <c r="B16" s="4" t="str">
        <f>IFERROR(__xludf.DUMMYFUNCTION("""COMPUTED_VALUE"""),"Medium Armor")</f>
        <v>Medium Armor</v>
      </c>
      <c r="C16" s="8" t="str">
        <f>IFERROR(__xludf.DUMMYFUNCTION("""COMPUTED_VALUE"""),"Chain Shirt")</f>
        <v>Chain Shirt</v>
      </c>
      <c r="D16" s="5">
        <f>IFERROR(__xludf.DUMMYFUNCTION("""COMPUTED_VALUE"""),20.0)</f>
        <v>20</v>
      </c>
      <c r="E16" s="6">
        <f>IFERROR(__xludf.DUMMYFUNCTION("""COMPUTED_VALUE"""),50.0)</f>
        <v>50</v>
      </c>
      <c r="F16" s="6">
        <f>IFERROR(__xludf.DUMMYFUNCTION("""COMPUTED_VALUE"""),37.5)</f>
        <v>37.5</v>
      </c>
      <c r="G16" s="6">
        <f>IFERROR(__xludf.DUMMYFUNCTION("""COMPUTED_VALUE"""),75.0)</f>
        <v>75</v>
      </c>
      <c r="H16" s="4" t="str">
        <f>IFERROR(__xludf.DUMMYFUNCTION("""COMPUTED_VALUE"""),"PHB 2024")</f>
        <v>PHB 2024</v>
      </c>
      <c r="I16" s="4" t="str">
        <f>IFERROR(__xludf.DUMMYFUNCTION("""COMPUTED_VALUE"""),"x")</f>
        <v>x</v>
      </c>
      <c r="J16" s="4" t="str">
        <f>IFERROR(__xludf.DUMMYFUNCTION("""COMPUTED_VALUE"""),"x")</f>
        <v>x</v>
      </c>
      <c r="K16" s="4" t="str">
        <f>IFERROR(__xludf.DUMMYFUNCTION("""COMPUTED_VALUE"""),"x")</f>
        <v>x</v>
      </c>
      <c r="L16" s="4" t="str">
        <f>IFERROR(__xludf.DUMMYFUNCTION("""COMPUTED_VALUE"""),"x")</f>
        <v>x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4" t="str">
        <f>IFERROR(__xludf.DUMMYFUNCTION("""COMPUTED_VALUE"""),"Armor")</f>
        <v>Armor</v>
      </c>
      <c r="B17" s="4" t="str">
        <f>IFERROR(__xludf.DUMMYFUNCTION("""COMPUTED_VALUE"""),"Medium Armor")</f>
        <v>Medium Armor</v>
      </c>
      <c r="C17" s="8" t="str">
        <f>IFERROR(__xludf.DUMMYFUNCTION("""COMPUTED_VALUE"""),"Scale Mail")</f>
        <v>Scale Mail</v>
      </c>
      <c r="D17" s="5">
        <f>IFERROR(__xludf.DUMMYFUNCTION("""COMPUTED_VALUE"""),45.0)</f>
        <v>45</v>
      </c>
      <c r="E17" s="6">
        <f>IFERROR(__xludf.DUMMYFUNCTION("""COMPUTED_VALUE"""),50.0)</f>
        <v>50</v>
      </c>
      <c r="F17" s="6">
        <f>IFERROR(__xludf.DUMMYFUNCTION("""COMPUTED_VALUE"""),37.5)</f>
        <v>37.5</v>
      </c>
      <c r="G17" s="6">
        <f>IFERROR(__xludf.DUMMYFUNCTION("""COMPUTED_VALUE"""),75.0)</f>
        <v>75</v>
      </c>
      <c r="H17" s="4" t="str">
        <f>IFERROR(__xludf.DUMMYFUNCTION("""COMPUTED_VALUE"""),"PHB 2024")</f>
        <v>PHB 2024</v>
      </c>
      <c r="I17" s="4"/>
      <c r="J17" s="4" t="str">
        <f>IFERROR(__xludf.DUMMYFUNCTION("""COMPUTED_VALUE"""),"x")</f>
        <v>x</v>
      </c>
      <c r="K17" s="4" t="str">
        <f>IFERROR(__xludf.DUMMYFUNCTION("""COMPUTED_VALUE"""),"x")</f>
        <v>x</v>
      </c>
      <c r="L17" s="7" t="str">
        <f>IFERROR(__xludf.DUMMYFUNCTION("""COMPUTED_VALUE"""),"x")</f>
        <v>x</v>
      </c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</row>
    <row r="18">
      <c r="A18" s="4" t="str">
        <f>IFERROR(__xludf.DUMMYFUNCTION("""COMPUTED_VALUE"""),"Armor")</f>
        <v>Armor</v>
      </c>
      <c r="B18" s="4" t="str">
        <f>IFERROR(__xludf.DUMMYFUNCTION("""COMPUTED_VALUE"""),"Medium Armor")</f>
        <v>Medium Armor</v>
      </c>
      <c r="C18" s="8" t="str">
        <f>IFERROR(__xludf.DUMMYFUNCTION("""COMPUTED_VALUE"""),"Breastplate")</f>
        <v>Breastplate</v>
      </c>
      <c r="D18" s="5">
        <f>IFERROR(__xludf.DUMMYFUNCTION("""COMPUTED_VALUE"""),20.0)</f>
        <v>20</v>
      </c>
      <c r="E18" s="6">
        <f>IFERROR(__xludf.DUMMYFUNCTION("""COMPUTED_VALUE"""),400.0)</f>
        <v>400</v>
      </c>
      <c r="F18" s="6">
        <f>IFERROR(__xludf.DUMMYFUNCTION("""COMPUTED_VALUE"""),300.0)</f>
        <v>300</v>
      </c>
      <c r="G18" s="6">
        <f>IFERROR(__xludf.DUMMYFUNCTION("""COMPUTED_VALUE"""),600.0)</f>
        <v>600</v>
      </c>
      <c r="H18" s="4" t="str">
        <f>IFERROR(__xludf.DUMMYFUNCTION("""COMPUTED_VALUE"""),"PHB 2024")</f>
        <v>PHB 2024</v>
      </c>
      <c r="I18" s="4" t="str">
        <f>IFERROR(__xludf.DUMMYFUNCTION("""COMPUTED_VALUE"""),"x")</f>
        <v>x</v>
      </c>
      <c r="J18" s="4" t="str">
        <f>IFERROR(__xludf.DUMMYFUNCTION("""COMPUTED_VALUE"""),"x")</f>
        <v>x</v>
      </c>
      <c r="K18" s="4" t="str">
        <f>IFERROR(__xludf.DUMMYFUNCTION("""COMPUTED_VALUE"""),"x")</f>
        <v>x</v>
      </c>
      <c r="L18" s="7" t="str">
        <f>IFERROR(__xludf.DUMMYFUNCTION("""COMPUTED_VALUE"""),"x")</f>
        <v>x</v>
      </c>
      <c r="M18" s="7"/>
      <c r="N18" s="7"/>
      <c r="O18" s="7"/>
      <c r="P18" s="7"/>
      <c r="Q18" s="7"/>
      <c r="R18" s="4"/>
      <c r="S18" s="7"/>
      <c r="T18" s="7"/>
      <c r="U18" s="7"/>
      <c r="V18" s="7"/>
      <c r="W18" s="7"/>
      <c r="X18" s="7"/>
      <c r="Y18" s="7"/>
    </row>
    <row r="19">
      <c r="A19" s="4" t="str">
        <f>IFERROR(__xludf.DUMMYFUNCTION("""COMPUTED_VALUE"""),"Armor")</f>
        <v>Armor</v>
      </c>
      <c r="B19" s="4" t="str">
        <f>IFERROR(__xludf.DUMMYFUNCTION("""COMPUTED_VALUE"""),"Medium Armor")</f>
        <v>Medium Armor</v>
      </c>
      <c r="C19" s="8" t="str">
        <f>IFERROR(__xludf.DUMMYFUNCTION("""COMPUTED_VALUE"""),"Half Plate Armor")</f>
        <v>Half Plate Armor</v>
      </c>
      <c r="D19" s="5">
        <f>IFERROR(__xludf.DUMMYFUNCTION("""COMPUTED_VALUE"""),40.0)</f>
        <v>40</v>
      </c>
      <c r="E19" s="6">
        <f>IFERROR(__xludf.DUMMYFUNCTION("""COMPUTED_VALUE"""),750.0)</f>
        <v>750</v>
      </c>
      <c r="F19" s="6">
        <f>IFERROR(__xludf.DUMMYFUNCTION("""COMPUTED_VALUE"""),562.5)</f>
        <v>562.5</v>
      </c>
      <c r="G19" s="6">
        <f>IFERROR(__xludf.DUMMYFUNCTION("""COMPUTED_VALUE"""),1125.0)</f>
        <v>1125</v>
      </c>
      <c r="H19" s="4" t="str">
        <f>IFERROR(__xludf.DUMMYFUNCTION("""COMPUTED_VALUE"""),"PHB 2024")</f>
        <v>PHB 2024</v>
      </c>
      <c r="I19" s="4"/>
      <c r="J19" s="4"/>
      <c r="K19" s="4" t="str">
        <f>IFERROR(__xludf.DUMMYFUNCTION("""COMPUTED_VALUE"""),"x")</f>
        <v>x</v>
      </c>
      <c r="L19" s="7" t="str">
        <f>IFERROR(__xludf.DUMMYFUNCTION("""COMPUTED_VALUE"""),"x")</f>
        <v>x</v>
      </c>
      <c r="M19" s="7"/>
      <c r="N19" s="7"/>
      <c r="O19" s="7"/>
      <c r="P19" s="7"/>
      <c r="Q19" s="4"/>
      <c r="R19" s="7"/>
      <c r="S19" s="7"/>
      <c r="T19" s="7"/>
      <c r="U19" s="7"/>
      <c r="V19" s="7"/>
      <c r="W19" s="7"/>
      <c r="X19" s="7"/>
      <c r="Y19" s="7"/>
    </row>
    <row r="20">
      <c r="A20" s="4" t="str">
        <f>IFERROR(__xludf.DUMMYFUNCTION("""COMPUTED_VALUE"""),"Armor")</f>
        <v>Armor</v>
      </c>
      <c r="B20" s="4" t="str">
        <f>IFERROR(__xludf.DUMMYFUNCTION("""COMPUTED_VALUE"""),"Heavy Armor")</f>
        <v>Heavy Armor</v>
      </c>
      <c r="C20" s="8" t="str">
        <f>IFERROR(__xludf.DUMMYFUNCTION("""COMPUTED_VALUE"""),"Ring Mail")</f>
        <v>Ring Mail</v>
      </c>
      <c r="D20" s="5">
        <f>IFERROR(__xludf.DUMMYFUNCTION("""COMPUTED_VALUE"""),40.0)</f>
        <v>40</v>
      </c>
      <c r="E20" s="6">
        <f>IFERROR(__xludf.DUMMYFUNCTION("""COMPUTED_VALUE"""),30.0)</f>
        <v>30</v>
      </c>
      <c r="F20" s="6">
        <f>IFERROR(__xludf.DUMMYFUNCTION("""COMPUTED_VALUE"""),22.5)</f>
        <v>22.5</v>
      </c>
      <c r="G20" s="6">
        <f>IFERROR(__xludf.DUMMYFUNCTION("""COMPUTED_VALUE"""),45.0)</f>
        <v>45</v>
      </c>
      <c r="H20" s="4" t="str">
        <f>IFERROR(__xludf.DUMMYFUNCTION("""COMPUTED_VALUE"""),"PHB 2024")</f>
        <v>PHB 2024</v>
      </c>
      <c r="I20" s="4" t="str">
        <f>IFERROR(__xludf.DUMMYFUNCTION("""COMPUTED_VALUE"""),"x")</f>
        <v>x</v>
      </c>
      <c r="J20" s="4" t="str">
        <f>IFERROR(__xludf.DUMMYFUNCTION("""COMPUTED_VALUE"""),"x")</f>
        <v>x</v>
      </c>
      <c r="K20" s="4" t="str">
        <f>IFERROR(__xludf.DUMMYFUNCTION("""COMPUTED_VALUE"""),"x")</f>
        <v>x</v>
      </c>
      <c r="L20" s="4" t="str">
        <f>IFERROR(__xludf.DUMMYFUNCTION("""COMPUTED_VALUE"""),"x")</f>
        <v>x</v>
      </c>
      <c r="M20" s="7"/>
      <c r="N20" s="7"/>
      <c r="O20" s="4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4" t="str">
        <f>IFERROR(__xludf.DUMMYFUNCTION("""COMPUTED_VALUE"""),"Armor")</f>
        <v>Armor</v>
      </c>
      <c r="B21" s="4" t="str">
        <f>IFERROR(__xludf.DUMMYFUNCTION("""COMPUTED_VALUE"""),"Heavy Armor")</f>
        <v>Heavy Armor</v>
      </c>
      <c r="C21" s="8" t="str">
        <f>IFERROR(__xludf.DUMMYFUNCTION("""COMPUTED_VALUE"""),"Chain Mail")</f>
        <v>Chain Mail</v>
      </c>
      <c r="D21" s="5">
        <f>IFERROR(__xludf.DUMMYFUNCTION("""COMPUTED_VALUE"""),55.0)</f>
        <v>55</v>
      </c>
      <c r="E21" s="6">
        <f>IFERROR(__xludf.DUMMYFUNCTION("""COMPUTED_VALUE"""),75.0)</f>
        <v>75</v>
      </c>
      <c r="F21" s="6">
        <f>IFERROR(__xludf.DUMMYFUNCTION("""COMPUTED_VALUE"""),56.25)</f>
        <v>56.25</v>
      </c>
      <c r="G21" s="6">
        <f>IFERROR(__xludf.DUMMYFUNCTION("""COMPUTED_VALUE"""),112.5)</f>
        <v>112.5</v>
      </c>
      <c r="H21" s="4" t="str">
        <f>IFERROR(__xludf.DUMMYFUNCTION("""COMPUTED_VALUE"""),"PHB 2024")</f>
        <v>PHB 2024</v>
      </c>
      <c r="I21" s="4" t="str">
        <f>IFERROR(__xludf.DUMMYFUNCTION("""COMPUTED_VALUE"""),"x")</f>
        <v>x</v>
      </c>
      <c r="J21" s="4" t="str">
        <f>IFERROR(__xludf.DUMMYFUNCTION("""COMPUTED_VALUE"""),"x")</f>
        <v>x</v>
      </c>
      <c r="K21" s="4" t="str">
        <f>IFERROR(__xludf.DUMMYFUNCTION("""COMPUTED_VALUE"""),"x")</f>
        <v>x</v>
      </c>
      <c r="L21" s="7" t="str">
        <f>IFERROR(__xludf.DUMMYFUNCTION("""COMPUTED_VALUE"""),"x")</f>
        <v>x</v>
      </c>
      <c r="M21" s="7"/>
      <c r="N21" s="7"/>
      <c r="O21" s="4"/>
      <c r="P21" s="4"/>
      <c r="Q21" s="4"/>
      <c r="R21" s="7"/>
      <c r="S21" s="7"/>
      <c r="T21" s="7"/>
      <c r="U21" s="7"/>
      <c r="V21" s="7"/>
      <c r="W21" s="7"/>
      <c r="X21" s="7"/>
      <c r="Y21" s="7"/>
    </row>
    <row r="22">
      <c r="A22" s="4" t="str">
        <f>IFERROR(__xludf.DUMMYFUNCTION("""COMPUTED_VALUE"""),"Armor")</f>
        <v>Armor</v>
      </c>
      <c r="B22" s="4" t="str">
        <f>IFERROR(__xludf.DUMMYFUNCTION("""COMPUTED_VALUE"""),"Heavy Armor")</f>
        <v>Heavy Armor</v>
      </c>
      <c r="C22" s="8" t="str">
        <f>IFERROR(__xludf.DUMMYFUNCTION("""COMPUTED_VALUE"""),"Splint Armor")</f>
        <v>Splint Armor</v>
      </c>
      <c r="D22" s="5">
        <f>IFERROR(__xludf.DUMMYFUNCTION("""COMPUTED_VALUE"""),60.0)</f>
        <v>60</v>
      </c>
      <c r="E22" s="6">
        <f>IFERROR(__xludf.DUMMYFUNCTION("""COMPUTED_VALUE"""),200.0)</f>
        <v>200</v>
      </c>
      <c r="F22" s="6">
        <f>IFERROR(__xludf.DUMMYFUNCTION("""COMPUTED_VALUE"""),150.0)</f>
        <v>150</v>
      </c>
      <c r="G22" s="6">
        <f>IFERROR(__xludf.DUMMYFUNCTION("""COMPUTED_VALUE"""),300.0)</f>
        <v>300</v>
      </c>
      <c r="H22" s="4" t="str">
        <f>IFERROR(__xludf.DUMMYFUNCTION("""COMPUTED_VALUE"""),"PHB 2024")</f>
        <v>PHB 2024</v>
      </c>
      <c r="I22" s="4"/>
      <c r="J22" s="4" t="str">
        <f>IFERROR(__xludf.DUMMYFUNCTION("""COMPUTED_VALUE"""),"x")</f>
        <v>x</v>
      </c>
      <c r="K22" s="4" t="str">
        <f>IFERROR(__xludf.DUMMYFUNCTION("""COMPUTED_VALUE"""),"x")</f>
        <v>x</v>
      </c>
      <c r="L22" s="4" t="str">
        <f>IFERROR(__xludf.DUMMYFUNCTION("""COMPUTED_VALUE"""),"x")</f>
        <v>x</v>
      </c>
      <c r="M22" s="7"/>
      <c r="N22" s="7"/>
      <c r="O22" s="7"/>
      <c r="P22" s="7"/>
      <c r="Q22" s="4"/>
      <c r="R22" s="7"/>
      <c r="S22" s="7"/>
      <c r="T22" s="7"/>
      <c r="U22" s="7"/>
      <c r="V22" s="7"/>
      <c r="W22" s="7"/>
      <c r="X22" s="7"/>
      <c r="Y22" s="7"/>
    </row>
    <row r="23">
      <c r="A23" s="4" t="str">
        <f>IFERROR(__xludf.DUMMYFUNCTION("""COMPUTED_VALUE"""),"Armor")</f>
        <v>Armor</v>
      </c>
      <c r="B23" s="4" t="str">
        <f>IFERROR(__xludf.DUMMYFUNCTION("""COMPUTED_VALUE"""),"Heavy Armor")</f>
        <v>Heavy Armor</v>
      </c>
      <c r="C23" s="8" t="str">
        <f>IFERROR(__xludf.DUMMYFUNCTION("""COMPUTED_VALUE"""),"Plate Armor")</f>
        <v>Plate Armor</v>
      </c>
      <c r="D23" s="5">
        <f>IFERROR(__xludf.DUMMYFUNCTION("""COMPUTED_VALUE"""),65.0)</f>
        <v>65</v>
      </c>
      <c r="E23" s="6">
        <f>IFERROR(__xludf.DUMMYFUNCTION("""COMPUTED_VALUE"""),1500.0)</f>
        <v>1500</v>
      </c>
      <c r="F23" s="6">
        <f>IFERROR(__xludf.DUMMYFUNCTION("""COMPUTED_VALUE"""),1125.0)</f>
        <v>1125</v>
      </c>
      <c r="G23" s="6">
        <f>IFERROR(__xludf.DUMMYFUNCTION("""COMPUTED_VALUE"""),2250.0)</f>
        <v>2250</v>
      </c>
      <c r="H23" s="4" t="str">
        <f>IFERROR(__xludf.DUMMYFUNCTION("""COMPUTED_VALUE"""),"PHB 2024")</f>
        <v>PHB 2024</v>
      </c>
      <c r="I23" s="4"/>
      <c r="J23" s="4"/>
      <c r="K23" s="4" t="str">
        <f>IFERROR(__xludf.DUMMYFUNCTION("""COMPUTED_VALUE"""),"x")</f>
        <v>x</v>
      </c>
      <c r="L23" s="7" t="str">
        <f>IFERROR(__xludf.DUMMYFUNCTION("""COMPUTED_VALUE"""),"x")</f>
        <v>x</v>
      </c>
      <c r="M23" s="7"/>
      <c r="N23" s="7"/>
      <c r="O23" s="4"/>
      <c r="P23" s="7"/>
      <c r="Q23" s="7"/>
      <c r="R23" s="7"/>
      <c r="S23" s="7"/>
      <c r="T23" s="7"/>
      <c r="U23" s="4"/>
      <c r="V23" s="7"/>
      <c r="W23" s="7"/>
      <c r="X23" s="7"/>
      <c r="Y23" s="7"/>
    </row>
    <row r="24">
      <c r="A24" s="4" t="str">
        <f>IFERROR(__xludf.DUMMYFUNCTION("""COMPUTED_VALUE"""),"Tools")</f>
        <v>Tools</v>
      </c>
      <c r="B24" s="4" t="str">
        <f>IFERROR(__xludf.DUMMYFUNCTION("""COMPUTED_VALUE"""),"Artisan's Tools")</f>
        <v>Artisan's Tools</v>
      </c>
      <c r="C24" s="8" t="str">
        <f>IFERROR(__xludf.DUMMYFUNCTION("""COMPUTED_VALUE"""),"Carpenter's Tools")</f>
        <v>Carpenter's Tools</v>
      </c>
      <c r="D24" s="5">
        <f>IFERROR(__xludf.DUMMYFUNCTION("""COMPUTED_VALUE"""),6.0)</f>
        <v>6</v>
      </c>
      <c r="E24" s="6">
        <f>IFERROR(__xludf.DUMMYFUNCTION("""COMPUTED_VALUE"""),8.0)</f>
        <v>8</v>
      </c>
      <c r="F24" s="6">
        <f>IFERROR(__xludf.DUMMYFUNCTION("""COMPUTED_VALUE"""),6.0)</f>
        <v>6</v>
      </c>
      <c r="G24" s="6">
        <f>IFERROR(__xludf.DUMMYFUNCTION("""COMPUTED_VALUE"""),12.0)</f>
        <v>12</v>
      </c>
      <c r="H24" s="4" t="str">
        <f>IFERROR(__xludf.DUMMYFUNCTION("""COMPUTED_VALUE"""),"PHB 2024")</f>
        <v>PHB 2024</v>
      </c>
      <c r="I24" s="4" t="str">
        <f>IFERROR(__xludf.DUMMYFUNCTION("""COMPUTED_VALUE"""),"x")</f>
        <v>x</v>
      </c>
      <c r="J24" s="4" t="str">
        <f>IFERROR(__xludf.DUMMYFUNCTION("""COMPUTED_VALUE"""),"x")</f>
        <v>x</v>
      </c>
      <c r="K24" s="4" t="str">
        <f>IFERROR(__xludf.DUMMYFUNCTION("""COMPUTED_VALUE"""),"x")</f>
        <v>x</v>
      </c>
      <c r="L24" s="7" t="str">
        <f>IFERROR(__xludf.DUMMYFUNCTION("""COMPUTED_VALUE"""),"x")</f>
        <v>x</v>
      </c>
      <c r="M24" s="7"/>
      <c r="N24" s="7"/>
      <c r="O24" s="7"/>
      <c r="P24" s="4" t="str">
        <f>IFERROR(__xludf.DUMMYFUNCTION("""COMPUTED_VALUE"""),"x")</f>
        <v>x</v>
      </c>
      <c r="Q24" s="4"/>
      <c r="R24" s="7"/>
      <c r="S24" s="7"/>
      <c r="T24" s="7"/>
      <c r="U24" s="4"/>
      <c r="V24" s="7"/>
      <c r="W24" s="7"/>
      <c r="X24" s="7"/>
      <c r="Y24" s="7"/>
    </row>
    <row r="25">
      <c r="A25" s="4" t="str">
        <f>IFERROR(__xludf.DUMMYFUNCTION("""COMPUTED_VALUE"""),"Tools")</f>
        <v>Tools</v>
      </c>
      <c r="B25" s="4" t="str">
        <f>IFERROR(__xludf.DUMMYFUNCTION("""COMPUTED_VALUE"""),"Artisan's Tools")</f>
        <v>Artisan's Tools</v>
      </c>
      <c r="C25" s="8" t="str">
        <f>IFERROR(__xludf.DUMMYFUNCTION("""COMPUTED_VALUE"""),"Mason's Tools")</f>
        <v>Mason's Tools</v>
      </c>
      <c r="D25" s="5">
        <f>IFERROR(__xludf.DUMMYFUNCTION("""COMPUTED_VALUE"""),8.0)</f>
        <v>8</v>
      </c>
      <c r="E25" s="6">
        <f>IFERROR(__xludf.DUMMYFUNCTION("""COMPUTED_VALUE"""),10.0)</f>
        <v>10</v>
      </c>
      <c r="F25" s="6">
        <f>IFERROR(__xludf.DUMMYFUNCTION("""COMPUTED_VALUE"""),7.5)</f>
        <v>7.5</v>
      </c>
      <c r="G25" s="6">
        <f>IFERROR(__xludf.DUMMYFUNCTION("""COMPUTED_VALUE"""),15.0)</f>
        <v>15</v>
      </c>
      <c r="H25" s="4" t="str">
        <f>IFERROR(__xludf.DUMMYFUNCTION("""COMPUTED_VALUE"""),"PHB 2024")</f>
        <v>PHB 2024</v>
      </c>
      <c r="I25" s="4"/>
      <c r="J25" s="4" t="str">
        <f>IFERROR(__xludf.DUMMYFUNCTION("""COMPUTED_VALUE"""),"x")</f>
        <v>x</v>
      </c>
      <c r="K25" s="4" t="str">
        <f>IFERROR(__xludf.DUMMYFUNCTION("""COMPUTED_VALUE"""),"x")</f>
        <v>x</v>
      </c>
      <c r="L25" s="7" t="str">
        <f>IFERROR(__xludf.DUMMYFUNCTION("""COMPUTED_VALUE"""),"x")</f>
        <v>x</v>
      </c>
      <c r="M25" s="7"/>
      <c r="N25" s="7"/>
      <c r="O25" s="7"/>
      <c r="P25" s="4" t="str">
        <f>IFERROR(__xludf.DUMMYFUNCTION("""COMPUTED_VALUE"""),"x")</f>
        <v>x</v>
      </c>
      <c r="Q25" s="7"/>
      <c r="R25" s="7"/>
      <c r="S25" s="7"/>
      <c r="T25" s="7"/>
      <c r="U25" s="7"/>
      <c r="V25" s="7"/>
      <c r="W25" s="7"/>
      <c r="X25" s="7"/>
      <c r="Y25" s="7"/>
    </row>
    <row r="26">
      <c r="A26" s="4" t="str">
        <f>IFERROR(__xludf.DUMMYFUNCTION("""COMPUTED_VALUE"""),"Tools")</f>
        <v>Tools</v>
      </c>
      <c r="B26" s="4" t="str">
        <f>IFERROR(__xludf.DUMMYFUNCTION("""COMPUTED_VALUE"""),"Artisan's Tools")</f>
        <v>Artisan's Tools</v>
      </c>
      <c r="C26" s="8" t="str">
        <f>IFERROR(__xludf.DUMMYFUNCTION("""COMPUTED_VALUE"""),"Smith's Tools")</f>
        <v>Smith's Tools</v>
      </c>
      <c r="D26" s="5">
        <f>IFERROR(__xludf.DUMMYFUNCTION("""COMPUTED_VALUE"""),8.0)</f>
        <v>8</v>
      </c>
      <c r="E26" s="6">
        <f>IFERROR(__xludf.DUMMYFUNCTION("""COMPUTED_VALUE"""),20.0)</f>
        <v>20</v>
      </c>
      <c r="F26" s="6">
        <f>IFERROR(__xludf.DUMMYFUNCTION("""COMPUTED_VALUE"""),15.0)</f>
        <v>15</v>
      </c>
      <c r="G26" s="6">
        <f>IFERROR(__xludf.DUMMYFUNCTION("""COMPUTED_VALUE"""),30.0)</f>
        <v>30</v>
      </c>
      <c r="H26" s="4" t="str">
        <f>IFERROR(__xludf.DUMMYFUNCTION("""COMPUTED_VALUE"""),"PHB 2024")</f>
        <v>PHB 2024</v>
      </c>
      <c r="I26" s="4" t="str">
        <f>IFERROR(__xludf.DUMMYFUNCTION("""COMPUTED_VALUE"""),"x")</f>
        <v>x</v>
      </c>
      <c r="J26" s="4" t="str">
        <f>IFERROR(__xludf.DUMMYFUNCTION("""COMPUTED_VALUE"""),"x")</f>
        <v>x</v>
      </c>
      <c r="K26" s="4" t="str">
        <f>IFERROR(__xludf.DUMMYFUNCTION("""COMPUTED_VALUE"""),"x")</f>
        <v>x</v>
      </c>
      <c r="L26" s="7" t="str">
        <f>IFERROR(__xludf.DUMMYFUNCTION("""COMPUTED_VALUE"""),"x")</f>
        <v>x</v>
      </c>
      <c r="M26" s="7"/>
      <c r="N26" s="7"/>
      <c r="O26" s="7"/>
      <c r="P26" s="7" t="str">
        <f>IFERROR(__xludf.DUMMYFUNCTION("""COMPUTED_VALUE"""),"x")</f>
        <v>x</v>
      </c>
      <c r="Q26" s="7"/>
      <c r="R26" s="7"/>
      <c r="S26" s="7"/>
      <c r="T26" s="7"/>
      <c r="U26" s="7"/>
      <c r="V26" s="7"/>
      <c r="W26" s="4"/>
      <c r="X26" s="7"/>
      <c r="Y26" s="7"/>
    </row>
    <row r="27">
      <c r="A27" s="4" t="str">
        <f>IFERROR(__xludf.DUMMYFUNCTION("""COMPUTED_VALUE"""),"Tools")</f>
        <v>Tools</v>
      </c>
      <c r="B27" s="4" t="str">
        <f>IFERROR(__xludf.DUMMYFUNCTION("""COMPUTED_VALUE"""),"Artisan's Tools")</f>
        <v>Artisan's Tools</v>
      </c>
      <c r="C27" s="8" t="str">
        <f>IFERROR(__xludf.DUMMYFUNCTION("""COMPUTED_VALUE"""),"Tinker's Tools")</f>
        <v>Tinker's Tools</v>
      </c>
      <c r="D27" s="5">
        <f>IFERROR(__xludf.DUMMYFUNCTION("""COMPUTED_VALUE"""),10.0)</f>
        <v>10</v>
      </c>
      <c r="E27" s="6">
        <f>IFERROR(__xludf.DUMMYFUNCTION("""COMPUTED_VALUE"""),50.0)</f>
        <v>50</v>
      </c>
      <c r="F27" s="6">
        <f>IFERROR(__xludf.DUMMYFUNCTION("""COMPUTED_VALUE"""),37.5)</f>
        <v>37.5</v>
      </c>
      <c r="G27" s="6">
        <f>IFERROR(__xludf.DUMMYFUNCTION("""COMPUTED_VALUE"""),75.0)</f>
        <v>75</v>
      </c>
      <c r="H27" s="4" t="str">
        <f>IFERROR(__xludf.DUMMYFUNCTION("""COMPUTED_VALUE"""),"PHB 2024")</f>
        <v>PHB 2024</v>
      </c>
      <c r="I27" s="4"/>
      <c r="J27" s="4"/>
      <c r="K27" s="4" t="str">
        <f>IFERROR(__xludf.DUMMYFUNCTION("""COMPUTED_VALUE"""),"x")</f>
        <v>x</v>
      </c>
      <c r="L27" s="7" t="str">
        <f>IFERROR(__xludf.DUMMYFUNCTION("""COMPUTED_VALUE"""),"x")</f>
        <v>x</v>
      </c>
      <c r="M27" s="7"/>
      <c r="N27" s="7"/>
      <c r="O27" s="7"/>
      <c r="P27" s="7"/>
      <c r="Q27" s="7" t="str">
        <f>IFERROR(__xludf.DUMMYFUNCTION("""COMPUTED_VALUE"""),"x")</f>
        <v>x</v>
      </c>
      <c r="R27" s="7"/>
      <c r="S27" s="7"/>
      <c r="T27" s="7"/>
      <c r="U27" s="7"/>
      <c r="V27" s="7"/>
      <c r="W27" s="4"/>
      <c r="X27" s="7"/>
      <c r="Y27" s="7"/>
    </row>
    <row r="28">
      <c r="A28" s="4" t="str">
        <f>IFERROR(__xludf.DUMMYFUNCTION("""COMPUTED_VALUE"""),"Weapons")</f>
        <v>Weapons</v>
      </c>
      <c r="B28" s="4" t="str">
        <f>IFERROR(__xludf.DUMMYFUNCTION("""COMPUTED_VALUE"""),"Simple Melee Weapons")</f>
        <v>Simple Melee Weapons</v>
      </c>
      <c r="C28" s="8" t="str">
        <f>IFERROR(__xludf.DUMMYFUNCTION("""COMPUTED_VALUE"""),"Dagger")</f>
        <v>Dagger</v>
      </c>
      <c r="D28" s="5">
        <f>IFERROR(__xludf.DUMMYFUNCTION("""COMPUTED_VALUE"""),1.0)</f>
        <v>1</v>
      </c>
      <c r="E28" s="6">
        <f>IFERROR(__xludf.DUMMYFUNCTION("""COMPUTED_VALUE"""),2.0)</f>
        <v>2</v>
      </c>
      <c r="F28" s="6">
        <f>IFERROR(__xludf.DUMMYFUNCTION("""COMPUTED_VALUE"""),1.5)</f>
        <v>1.5</v>
      </c>
      <c r="G28" s="6">
        <f>IFERROR(__xludf.DUMMYFUNCTION("""COMPUTED_VALUE"""),3.0)</f>
        <v>3</v>
      </c>
      <c r="H28" s="4" t="str">
        <f>IFERROR(__xludf.DUMMYFUNCTION("""COMPUTED_VALUE"""),"PHB 2024")</f>
        <v>PHB 2024</v>
      </c>
      <c r="I28" s="4" t="str">
        <f>IFERROR(__xludf.DUMMYFUNCTION("""COMPUTED_VALUE"""),"x")</f>
        <v>x</v>
      </c>
      <c r="J28" s="4" t="str">
        <f>IFERROR(__xludf.DUMMYFUNCTION("""COMPUTED_VALUE"""),"x")</f>
        <v>x</v>
      </c>
      <c r="K28" s="4" t="str">
        <f>IFERROR(__xludf.DUMMYFUNCTION("""COMPUTED_VALUE"""),"x")</f>
        <v>x</v>
      </c>
      <c r="L28" s="7" t="str">
        <f>IFERROR(__xludf.DUMMYFUNCTION("""COMPUTED_VALUE"""),"x")</f>
        <v>x</v>
      </c>
      <c r="M28" s="7"/>
      <c r="N28" s="7"/>
      <c r="O28" s="4"/>
      <c r="P28" s="4"/>
      <c r="Q28" s="4" t="str">
        <f>IFERROR(__xludf.DUMMYFUNCTION("""COMPUTED_VALUE"""),"x")</f>
        <v>x</v>
      </c>
      <c r="R28" s="7"/>
      <c r="S28" s="7"/>
      <c r="T28" s="7"/>
      <c r="U28" s="4"/>
      <c r="V28" s="7"/>
      <c r="W28" s="7" t="str">
        <f>IFERROR(__xludf.DUMMYFUNCTION("""COMPUTED_VALUE"""),"x")</f>
        <v>x</v>
      </c>
      <c r="X28" s="7"/>
      <c r="Y28" s="7"/>
    </row>
    <row r="29">
      <c r="A29" s="4" t="str">
        <f>IFERROR(__xludf.DUMMYFUNCTION("""COMPUTED_VALUE"""),"Weapons")</f>
        <v>Weapons</v>
      </c>
      <c r="B29" s="4" t="str">
        <f>IFERROR(__xludf.DUMMYFUNCTION("""COMPUTED_VALUE"""),"Simple Melee Weapons")</f>
        <v>Simple Melee Weapons</v>
      </c>
      <c r="C29" s="8" t="str">
        <f>IFERROR(__xludf.DUMMYFUNCTION("""COMPUTED_VALUE"""),"Handaxe")</f>
        <v>Handaxe</v>
      </c>
      <c r="D29" s="5">
        <f>IFERROR(__xludf.DUMMYFUNCTION("""COMPUTED_VALUE"""),2.0)</f>
        <v>2</v>
      </c>
      <c r="E29" s="6">
        <f>IFERROR(__xludf.DUMMYFUNCTION("""COMPUTED_VALUE"""),5.0)</f>
        <v>5</v>
      </c>
      <c r="F29" s="6">
        <f>IFERROR(__xludf.DUMMYFUNCTION("""COMPUTED_VALUE"""),3.75)</f>
        <v>3.75</v>
      </c>
      <c r="G29" s="6">
        <f>IFERROR(__xludf.DUMMYFUNCTION("""COMPUTED_VALUE"""),7.5)</f>
        <v>7.5</v>
      </c>
      <c r="H29" s="4" t="str">
        <f>IFERROR(__xludf.DUMMYFUNCTION("""COMPUTED_VALUE"""),"PHB 2024")</f>
        <v>PHB 2024</v>
      </c>
      <c r="I29" s="4" t="str">
        <f>IFERROR(__xludf.DUMMYFUNCTION("""COMPUTED_VALUE"""),"x")</f>
        <v>x</v>
      </c>
      <c r="J29" s="4" t="str">
        <f>IFERROR(__xludf.DUMMYFUNCTION("""COMPUTED_VALUE"""),"x")</f>
        <v>x</v>
      </c>
      <c r="K29" s="4" t="str">
        <f>IFERROR(__xludf.DUMMYFUNCTION("""COMPUTED_VALUE"""),"x")</f>
        <v>x</v>
      </c>
      <c r="L29" s="7" t="str">
        <f>IFERROR(__xludf.DUMMYFUNCTION("""COMPUTED_VALUE"""),"x")</f>
        <v>x</v>
      </c>
      <c r="M29" s="4"/>
      <c r="N29" s="7"/>
      <c r="O29" s="7"/>
      <c r="P29" s="7"/>
      <c r="Q29" s="4" t="str">
        <f>IFERROR(__xludf.DUMMYFUNCTION("""COMPUTED_VALUE"""),"x")</f>
        <v>x</v>
      </c>
      <c r="R29" s="7"/>
      <c r="S29" s="7"/>
      <c r="T29" s="7"/>
      <c r="U29" s="7"/>
      <c r="V29" s="7"/>
      <c r="W29" s="7"/>
      <c r="X29" s="7"/>
      <c r="Y29" s="7"/>
    </row>
    <row r="30">
      <c r="A30" s="4" t="str">
        <f>IFERROR(__xludf.DUMMYFUNCTION("""COMPUTED_VALUE"""),"Weapons")</f>
        <v>Weapons</v>
      </c>
      <c r="B30" s="4" t="str">
        <f>IFERROR(__xludf.DUMMYFUNCTION("""COMPUTED_VALUE"""),"Simple Melee Weapons")</f>
        <v>Simple Melee Weapons</v>
      </c>
      <c r="C30" s="8" t="str">
        <f>IFERROR(__xludf.DUMMYFUNCTION("""COMPUTED_VALUE"""),"Javelin")</f>
        <v>Javelin</v>
      </c>
      <c r="D30" s="5">
        <f>IFERROR(__xludf.DUMMYFUNCTION("""COMPUTED_VALUE"""),2.0)</f>
        <v>2</v>
      </c>
      <c r="E30" s="6">
        <f>IFERROR(__xludf.DUMMYFUNCTION("""COMPUTED_VALUE"""),0.5)</f>
        <v>0.5</v>
      </c>
      <c r="F30" s="6">
        <f>IFERROR(__xludf.DUMMYFUNCTION("""COMPUTED_VALUE"""),0.375)</f>
        <v>0.375</v>
      </c>
      <c r="G30" s="6">
        <f>IFERROR(__xludf.DUMMYFUNCTION("""COMPUTED_VALUE"""),0.75)</f>
        <v>0.75</v>
      </c>
      <c r="H30" s="4" t="str">
        <f>IFERROR(__xludf.DUMMYFUNCTION("""COMPUTED_VALUE"""),"PHB 2024")</f>
        <v>PHB 2024</v>
      </c>
      <c r="I30" s="4"/>
      <c r="J30" s="4" t="str">
        <f>IFERROR(__xludf.DUMMYFUNCTION("""COMPUTED_VALUE"""),"x")</f>
        <v>x</v>
      </c>
      <c r="K30" s="4" t="str">
        <f>IFERROR(__xludf.DUMMYFUNCTION("""COMPUTED_VALUE"""),"x")</f>
        <v>x</v>
      </c>
      <c r="L30" s="7" t="str">
        <f>IFERROR(__xludf.DUMMYFUNCTION("""COMPUTED_VALUE"""),"x")</f>
        <v>x</v>
      </c>
      <c r="M30" s="7"/>
      <c r="N30" s="7"/>
      <c r="O30" s="4"/>
      <c r="P30" s="7"/>
      <c r="Q30" s="4"/>
      <c r="R30" s="7"/>
      <c r="S30" s="7"/>
      <c r="T30" s="7"/>
      <c r="U30" s="4"/>
      <c r="V30" s="7"/>
      <c r="W30" s="7"/>
      <c r="X30" s="7"/>
      <c r="Y30" s="7"/>
    </row>
    <row r="31">
      <c r="A31" s="4" t="str">
        <f>IFERROR(__xludf.DUMMYFUNCTION("""COMPUTED_VALUE"""),"Weapons")</f>
        <v>Weapons</v>
      </c>
      <c r="B31" s="4" t="str">
        <f>IFERROR(__xludf.DUMMYFUNCTION("""COMPUTED_VALUE"""),"Simple Melee Weapons")</f>
        <v>Simple Melee Weapons</v>
      </c>
      <c r="C31" s="8" t="str">
        <f>IFERROR(__xludf.DUMMYFUNCTION("""COMPUTED_VALUE"""),"Light Hammer")</f>
        <v>Light Hammer</v>
      </c>
      <c r="D31" s="5">
        <f>IFERROR(__xludf.DUMMYFUNCTION("""COMPUTED_VALUE"""),2.0)</f>
        <v>2</v>
      </c>
      <c r="E31" s="6">
        <f>IFERROR(__xludf.DUMMYFUNCTION("""COMPUTED_VALUE"""),2.0)</f>
        <v>2</v>
      </c>
      <c r="F31" s="6">
        <f>IFERROR(__xludf.DUMMYFUNCTION("""COMPUTED_VALUE"""),1.5)</f>
        <v>1.5</v>
      </c>
      <c r="G31" s="6">
        <f>IFERROR(__xludf.DUMMYFUNCTION("""COMPUTED_VALUE"""),3.0)</f>
        <v>3</v>
      </c>
      <c r="H31" s="4" t="str">
        <f>IFERROR(__xludf.DUMMYFUNCTION("""COMPUTED_VALUE"""),"PHB 2024")</f>
        <v>PHB 2024</v>
      </c>
      <c r="I31" s="4"/>
      <c r="J31" s="4" t="str">
        <f>IFERROR(__xludf.DUMMYFUNCTION("""COMPUTED_VALUE"""),"x")</f>
        <v>x</v>
      </c>
      <c r="K31" s="4" t="str">
        <f>IFERROR(__xludf.DUMMYFUNCTION("""COMPUTED_VALUE"""),"x")</f>
        <v>x</v>
      </c>
      <c r="L31" s="4" t="str">
        <f>IFERROR(__xludf.DUMMYFUNCTION("""COMPUTED_VALUE"""),"x")</f>
        <v>x</v>
      </c>
      <c r="M31" s="7"/>
      <c r="N31" s="7"/>
      <c r="O31" s="7"/>
      <c r="P31" s="7"/>
      <c r="Q31" s="4" t="str">
        <f>IFERROR(__xludf.DUMMYFUNCTION("""COMPUTED_VALUE"""),"x")</f>
        <v>x</v>
      </c>
      <c r="R31" s="7"/>
      <c r="S31" s="7"/>
      <c r="T31" s="7"/>
      <c r="U31" s="7"/>
      <c r="V31" s="7"/>
      <c r="W31" s="7"/>
      <c r="X31" s="7"/>
      <c r="Y31" s="7"/>
    </row>
    <row r="32">
      <c r="A32" s="4" t="str">
        <f>IFERROR(__xludf.DUMMYFUNCTION("""COMPUTED_VALUE"""),"Weapons")</f>
        <v>Weapons</v>
      </c>
      <c r="B32" s="4" t="str">
        <f>IFERROR(__xludf.DUMMYFUNCTION("""COMPUTED_VALUE"""),"Simple Melee Weapons")</f>
        <v>Simple Melee Weapons</v>
      </c>
      <c r="C32" s="8" t="str">
        <f>IFERROR(__xludf.DUMMYFUNCTION("""COMPUTED_VALUE"""),"Mace")</f>
        <v>Mace</v>
      </c>
      <c r="D32" s="5">
        <f>IFERROR(__xludf.DUMMYFUNCTION("""COMPUTED_VALUE"""),4.0)</f>
        <v>4</v>
      </c>
      <c r="E32" s="6">
        <f>IFERROR(__xludf.DUMMYFUNCTION("""COMPUTED_VALUE"""),5.0)</f>
        <v>5</v>
      </c>
      <c r="F32" s="6">
        <f>IFERROR(__xludf.DUMMYFUNCTION("""COMPUTED_VALUE"""),3.75)</f>
        <v>3.75</v>
      </c>
      <c r="G32" s="6">
        <f>IFERROR(__xludf.DUMMYFUNCTION("""COMPUTED_VALUE"""),7.5)</f>
        <v>7.5</v>
      </c>
      <c r="H32" s="4" t="str">
        <f>IFERROR(__xludf.DUMMYFUNCTION("""COMPUTED_VALUE"""),"PHB 2024")</f>
        <v>PHB 2024</v>
      </c>
      <c r="I32" s="4" t="str">
        <f>IFERROR(__xludf.DUMMYFUNCTION("""COMPUTED_VALUE"""),"x")</f>
        <v>x</v>
      </c>
      <c r="J32" s="4" t="str">
        <f>IFERROR(__xludf.DUMMYFUNCTION("""COMPUTED_VALUE"""),"x")</f>
        <v>x</v>
      </c>
      <c r="K32" s="4" t="str">
        <f>IFERROR(__xludf.DUMMYFUNCTION("""COMPUTED_VALUE"""),"x")</f>
        <v>x</v>
      </c>
      <c r="L32" s="7" t="str">
        <f>IFERROR(__xludf.DUMMYFUNCTION("""COMPUTED_VALUE"""),"x")</f>
        <v>x</v>
      </c>
      <c r="M32" s="7"/>
      <c r="N32" s="7"/>
      <c r="O32" s="7"/>
      <c r="P32" s="4"/>
      <c r="Q32" s="4"/>
      <c r="R32" s="7"/>
      <c r="S32" s="7"/>
      <c r="T32" s="7"/>
      <c r="U32" s="7"/>
      <c r="V32" s="7"/>
      <c r="W32" s="7"/>
      <c r="X32" s="7"/>
      <c r="Y32" s="7"/>
    </row>
    <row r="33">
      <c r="A33" s="4" t="str">
        <f>IFERROR(__xludf.DUMMYFUNCTION("""COMPUTED_VALUE"""),"Weapons")</f>
        <v>Weapons</v>
      </c>
      <c r="B33" s="4" t="str">
        <f>IFERROR(__xludf.DUMMYFUNCTION("""COMPUTED_VALUE"""),"Simple Melee Weapons")</f>
        <v>Simple Melee Weapons</v>
      </c>
      <c r="C33" s="8" t="str">
        <f>IFERROR(__xludf.DUMMYFUNCTION("""COMPUTED_VALUE"""),"Sickle")</f>
        <v>Sickle</v>
      </c>
      <c r="D33" s="5">
        <f>IFERROR(__xludf.DUMMYFUNCTION("""COMPUTED_VALUE"""),2.0)</f>
        <v>2</v>
      </c>
      <c r="E33" s="6">
        <f>IFERROR(__xludf.DUMMYFUNCTION("""COMPUTED_VALUE"""),1.0)</f>
        <v>1</v>
      </c>
      <c r="F33" s="6">
        <f>IFERROR(__xludf.DUMMYFUNCTION("""COMPUTED_VALUE"""),0.75)</f>
        <v>0.75</v>
      </c>
      <c r="G33" s="6">
        <f>IFERROR(__xludf.DUMMYFUNCTION("""COMPUTED_VALUE"""),1.5)</f>
        <v>1.5</v>
      </c>
      <c r="H33" s="4" t="str">
        <f>IFERROR(__xludf.DUMMYFUNCTION("""COMPUTED_VALUE"""),"PHB 2024")</f>
        <v>PHB 2024</v>
      </c>
      <c r="I33" s="4"/>
      <c r="J33" s="4" t="str">
        <f>IFERROR(__xludf.DUMMYFUNCTION("""COMPUTED_VALUE"""),"x")</f>
        <v>x</v>
      </c>
      <c r="K33" s="4" t="str">
        <f>IFERROR(__xludf.DUMMYFUNCTION("""COMPUTED_VALUE"""),"x")</f>
        <v>x</v>
      </c>
      <c r="L33" s="7" t="str">
        <f>IFERROR(__xludf.DUMMYFUNCTION("""COMPUTED_VALUE"""),"x")</f>
        <v>x</v>
      </c>
      <c r="M33" s="7"/>
      <c r="N33" s="7"/>
      <c r="O33" s="7"/>
      <c r="P33" s="7"/>
      <c r="Q33" s="4"/>
      <c r="R33" s="7"/>
      <c r="S33" s="7"/>
      <c r="T33" s="7"/>
      <c r="U33" s="7"/>
      <c r="V33" s="7"/>
      <c r="W33" s="7"/>
      <c r="X33" s="7"/>
      <c r="Y33" s="7"/>
    </row>
    <row r="34">
      <c r="A34" s="4" t="str">
        <f>IFERROR(__xludf.DUMMYFUNCTION("""COMPUTED_VALUE"""),"Weapons")</f>
        <v>Weapons</v>
      </c>
      <c r="B34" s="4" t="str">
        <f>IFERROR(__xludf.DUMMYFUNCTION("""COMPUTED_VALUE"""),"Simple Melee Weapons")</f>
        <v>Simple Melee Weapons</v>
      </c>
      <c r="C34" s="8" t="str">
        <f>IFERROR(__xludf.DUMMYFUNCTION("""COMPUTED_VALUE"""),"Spear")</f>
        <v>Spear</v>
      </c>
      <c r="D34" s="5">
        <f>IFERROR(__xludf.DUMMYFUNCTION("""COMPUTED_VALUE"""),3.0)</f>
        <v>3</v>
      </c>
      <c r="E34" s="6">
        <f>IFERROR(__xludf.DUMMYFUNCTION("""COMPUTED_VALUE"""),1.0)</f>
        <v>1</v>
      </c>
      <c r="F34" s="6">
        <f>IFERROR(__xludf.DUMMYFUNCTION("""COMPUTED_VALUE"""),0.75)</f>
        <v>0.75</v>
      </c>
      <c r="G34" s="6">
        <f>IFERROR(__xludf.DUMMYFUNCTION("""COMPUTED_VALUE"""),1.5)</f>
        <v>1.5</v>
      </c>
      <c r="H34" s="4" t="str">
        <f>IFERROR(__xludf.DUMMYFUNCTION("""COMPUTED_VALUE"""),"PHB 2024")</f>
        <v>PHB 2024</v>
      </c>
      <c r="I34" s="4" t="str">
        <f>IFERROR(__xludf.DUMMYFUNCTION("""COMPUTED_VALUE"""),"x")</f>
        <v>x</v>
      </c>
      <c r="J34" s="4" t="str">
        <f>IFERROR(__xludf.DUMMYFUNCTION("""COMPUTED_VALUE"""),"x")</f>
        <v>x</v>
      </c>
      <c r="K34" s="4" t="str">
        <f>IFERROR(__xludf.DUMMYFUNCTION("""COMPUTED_VALUE"""),"x")</f>
        <v>x</v>
      </c>
      <c r="L34" s="7" t="str">
        <f>IFERROR(__xludf.DUMMYFUNCTION("""COMPUTED_VALUE"""),"x")</f>
        <v>x</v>
      </c>
      <c r="M34" s="7"/>
      <c r="N34" s="7"/>
      <c r="O34" s="7"/>
      <c r="P34" s="4"/>
      <c r="Q34" s="7"/>
      <c r="R34" s="4"/>
      <c r="S34" s="7"/>
      <c r="T34" s="7"/>
      <c r="U34" s="7"/>
      <c r="V34" s="7"/>
      <c r="W34" s="7"/>
      <c r="X34" s="7"/>
      <c r="Y34" s="7"/>
    </row>
    <row r="35">
      <c r="A35" s="4" t="str">
        <f>IFERROR(__xludf.DUMMYFUNCTION("""COMPUTED_VALUE"""),"Weapons")</f>
        <v>Weapons</v>
      </c>
      <c r="B35" s="4" t="str">
        <f>IFERROR(__xludf.DUMMYFUNCTION("""COMPUTED_VALUE"""),"Martial Melee Weapons")</f>
        <v>Martial Melee Weapons</v>
      </c>
      <c r="C35" s="8" t="str">
        <f>IFERROR(__xludf.DUMMYFUNCTION("""COMPUTED_VALUE"""),"Battleaxe")</f>
        <v>Battleaxe</v>
      </c>
      <c r="D35" s="5">
        <f>IFERROR(__xludf.DUMMYFUNCTION("""COMPUTED_VALUE"""),4.0)</f>
        <v>4</v>
      </c>
      <c r="E35" s="6">
        <f>IFERROR(__xludf.DUMMYFUNCTION("""COMPUTED_VALUE"""),10.0)</f>
        <v>10</v>
      </c>
      <c r="F35" s="6">
        <f>IFERROR(__xludf.DUMMYFUNCTION("""COMPUTED_VALUE"""),7.5)</f>
        <v>7.5</v>
      </c>
      <c r="G35" s="6">
        <f>IFERROR(__xludf.DUMMYFUNCTION("""COMPUTED_VALUE"""),15.0)</f>
        <v>15</v>
      </c>
      <c r="H35" s="4" t="str">
        <f>IFERROR(__xludf.DUMMYFUNCTION("""COMPUTED_VALUE"""),"PHB 2024")</f>
        <v>PHB 2024</v>
      </c>
      <c r="I35" s="4" t="str">
        <f>IFERROR(__xludf.DUMMYFUNCTION("""COMPUTED_VALUE"""),"x")</f>
        <v>x</v>
      </c>
      <c r="J35" s="4" t="str">
        <f>IFERROR(__xludf.DUMMYFUNCTION("""COMPUTED_VALUE"""),"x")</f>
        <v>x</v>
      </c>
      <c r="K35" s="4" t="str">
        <f>IFERROR(__xludf.DUMMYFUNCTION("""COMPUTED_VALUE"""),"x")</f>
        <v>x</v>
      </c>
      <c r="L35" s="7" t="str">
        <f>IFERROR(__xludf.DUMMYFUNCTION("""COMPUTED_VALUE"""),"x")</f>
        <v>x</v>
      </c>
      <c r="M35" s="7"/>
      <c r="N35" s="7"/>
      <c r="O35" s="7"/>
      <c r="P35" s="7"/>
      <c r="Q35" s="4"/>
      <c r="R35" s="4"/>
      <c r="S35" s="7"/>
      <c r="T35" s="7"/>
      <c r="U35" s="7"/>
      <c r="V35" s="7"/>
      <c r="W35" s="7"/>
      <c r="X35" s="7"/>
      <c r="Y35" s="7"/>
    </row>
    <row r="36">
      <c r="A36" s="4" t="str">
        <f>IFERROR(__xludf.DUMMYFUNCTION("""COMPUTED_VALUE"""),"Weapons")</f>
        <v>Weapons</v>
      </c>
      <c r="B36" s="4" t="str">
        <f>IFERROR(__xludf.DUMMYFUNCTION("""COMPUTED_VALUE"""),"Martial Melee Weapons")</f>
        <v>Martial Melee Weapons</v>
      </c>
      <c r="C36" s="8" t="str">
        <f>IFERROR(__xludf.DUMMYFUNCTION("""COMPUTED_VALUE"""),"Flail")</f>
        <v>Flail</v>
      </c>
      <c r="D36" s="5">
        <f>IFERROR(__xludf.DUMMYFUNCTION("""COMPUTED_VALUE"""),2.0)</f>
        <v>2</v>
      </c>
      <c r="E36" s="6">
        <f>IFERROR(__xludf.DUMMYFUNCTION("""COMPUTED_VALUE"""),10.0)</f>
        <v>10</v>
      </c>
      <c r="F36" s="6">
        <f>IFERROR(__xludf.DUMMYFUNCTION("""COMPUTED_VALUE"""),7.5)</f>
        <v>7.5</v>
      </c>
      <c r="G36" s="6">
        <f>IFERROR(__xludf.DUMMYFUNCTION("""COMPUTED_VALUE"""),15.0)</f>
        <v>15</v>
      </c>
      <c r="H36" s="4" t="str">
        <f>IFERROR(__xludf.DUMMYFUNCTION("""COMPUTED_VALUE"""),"PHB 2024")</f>
        <v>PHB 2024</v>
      </c>
      <c r="I36" s="4"/>
      <c r="J36" s="4" t="str">
        <f>IFERROR(__xludf.DUMMYFUNCTION("""COMPUTED_VALUE"""),"x")</f>
        <v>x</v>
      </c>
      <c r="K36" s="4" t="str">
        <f>IFERROR(__xludf.DUMMYFUNCTION("""COMPUTED_VALUE"""),"x")</f>
        <v>x</v>
      </c>
      <c r="L36" s="7" t="str">
        <f>IFERROR(__xludf.DUMMYFUNCTION("""COMPUTED_VALUE"""),"x")</f>
        <v>x</v>
      </c>
      <c r="M36" s="7"/>
      <c r="N36" s="7"/>
      <c r="O36" s="7"/>
      <c r="P36" s="7"/>
      <c r="Q36" s="7"/>
      <c r="R36" s="4"/>
      <c r="S36" s="7"/>
      <c r="T36" s="4"/>
      <c r="U36" s="4"/>
      <c r="V36" s="7"/>
      <c r="W36" s="7"/>
      <c r="X36" s="7"/>
      <c r="Y36" s="7"/>
    </row>
    <row r="37">
      <c r="A37" s="4" t="str">
        <f>IFERROR(__xludf.DUMMYFUNCTION("""COMPUTED_VALUE"""),"Weapons")</f>
        <v>Weapons</v>
      </c>
      <c r="B37" s="4" t="str">
        <f>IFERROR(__xludf.DUMMYFUNCTION("""COMPUTED_VALUE"""),"Martial Melee Weapons")</f>
        <v>Martial Melee Weapons</v>
      </c>
      <c r="C37" s="8" t="str">
        <f>IFERROR(__xludf.DUMMYFUNCTION("""COMPUTED_VALUE"""),"Glaive")</f>
        <v>Glaive</v>
      </c>
      <c r="D37" s="5">
        <f>IFERROR(__xludf.DUMMYFUNCTION("""COMPUTED_VALUE"""),6.0)</f>
        <v>6</v>
      </c>
      <c r="E37" s="6">
        <f>IFERROR(__xludf.DUMMYFUNCTION("""COMPUTED_VALUE"""),20.0)</f>
        <v>20</v>
      </c>
      <c r="F37" s="6">
        <f>IFERROR(__xludf.DUMMYFUNCTION("""COMPUTED_VALUE"""),15.0)</f>
        <v>15</v>
      </c>
      <c r="G37" s="6">
        <f>IFERROR(__xludf.DUMMYFUNCTION("""COMPUTED_VALUE"""),30.0)</f>
        <v>30</v>
      </c>
      <c r="H37" s="4" t="str">
        <f>IFERROR(__xludf.DUMMYFUNCTION("""COMPUTED_VALUE"""),"PHB 2024")</f>
        <v>PHB 2024</v>
      </c>
      <c r="I37" s="4"/>
      <c r="J37" s="4" t="str">
        <f>IFERROR(__xludf.DUMMYFUNCTION("""COMPUTED_VALUE"""),"x")</f>
        <v>x</v>
      </c>
      <c r="K37" s="4" t="str">
        <f>IFERROR(__xludf.DUMMYFUNCTION("""COMPUTED_VALUE"""),"x")</f>
        <v>x</v>
      </c>
      <c r="L37" s="7" t="str">
        <f>IFERROR(__xludf.DUMMYFUNCTION("""COMPUTED_VALUE"""),"x")</f>
        <v>x</v>
      </c>
      <c r="M37" s="7"/>
      <c r="N37" s="7"/>
      <c r="O37" s="7"/>
      <c r="P37" s="7"/>
      <c r="Q37" s="7"/>
      <c r="R37" s="4"/>
      <c r="S37" s="7"/>
      <c r="T37" s="7"/>
      <c r="U37" s="7"/>
      <c r="V37" s="7"/>
      <c r="W37" s="4"/>
      <c r="X37" s="7"/>
      <c r="Y37" s="7"/>
    </row>
    <row r="38">
      <c r="A38" s="4" t="str">
        <f>IFERROR(__xludf.DUMMYFUNCTION("""COMPUTED_VALUE"""),"Weapons")</f>
        <v>Weapons</v>
      </c>
      <c r="B38" s="4" t="str">
        <f>IFERROR(__xludf.DUMMYFUNCTION("""COMPUTED_VALUE"""),"Martial Melee Weapons")</f>
        <v>Martial Melee Weapons</v>
      </c>
      <c r="C38" s="8" t="str">
        <f>IFERROR(__xludf.DUMMYFUNCTION("""COMPUTED_VALUE"""),"Greataxe")</f>
        <v>Greataxe</v>
      </c>
      <c r="D38" s="5">
        <f>IFERROR(__xludf.DUMMYFUNCTION("""COMPUTED_VALUE"""),7.0)</f>
        <v>7</v>
      </c>
      <c r="E38" s="6">
        <f>IFERROR(__xludf.DUMMYFUNCTION("""COMPUTED_VALUE"""),30.0)</f>
        <v>30</v>
      </c>
      <c r="F38" s="6">
        <f>IFERROR(__xludf.DUMMYFUNCTION("""COMPUTED_VALUE"""),22.5)</f>
        <v>22.5</v>
      </c>
      <c r="G38" s="6">
        <f>IFERROR(__xludf.DUMMYFUNCTION("""COMPUTED_VALUE"""),45.0)</f>
        <v>45</v>
      </c>
      <c r="H38" s="4" t="str">
        <f>IFERROR(__xludf.DUMMYFUNCTION("""COMPUTED_VALUE"""),"PHB 2024")</f>
        <v>PHB 2024</v>
      </c>
      <c r="I38" s="4" t="str">
        <f>IFERROR(__xludf.DUMMYFUNCTION("""COMPUTED_VALUE"""),"x")</f>
        <v>x</v>
      </c>
      <c r="J38" s="4" t="str">
        <f>IFERROR(__xludf.DUMMYFUNCTION("""COMPUTED_VALUE"""),"x")</f>
        <v>x</v>
      </c>
      <c r="K38" s="4" t="str">
        <f>IFERROR(__xludf.DUMMYFUNCTION("""COMPUTED_VALUE"""),"x")</f>
        <v>x</v>
      </c>
      <c r="L38" s="4" t="str">
        <f>IFERROR(__xludf.DUMMYFUNCTION("""COMPUTED_VALUE"""),"x")</f>
        <v>x</v>
      </c>
      <c r="M38" s="7"/>
      <c r="N38" s="7"/>
      <c r="O38" s="7"/>
      <c r="P38" s="7"/>
      <c r="Q38" s="4"/>
      <c r="R38" s="7"/>
      <c r="S38" s="7"/>
      <c r="T38" s="7"/>
      <c r="U38" s="7"/>
      <c r="V38" s="7"/>
      <c r="W38" s="4"/>
      <c r="X38" s="7"/>
      <c r="Y38" s="7"/>
    </row>
    <row r="39">
      <c r="A39" s="4" t="str">
        <f>IFERROR(__xludf.DUMMYFUNCTION("""COMPUTED_VALUE"""),"Weapons")</f>
        <v>Weapons</v>
      </c>
      <c r="B39" s="4" t="str">
        <f>IFERROR(__xludf.DUMMYFUNCTION("""COMPUTED_VALUE"""),"Martial Melee Weapons")</f>
        <v>Martial Melee Weapons</v>
      </c>
      <c r="C39" s="8" t="str">
        <f>IFERROR(__xludf.DUMMYFUNCTION("""COMPUTED_VALUE"""),"Greatsword")</f>
        <v>Greatsword</v>
      </c>
      <c r="D39" s="5">
        <f>IFERROR(__xludf.DUMMYFUNCTION("""COMPUTED_VALUE"""),6.0)</f>
        <v>6</v>
      </c>
      <c r="E39" s="6">
        <f>IFERROR(__xludf.DUMMYFUNCTION("""COMPUTED_VALUE"""),50.0)</f>
        <v>50</v>
      </c>
      <c r="F39" s="6">
        <f>IFERROR(__xludf.DUMMYFUNCTION("""COMPUTED_VALUE"""),37.5)</f>
        <v>37.5</v>
      </c>
      <c r="G39" s="6">
        <f>IFERROR(__xludf.DUMMYFUNCTION("""COMPUTED_VALUE"""),75.0)</f>
        <v>75</v>
      </c>
      <c r="H39" s="4" t="str">
        <f>IFERROR(__xludf.DUMMYFUNCTION("""COMPUTED_VALUE"""),"PHB 2024")</f>
        <v>PHB 2024</v>
      </c>
      <c r="I39" s="4" t="str">
        <f>IFERROR(__xludf.DUMMYFUNCTION("""COMPUTED_VALUE"""),"x")</f>
        <v>x</v>
      </c>
      <c r="J39" s="4" t="str">
        <f>IFERROR(__xludf.DUMMYFUNCTION("""COMPUTED_VALUE"""),"x")</f>
        <v>x</v>
      </c>
      <c r="K39" s="4" t="str">
        <f>IFERROR(__xludf.DUMMYFUNCTION("""COMPUTED_VALUE"""),"x")</f>
        <v>x</v>
      </c>
      <c r="L39" s="7" t="str">
        <f>IFERROR(__xludf.DUMMYFUNCTION("""COMPUTED_VALUE"""),"x")</f>
        <v>x</v>
      </c>
      <c r="M39" s="7"/>
      <c r="N39" s="7"/>
      <c r="O39" s="4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4" t="str">
        <f>IFERROR(__xludf.DUMMYFUNCTION("""COMPUTED_VALUE"""),"Weapons")</f>
        <v>Weapons</v>
      </c>
      <c r="B40" s="8" t="str">
        <f>IFERROR(__xludf.DUMMYFUNCTION("""COMPUTED_VALUE"""),"Martial Melee Weapons")</f>
        <v>Martial Melee Weapons</v>
      </c>
      <c r="C40" s="8" t="str">
        <f>IFERROR(__xludf.DUMMYFUNCTION("""COMPUTED_VALUE"""),"Halberd")</f>
        <v>Halberd</v>
      </c>
      <c r="D40" s="5">
        <f>IFERROR(__xludf.DUMMYFUNCTION("""COMPUTED_VALUE"""),6.0)</f>
        <v>6</v>
      </c>
      <c r="E40" s="6">
        <f>IFERROR(__xludf.DUMMYFUNCTION("""COMPUTED_VALUE"""),20.0)</f>
        <v>20</v>
      </c>
      <c r="F40" s="6">
        <f>IFERROR(__xludf.DUMMYFUNCTION("""COMPUTED_VALUE"""),15.0)</f>
        <v>15</v>
      </c>
      <c r="G40" s="6">
        <f>IFERROR(__xludf.DUMMYFUNCTION("""COMPUTED_VALUE"""),30.0)</f>
        <v>30</v>
      </c>
      <c r="H40" s="4" t="str">
        <f>IFERROR(__xludf.DUMMYFUNCTION("""COMPUTED_VALUE"""),"PHB 2024")</f>
        <v>PHB 2024</v>
      </c>
      <c r="I40" s="4"/>
      <c r="J40" s="4" t="str">
        <f>IFERROR(__xludf.DUMMYFUNCTION("""COMPUTED_VALUE"""),"x")</f>
        <v>x</v>
      </c>
      <c r="K40" s="4" t="str">
        <f>IFERROR(__xludf.DUMMYFUNCTION("""COMPUTED_VALUE"""),"x")</f>
        <v>x</v>
      </c>
      <c r="L40" s="7" t="str">
        <f>IFERROR(__xludf.DUMMYFUNCTION("""COMPUTED_VALUE"""),"x")</f>
        <v>x</v>
      </c>
      <c r="M40" s="7"/>
      <c r="N40" s="7"/>
      <c r="O40" s="7"/>
      <c r="P40" s="7"/>
      <c r="Q40" s="7"/>
      <c r="R40" s="7"/>
      <c r="S40" s="7"/>
      <c r="T40" s="7"/>
      <c r="U40" s="4"/>
      <c r="V40" s="7"/>
      <c r="W40" s="7"/>
      <c r="X40" s="7"/>
      <c r="Y40" s="7"/>
    </row>
    <row r="41">
      <c r="A41" s="4" t="str">
        <f>IFERROR(__xludf.DUMMYFUNCTION("""COMPUTED_VALUE"""),"Weapons")</f>
        <v>Weapons</v>
      </c>
      <c r="B41" s="8" t="str">
        <f>IFERROR(__xludf.DUMMYFUNCTION("""COMPUTED_VALUE"""),"Martial Melee Weapons")</f>
        <v>Martial Melee Weapons</v>
      </c>
      <c r="C41" s="8" t="str">
        <f>IFERROR(__xludf.DUMMYFUNCTION("""COMPUTED_VALUE"""),"Lance")</f>
        <v>Lance</v>
      </c>
      <c r="D41" s="5">
        <f>IFERROR(__xludf.DUMMYFUNCTION("""COMPUTED_VALUE"""),6.0)</f>
        <v>6</v>
      </c>
      <c r="E41" s="6">
        <f>IFERROR(__xludf.DUMMYFUNCTION("""COMPUTED_VALUE"""),10.0)</f>
        <v>10</v>
      </c>
      <c r="F41" s="6">
        <f>IFERROR(__xludf.DUMMYFUNCTION("""COMPUTED_VALUE"""),7.5)</f>
        <v>7.5</v>
      </c>
      <c r="G41" s="6">
        <f>IFERROR(__xludf.DUMMYFUNCTION("""COMPUTED_VALUE"""),15.0)</f>
        <v>15</v>
      </c>
      <c r="H41" s="4" t="str">
        <f>IFERROR(__xludf.DUMMYFUNCTION("""COMPUTED_VALUE"""),"PHB 2024")</f>
        <v>PHB 2024</v>
      </c>
      <c r="I41" s="4"/>
      <c r="J41" s="4"/>
      <c r="K41" s="4" t="str">
        <f>IFERROR(__xludf.DUMMYFUNCTION("""COMPUTED_VALUE"""),"x")</f>
        <v>x</v>
      </c>
      <c r="L41" s="7" t="str">
        <f>IFERROR(__xludf.DUMMYFUNCTION("""COMPUTED_VALUE"""),"x")</f>
        <v>x</v>
      </c>
      <c r="M41" s="7"/>
      <c r="N41" s="7"/>
      <c r="O41" s="7"/>
      <c r="P41" s="7"/>
      <c r="Q41" s="7"/>
      <c r="R41" s="7"/>
      <c r="S41" s="7"/>
      <c r="T41" s="7"/>
      <c r="U41" s="4"/>
      <c r="V41" s="7"/>
      <c r="W41" s="7"/>
      <c r="X41" s="7"/>
      <c r="Y41" s="7"/>
    </row>
    <row r="42">
      <c r="A42" s="4" t="str">
        <f>IFERROR(__xludf.DUMMYFUNCTION("""COMPUTED_VALUE"""),"Weapons")</f>
        <v>Weapons</v>
      </c>
      <c r="B42" s="8" t="str">
        <f>IFERROR(__xludf.DUMMYFUNCTION("""COMPUTED_VALUE"""),"Martial Melee Weapons")</f>
        <v>Martial Melee Weapons</v>
      </c>
      <c r="C42" s="8" t="str">
        <f>IFERROR(__xludf.DUMMYFUNCTION("""COMPUTED_VALUE"""),"Longsword")</f>
        <v>Longsword</v>
      </c>
      <c r="D42" s="5">
        <f>IFERROR(__xludf.DUMMYFUNCTION("""COMPUTED_VALUE"""),3.0)</f>
        <v>3</v>
      </c>
      <c r="E42" s="6">
        <f>IFERROR(__xludf.DUMMYFUNCTION("""COMPUTED_VALUE"""),15.0)</f>
        <v>15</v>
      </c>
      <c r="F42" s="6">
        <f>IFERROR(__xludf.DUMMYFUNCTION("""COMPUTED_VALUE"""),11.25)</f>
        <v>11.25</v>
      </c>
      <c r="G42" s="6">
        <f>IFERROR(__xludf.DUMMYFUNCTION("""COMPUTED_VALUE"""),22.5)</f>
        <v>22.5</v>
      </c>
      <c r="H42" s="4" t="str">
        <f>IFERROR(__xludf.DUMMYFUNCTION("""COMPUTED_VALUE"""),"PHB 2024")</f>
        <v>PHB 2024</v>
      </c>
      <c r="I42" s="4" t="str">
        <f>IFERROR(__xludf.DUMMYFUNCTION("""COMPUTED_VALUE"""),"x")</f>
        <v>x</v>
      </c>
      <c r="J42" s="4" t="str">
        <f>IFERROR(__xludf.DUMMYFUNCTION("""COMPUTED_VALUE"""),"x")</f>
        <v>x</v>
      </c>
      <c r="K42" s="4" t="str">
        <f>IFERROR(__xludf.DUMMYFUNCTION("""COMPUTED_VALUE"""),"x")</f>
        <v>x</v>
      </c>
      <c r="L42" s="7" t="str">
        <f>IFERROR(__xludf.DUMMYFUNCTION("""COMPUTED_VALUE"""),"x")</f>
        <v>x</v>
      </c>
      <c r="M42" s="7"/>
      <c r="N42" s="7"/>
      <c r="O42" s="7"/>
      <c r="P42" s="7"/>
      <c r="Q42" s="7"/>
      <c r="R42" s="7"/>
      <c r="S42" s="7"/>
      <c r="T42" s="7"/>
      <c r="U42" s="4"/>
      <c r="V42" s="7"/>
      <c r="W42" s="7"/>
      <c r="X42" s="7"/>
      <c r="Y42" s="7"/>
    </row>
    <row r="43">
      <c r="A43" s="4" t="str">
        <f>IFERROR(__xludf.DUMMYFUNCTION("""COMPUTED_VALUE"""),"Weapons")</f>
        <v>Weapons</v>
      </c>
      <c r="B43" s="4" t="str">
        <f>IFERROR(__xludf.DUMMYFUNCTION("""COMPUTED_VALUE"""),"Martial Melee Weapons")</f>
        <v>Martial Melee Weapons</v>
      </c>
      <c r="C43" s="8" t="str">
        <f>IFERROR(__xludf.DUMMYFUNCTION("""COMPUTED_VALUE"""),"Maul")</f>
        <v>Maul</v>
      </c>
      <c r="D43" s="5">
        <f>IFERROR(__xludf.DUMMYFUNCTION("""COMPUTED_VALUE"""),10.0)</f>
        <v>10</v>
      </c>
      <c r="E43" s="6">
        <f>IFERROR(__xludf.DUMMYFUNCTION("""COMPUTED_VALUE"""),10.0)</f>
        <v>10</v>
      </c>
      <c r="F43" s="6">
        <f>IFERROR(__xludf.DUMMYFUNCTION("""COMPUTED_VALUE"""),7.5)</f>
        <v>7.5</v>
      </c>
      <c r="G43" s="6">
        <f>IFERROR(__xludf.DUMMYFUNCTION("""COMPUTED_VALUE"""),15.0)</f>
        <v>15</v>
      </c>
      <c r="H43" s="4" t="str">
        <f>IFERROR(__xludf.DUMMYFUNCTION("""COMPUTED_VALUE"""),"PHB 2024")</f>
        <v>PHB 2024</v>
      </c>
      <c r="I43" s="4"/>
      <c r="J43" s="4" t="str">
        <f>IFERROR(__xludf.DUMMYFUNCTION("""COMPUTED_VALUE"""),"x")</f>
        <v>x</v>
      </c>
      <c r="K43" s="4" t="str">
        <f>IFERROR(__xludf.DUMMYFUNCTION("""COMPUTED_VALUE"""),"x")</f>
        <v>x</v>
      </c>
      <c r="L43" s="7" t="str">
        <f>IFERROR(__xludf.DUMMYFUNCTION("""COMPUTED_VALUE"""),"x")</f>
        <v>x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4" t="str">
        <f>IFERROR(__xludf.DUMMYFUNCTION("""COMPUTED_VALUE"""),"Weapons")</f>
        <v>Weapons</v>
      </c>
      <c r="B44" s="4" t="str">
        <f>IFERROR(__xludf.DUMMYFUNCTION("""COMPUTED_VALUE"""),"Martial Melee Weapons")</f>
        <v>Martial Melee Weapons</v>
      </c>
      <c r="C44" s="8" t="str">
        <f>IFERROR(__xludf.DUMMYFUNCTION("""COMPUTED_VALUE"""),"Morningstar")</f>
        <v>Morningstar</v>
      </c>
      <c r="D44" s="5">
        <f>IFERROR(__xludf.DUMMYFUNCTION("""COMPUTED_VALUE"""),4.0)</f>
        <v>4</v>
      </c>
      <c r="E44" s="6">
        <f>IFERROR(__xludf.DUMMYFUNCTION("""COMPUTED_VALUE"""),15.0)</f>
        <v>15</v>
      </c>
      <c r="F44" s="6">
        <f>IFERROR(__xludf.DUMMYFUNCTION("""COMPUTED_VALUE"""),11.25)</f>
        <v>11.25</v>
      </c>
      <c r="G44" s="6">
        <f>IFERROR(__xludf.DUMMYFUNCTION("""COMPUTED_VALUE"""),22.5)</f>
        <v>22.5</v>
      </c>
      <c r="H44" s="4" t="str">
        <f>IFERROR(__xludf.DUMMYFUNCTION("""COMPUTED_VALUE"""),"PHB 2024")</f>
        <v>PHB 2024</v>
      </c>
      <c r="I44" s="4"/>
      <c r="J44" s="4" t="str">
        <f>IFERROR(__xludf.DUMMYFUNCTION("""COMPUTED_VALUE"""),"x")</f>
        <v>x</v>
      </c>
      <c r="K44" s="4" t="str">
        <f>IFERROR(__xludf.DUMMYFUNCTION("""COMPUTED_VALUE"""),"x")</f>
        <v>x</v>
      </c>
      <c r="L44" s="7" t="str">
        <f>IFERROR(__xludf.DUMMYFUNCTION("""COMPUTED_VALUE"""),"x")</f>
        <v>x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4" t="str">
        <f>IFERROR(__xludf.DUMMYFUNCTION("""COMPUTED_VALUE"""),"Weapons")</f>
        <v>Weapons</v>
      </c>
      <c r="B45" s="4" t="str">
        <f>IFERROR(__xludf.DUMMYFUNCTION("""COMPUTED_VALUE"""),"Martial Melee Weapons")</f>
        <v>Martial Melee Weapons</v>
      </c>
      <c r="C45" s="8" t="str">
        <f>IFERROR(__xludf.DUMMYFUNCTION("""COMPUTED_VALUE"""),"Pike")</f>
        <v>Pike</v>
      </c>
      <c r="D45" s="5">
        <f>IFERROR(__xludf.DUMMYFUNCTION("""COMPUTED_VALUE"""),18.0)</f>
        <v>18</v>
      </c>
      <c r="E45" s="6">
        <f>IFERROR(__xludf.DUMMYFUNCTION("""COMPUTED_VALUE"""),5.0)</f>
        <v>5</v>
      </c>
      <c r="F45" s="6">
        <f>IFERROR(__xludf.DUMMYFUNCTION("""COMPUTED_VALUE"""),3.75)</f>
        <v>3.75</v>
      </c>
      <c r="G45" s="6">
        <f>IFERROR(__xludf.DUMMYFUNCTION("""COMPUTED_VALUE"""),7.5)</f>
        <v>7.5</v>
      </c>
      <c r="H45" s="4" t="str">
        <f>IFERROR(__xludf.DUMMYFUNCTION("""COMPUTED_VALUE"""),"PHB 2024")</f>
        <v>PHB 2024</v>
      </c>
      <c r="I45" s="4" t="str">
        <f>IFERROR(__xludf.DUMMYFUNCTION("""COMPUTED_VALUE"""),"x")</f>
        <v>x</v>
      </c>
      <c r="J45" s="4" t="str">
        <f>IFERROR(__xludf.DUMMYFUNCTION("""COMPUTED_VALUE"""),"x")</f>
        <v>x</v>
      </c>
      <c r="K45" s="4" t="str">
        <f>IFERROR(__xludf.DUMMYFUNCTION("""COMPUTED_VALUE"""),"x")</f>
        <v>x</v>
      </c>
      <c r="L45" s="7" t="str">
        <f>IFERROR(__xludf.DUMMYFUNCTION("""COMPUTED_VALUE"""),"x")</f>
        <v>x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4" t="str">
        <f>IFERROR(__xludf.DUMMYFUNCTION("""COMPUTED_VALUE"""),"Weapons")</f>
        <v>Weapons</v>
      </c>
      <c r="B46" s="4" t="str">
        <f>IFERROR(__xludf.DUMMYFUNCTION("""COMPUTED_VALUE"""),"Martial Melee Weapons")</f>
        <v>Martial Melee Weapons</v>
      </c>
      <c r="C46" s="8" t="str">
        <f>IFERROR(__xludf.DUMMYFUNCTION("""COMPUTED_VALUE"""),"Rapier")</f>
        <v>Rapier</v>
      </c>
      <c r="D46" s="5">
        <f>IFERROR(__xludf.DUMMYFUNCTION("""COMPUTED_VALUE"""),2.0)</f>
        <v>2</v>
      </c>
      <c r="E46" s="6">
        <f>IFERROR(__xludf.DUMMYFUNCTION("""COMPUTED_VALUE"""),25.0)</f>
        <v>25</v>
      </c>
      <c r="F46" s="6">
        <f>IFERROR(__xludf.DUMMYFUNCTION("""COMPUTED_VALUE"""),18.75)</f>
        <v>18.75</v>
      </c>
      <c r="G46" s="6">
        <f>IFERROR(__xludf.DUMMYFUNCTION("""COMPUTED_VALUE"""),37.5)</f>
        <v>37.5</v>
      </c>
      <c r="H46" s="4" t="str">
        <f>IFERROR(__xludf.DUMMYFUNCTION("""COMPUTED_VALUE"""),"PHB 2024")</f>
        <v>PHB 2024</v>
      </c>
      <c r="I46" s="4" t="str">
        <f>IFERROR(__xludf.DUMMYFUNCTION("""COMPUTED_VALUE"""),"x")</f>
        <v>x</v>
      </c>
      <c r="J46" s="4" t="str">
        <f>IFERROR(__xludf.DUMMYFUNCTION("""COMPUTED_VALUE"""),"x")</f>
        <v>x</v>
      </c>
      <c r="K46" s="4" t="str">
        <f>IFERROR(__xludf.DUMMYFUNCTION("""COMPUTED_VALUE"""),"x")</f>
        <v>x</v>
      </c>
      <c r="L46" s="7" t="str">
        <f>IFERROR(__xludf.DUMMYFUNCTION("""COMPUTED_VALUE"""),"x")</f>
        <v>x</v>
      </c>
      <c r="M46" s="7"/>
      <c r="N46" s="7"/>
      <c r="O46" s="4"/>
      <c r="P46" s="4"/>
      <c r="Q46" s="4"/>
      <c r="R46" s="7"/>
      <c r="S46" s="7"/>
      <c r="T46" s="4"/>
      <c r="U46" s="7"/>
      <c r="V46" s="7"/>
      <c r="W46" s="7" t="str">
        <f>IFERROR(__xludf.DUMMYFUNCTION("""COMPUTED_VALUE"""),"x")</f>
        <v>x</v>
      </c>
      <c r="X46" s="7"/>
      <c r="Y46" s="7"/>
    </row>
    <row r="47">
      <c r="A47" s="4" t="str">
        <f>IFERROR(__xludf.DUMMYFUNCTION("""COMPUTED_VALUE"""),"Weapons")</f>
        <v>Weapons</v>
      </c>
      <c r="B47" s="4" t="str">
        <f>IFERROR(__xludf.DUMMYFUNCTION("""COMPUTED_VALUE"""),"Martial Melee Weapons")</f>
        <v>Martial Melee Weapons</v>
      </c>
      <c r="C47" s="8" t="str">
        <f>IFERROR(__xludf.DUMMYFUNCTION("""COMPUTED_VALUE"""),"Scimitar")</f>
        <v>Scimitar</v>
      </c>
      <c r="D47" s="5">
        <f>IFERROR(__xludf.DUMMYFUNCTION("""COMPUTED_VALUE"""),3.0)</f>
        <v>3</v>
      </c>
      <c r="E47" s="6">
        <f>IFERROR(__xludf.DUMMYFUNCTION("""COMPUTED_VALUE"""),25.0)</f>
        <v>25</v>
      </c>
      <c r="F47" s="6">
        <f>IFERROR(__xludf.DUMMYFUNCTION("""COMPUTED_VALUE"""),18.75)</f>
        <v>18.75</v>
      </c>
      <c r="G47" s="6">
        <f>IFERROR(__xludf.DUMMYFUNCTION("""COMPUTED_VALUE"""),37.5)</f>
        <v>37.5</v>
      </c>
      <c r="H47" s="4" t="str">
        <f>IFERROR(__xludf.DUMMYFUNCTION("""COMPUTED_VALUE"""),"PHB 2024")</f>
        <v>PHB 2024</v>
      </c>
      <c r="I47" s="4"/>
      <c r="J47" s="4" t="str">
        <f>IFERROR(__xludf.DUMMYFUNCTION("""COMPUTED_VALUE"""),"x")</f>
        <v>x</v>
      </c>
      <c r="K47" s="4" t="str">
        <f>IFERROR(__xludf.DUMMYFUNCTION("""COMPUTED_VALUE"""),"x")</f>
        <v>x</v>
      </c>
      <c r="L47" s="4" t="str">
        <f>IFERROR(__xludf.DUMMYFUNCTION("""COMPUTED_VALUE"""),"x")</f>
        <v>x</v>
      </c>
      <c r="M47" s="7"/>
      <c r="N47" s="7"/>
      <c r="O47" s="7"/>
      <c r="P47" s="7"/>
      <c r="Q47" s="4"/>
      <c r="R47" s="7"/>
      <c r="S47" s="7"/>
      <c r="T47" s="7"/>
      <c r="U47" s="7"/>
      <c r="V47" s="7"/>
      <c r="W47" s="4"/>
      <c r="X47" s="7"/>
      <c r="Y47" s="7"/>
    </row>
    <row r="48">
      <c r="A48" s="4" t="str">
        <f>IFERROR(__xludf.DUMMYFUNCTION("""COMPUTED_VALUE"""),"Weapons")</f>
        <v>Weapons</v>
      </c>
      <c r="B48" s="4" t="str">
        <f>IFERROR(__xludf.DUMMYFUNCTION("""COMPUTED_VALUE"""),"Martial Melee Weapons")</f>
        <v>Martial Melee Weapons</v>
      </c>
      <c r="C48" s="8" t="str">
        <f>IFERROR(__xludf.DUMMYFUNCTION("""COMPUTED_VALUE"""),"Shortsword")</f>
        <v>Shortsword</v>
      </c>
      <c r="D48" s="5">
        <f>IFERROR(__xludf.DUMMYFUNCTION("""COMPUTED_VALUE"""),2.0)</f>
        <v>2</v>
      </c>
      <c r="E48" s="6">
        <f>IFERROR(__xludf.DUMMYFUNCTION("""COMPUTED_VALUE"""),10.0)</f>
        <v>10</v>
      </c>
      <c r="F48" s="6">
        <f>IFERROR(__xludf.DUMMYFUNCTION("""COMPUTED_VALUE"""),7.5)</f>
        <v>7.5</v>
      </c>
      <c r="G48" s="6">
        <f>IFERROR(__xludf.DUMMYFUNCTION("""COMPUTED_VALUE"""),15.0)</f>
        <v>15</v>
      </c>
      <c r="H48" s="4" t="str">
        <f>IFERROR(__xludf.DUMMYFUNCTION("""COMPUTED_VALUE"""),"PHB 2024")</f>
        <v>PHB 2024</v>
      </c>
      <c r="I48" s="4" t="str">
        <f>IFERROR(__xludf.DUMMYFUNCTION("""COMPUTED_VALUE"""),"x")</f>
        <v>x</v>
      </c>
      <c r="J48" s="4" t="str">
        <f>IFERROR(__xludf.DUMMYFUNCTION("""COMPUTED_VALUE"""),"x")</f>
        <v>x</v>
      </c>
      <c r="K48" s="4" t="str">
        <f>IFERROR(__xludf.DUMMYFUNCTION("""COMPUTED_VALUE"""),"x")</f>
        <v>x</v>
      </c>
      <c r="L48" s="7" t="str">
        <f>IFERROR(__xludf.DUMMYFUNCTION("""COMPUTED_VALUE"""),"x")</f>
        <v>x</v>
      </c>
      <c r="M48" s="7"/>
      <c r="N48" s="7"/>
      <c r="O48" s="4"/>
      <c r="P48" s="7"/>
      <c r="Q48" s="4"/>
      <c r="R48" s="7"/>
      <c r="S48" s="7"/>
      <c r="T48" s="7"/>
      <c r="U48" s="7"/>
      <c r="V48" s="7"/>
      <c r="W48" s="7" t="str">
        <f>IFERROR(__xludf.DUMMYFUNCTION("""COMPUTED_VALUE"""),"x")</f>
        <v>x</v>
      </c>
      <c r="X48" s="7"/>
      <c r="Y48" s="7"/>
    </row>
    <row r="49">
      <c r="A49" s="4" t="str">
        <f>IFERROR(__xludf.DUMMYFUNCTION("""COMPUTED_VALUE"""),"Weapons")</f>
        <v>Weapons</v>
      </c>
      <c r="B49" s="4" t="str">
        <f>IFERROR(__xludf.DUMMYFUNCTION("""COMPUTED_VALUE"""),"Martial Melee Weapons")</f>
        <v>Martial Melee Weapons</v>
      </c>
      <c r="C49" s="8" t="str">
        <f>IFERROR(__xludf.DUMMYFUNCTION("""COMPUTED_VALUE"""),"Trident")</f>
        <v>Trident</v>
      </c>
      <c r="D49" s="5">
        <f>IFERROR(__xludf.DUMMYFUNCTION("""COMPUTED_VALUE"""),4.0)</f>
        <v>4</v>
      </c>
      <c r="E49" s="6">
        <f>IFERROR(__xludf.DUMMYFUNCTION("""COMPUTED_VALUE"""),5.0)</f>
        <v>5</v>
      </c>
      <c r="F49" s="6">
        <f>IFERROR(__xludf.DUMMYFUNCTION("""COMPUTED_VALUE"""),3.75)</f>
        <v>3.75</v>
      </c>
      <c r="G49" s="6">
        <f>IFERROR(__xludf.DUMMYFUNCTION("""COMPUTED_VALUE"""),7.5)</f>
        <v>7.5</v>
      </c>
      <c r="H49" s="4" t="str">
        <f>IFERROR(__xludf.DUMMYFUNCTION("""COMPUTED_VALUE"""),"PHB 2024")</f>
        <v>PHB 2024</v>
      </c>
      <c r="I49" s="4"/>
      <c r="J49" s="4"/>
      <c r="K49" s="4" t="str">
        <f>IFERROR(__xludf.DUMMYFUNCTION("""COMPUTED_VALUE"""),"x")</f>
        <v>x</v>
      </c>
      <c r="L49" s="7" t="str">
        <f>IFERROR(__xludf.DUMMYFUNCTION("""COMPUTED_VALUE"""),"x")</f>
        <v>x</v>
      </c>
      <c r="M49" s="7"/>
      <c r="N49" s="7"/>
      <c r="O49" s="4"/>
      <c r="P49" s="7"/>
      <c r="Q49" s="7"/>
      <c r="R49" s="7"/>
      <c r="S49" s="4"/>
      <c r="T49" s="7"/>
      <c r="U49" s="7"/>
      <c r="V49" s="7"/>
      <c r="W49" s="7"/>
      <c r="X49" s="7"/>
      <c r="Y49" s="7"/>
    </row>
    <row r="50">
      <c r="A50" s="4" t="str">
        <f>IFERROR(__xludf.DUMMYFUNCTION("""COMPUTED_VALUE"""),"Weapons")</f>
        <v>Weapons</v>
      </c>
      <c r="B50" s="4" t="str">
        <f>IFERROR(__xludf.DUMMYFUNCTION("""COMPUTED_VALUE"""),"Martial Melee Weapons")</f>
        <v>Martial Melee Weapons</v>
      </c>
      <c r="C50" s="8" t="str">
        <f>IFERROR(__xludf.DUMMYFUNCTION("""COMPUTED_VALUE"""),"Warhammer")</f>
        <v>Warhammer</v>
      </c>
      <c r="D50" s="5">
        <f>IFERROR(__xludf.DUMMYFUNCTION("""COMPUTED_VALUE"""),5.0)</f>
        <v>5</v>
      </c>
      <c r="E50" s="6">
        <f>IFERROR(__xludf.DUMMYFUNCTION("""COMPUTED_VALUE"""),15.0)</f>
        <v>15</v>
      </c>
      <c r="F50" s="6">
        <f>IFERROR(__xludf.DUMMYFUNCTION("""COMPUTED_VALUE"""),11.25)</f>
        <v>11.25</v>
      </c>
      <c r="G50" s="6">
        <f>IFERROR(__xludf.DUMMYFUNCTION("""COMPUTED_VALUE"""),22.5)</f>
        <v>22.5</v>
      </c>
      <c r="H50" s="4" t="str">
        <f>IFERROR(__xludf.DUMMYFUNCTION("""COMPUTED_VALUE"""),"PHB 2024")</f>
        <v>PHB 2024</v>
      </c>
      <c r="I50" s="4" t="str">
        <f>IFERROR(__xludf.DUMMYFUNCTION("""COMPUTED_VALUE"""),"x")</f>
        <v>x</v>
      </c>
      <c r="J50" s="4" t="str">
        <f>IFERROR(__xludf.DUMMYFUNCTION("""COMPUTED_VALUE"""),"x")</f>
        <v>x</v>
      </c>
      <c r="K50" s="4" t="str">
        <f>IFERROR(__xludf.DUMMYFUNCTION("""COMPUTED_VALUE"""),"x")</f>
        <v>x</v>
      </c>
      <c r="L50" s="7" t="str">
        <f>IFERROR(__xludf.DUMMYFUNCTION("""COMPUTED_VALUE"""),"x")</f>
        <v>x</v>
      </c>
      <c r="M50" s="7"/>
      <c r="N50" s="7"/>
      <c r="O50" s="4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4" t="str">
        <f>IFERROR(__xludf.DUMMYFUNCTION("""COMPUTED_VALUE"""),"Weapons")</f>
        <v>Weapons</v>
      </c>
      <c r="B51" s="4" t="str">
        <f>IFERROR(__xludf.DUMMYFUNCTION("""COMPUTED_VALUE"""),"Martial Melee Weapons")</f>
        <v>Martial Melee Weapons</v>
      </c>
      <c r="C51" s="8" t="str">
        <f>IFERROR(__xludf.DUMMYFUNCTION("""COMPUTED_VALUE"""),"War Pick")</f>
        <v>War Pick</v>
      </c>
      <c r="D51" s="5">
        <f>IFERROR(__xludf.DUMMYFUNCTION("""COMPUTED_VALUE"""),2.0)</f>
        <v>2</v>
      </c>
      <c r="E51" s="6">
        <f>IFERROR(__xludf.DUMMYFUNCTION("""COMPUTED_VALUE"""),5.0)</f>
        <v>5</v>
      </c>
      <c r="F51" s="6">
        <f>IFERROR(__xludf.DUMMYFUNCTION("""COMPUTED_VALUE"""),3.75)</f>
        <v>3.75</v>
      </c>
      <c r="G51" s="6">
        <f>IFERROR(__xludf.DUMMYFUNCTION("""COMPUTED_VALUE"""),7.5)</f>
        <v>7.5</v>
      </c>
      <c r="H51" s="4" t="str">
        <f>IFERROR(__xludf.DUMMYFUNCTION("""COMPUTED_VALUE"""),"PHB 2024")</f>
        <v>PHB 2024</v>
      </c>
      <c r="I51" s="4"/>
      <c r="J51" s="4" t="str">
        <f>IFERROR(__xludf.DUMMYFUNCTION("""COMPUTED_VALUE"""),"x")</f>
        <v>x</v>
      </c>
      <c r="K51" s="4" t="str">
        <f>IFERROR(__xludf.DUMMYFUNCTION("""COMPUTED_VALUE"""),"x")</f>
        <v>x</v>
      </c>
      <c r="L51" s="7" t="str">
        <f>IFERROR(__xludf.DUMMYFUNCTION("""COMPUTED_VALUE"""),"x")</f>
        <v>x</v>
      </c>
      <c r="M51" s="7"/>
      <c r="N51" s="7"/>
      <c r="O51" s="4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4"/>
      <c r="B52" s="4"/>
      <c r="C52" s="8"/>
      <c r="D52" s="5"/>
      <c r="E52" s="6"/>
      <c r="F52" s="6"/>
      <c r="G52" s="6"/>
      <c r="H52" s="4"/>
      <c r="I52" s="4"/>
      <c r="J52" s="4"/>
      <c r="K52" s="4"/>
      <c r="L52" s="7"/>
      <c r="M52" s="7"/>
      <c r="N52" s="7"/>
      <c r="O52" s="4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4"/>
      <c r="B53" s="4"/>
      <c r="C53" s="8"/>
      <c r="D53" s="5"/>
      <c r="E53" s="6"/>
      <c r="F53" s="6"/>
      <c r="G53" s="6"/>
      <c r="H53" s="4"/>
      <c r="I53" s="4"/>
      <c r="J53" s="4"/>
      <c r="K53" s="4"/>
      <c r="L53" s="4"/>
      <c r="M53" s="7"/>
      <c r="N53" s="7"/>
      <c r="O53" s="7"/>
      <c r="P53" s="7"/>
      <c r="Q53" s="4"/>
      <c r="R53" s="7"/>
      <c r="S53" s="7"/>
      <c r="T53" s="7"/>
      <c r="U53" s="7"/>
      <c r="V53" s="7"/>
      <c r="W53" s="7"/>
      <c r="X53" s="7"/>
      <c r="Y53" s="7"/>
    </row>
    <row r="54">
      <c r="A54" s="4"/>
      <c r="B54" s="4"/>
      <c r="C54" s="8"/>
      <c r="D54" s="5"/>
      <c r="E54" s="6"/>
      <c r="F54" s="6"/>
      <c r="G54" s="6"/>
      <c r="H54" s="4"/>
      <c r="I54" s="4"/>
      <c r="J54" s="4"/>
      <c r="K54" s="4"/>
      <c r="L54" s="7"/>
      <c r="M54" s="7"/>
      <c r="N54" s="7"/>
      <c r="O54" s="4"/>
      <c r="P54" s="4"/>
      <c r="Q54" s="4"/>
      <c r="R54" s="7"/>
      <c r="S54" s="7"/>
      <c r="T54" s="7"/>
      <c r="U54" s="4"/>
      <c r="V54" s="7"/>
      <c r="W54" s="4"/>
      <c r="X54" s="7"/>
      <c r="Y54" s="7"/>
    </row>
    <row r="55">
      <c r="A55" s="4"/>
      <c r="B55" s="4"/>
      <c r="C55" s="8"/>
      <c r="D55" s="5"/>
      <c r="E55" s="6"/>
      <c r="F55" s="6"/>
      <c r="G55" s="6"/>
      <c r="H55" s="4"/>
      <c r="I55" s="4"/>
      <c r="J55" s="4"/>
      <c r="K55" s="4"/>
      <c r="L55" s="7"/>
      <c r="M55" s="7"/>
      <c r="N55" s="7"/>
      <c r="O55" s="4"/>
      <c r="P55" s="4"/>
      <c r="Q55" s="4"/>
      <c r="R55" s="7"/>
      <c r="S55" s="7"/>
      <c r="T55" s="7"/>
      <c r="U55" s="4"/>
      <c r="V55" s="7"/>
      <c r="W55" s="4"/>
      <c r="X55" s="7"/>
      <c r="Y55" s="7"/>
    </row>
    <row r="56">
      <c r="A56" s="4"/>
      <c r="B56" s="4"/>
      <c r="C56" s="8"/>
      <c r="D56" s="5"/>
      <c r="E56" s="6"/>
      <c r="F56" s="6"/>
      <c r="G56" s="6"/>
      <c r="H56" s="4"/>
      <c r="I56" s="4"/>
      <c r="J56" s="4"/>
      <c r="K56" s="4"/>
      <c r="L56" s="7"/>
      <c r="M56" s="7"/>
      <c r="N56" s="7"/>
      <c r="O56" s="7"/>
      <c r="P56" s="4"/>
      <c r="Q56" s="4"/>
      <c r="R56" s="7"/>
      <c r="S56" s="7"/>
      <c r="T56" s="7"/>
      <c r="U56" s="7"/>
      <c r="V56" s="7"/>
      <c r="W56" s="7"/>
      <c r="X56" s="7"/>
      <c r="Y56" s="7"/>
    </row>
    <row r="57">
      <c r="A57" s="4"/>
      <c r="B57" s="4"/>
      <c r="C57" s="8"/>
      <c r="D57" s="5"/>
      <c r="E57" s="6"/>
      <c r="F57" s="6"/>
      <c r="G57" s="6"/>
      <c r="H57" s="4"/>
      <c r="I57" s="4"/>
      <c r="J57" s="4"/>
      <c r="K57" s="4"/>
      <c r="L57" s="7"/>
      <c r="M57" s="7"/>
      <c r="N57" s="7"/>
      <c r="O57" s="7"/>
      <c r="P57" s="4"/>
      <c r="Q57" s="4"/>
      <c r="R57" s="7"/>
      <c r="S57" s="7"/>
      <c r="T57" s="7"/>
      <c r="U57" s="7"/>
      <c r="V57" s="7"/>
      <c r="W57" s="7"/>
      <c r="X57" s="7"/>
      <c r="Y57" s="7"/>
    </row>
    <row r="58">
      <c r="A58" s="4"/>
      <c r="B58" s="4"/>
      <c r="C58" s="8"/>
      <c r="D58" s="5"/>
      <c r="E58" s="6"/>
      <c r="F58" s="6"/>
      <c r="G58" s="6"/>
      <c r="H58" s="4"/>
      <c r="I58" s="4"/>
      <c r="J58" s="4"/>
      <c r="K58" s="4"/>
      <c r="L58" s="4"/>
      <c r="M58" s="7"/>
      <c r="N58" s="7"/>
      <c r="O58" s="4"/>
      <c r="P58" s="4"/>
      <c r="Q58" s="7"/>
      <c r="R58" s="7"/>
      <c r="S58" s="7"/>
      <c r="T58" s="7"/>
      <c r="U58" s="7"/>
      <c r="V58" s="7"/>
      <c r="W58" s="7"/>
      <c r="X58" s="7"/>
      <c r="Y58" s="7"/>
    </row>
    <row r="59">
      <c r="A59" s="4"/>
      <c r="B59" s="4"/>
      <c r="C59" s="8"/>
      <c r="D59" s="5"/>
      <c r="E59" s="6"/>
      <c r="F59" s="6"/>
      <c r="G59" s="6"/>
      <c r="H59" s="4"/>
      <c r="I59" s="4"/>
      <c r="J59" s="4"/>
      <c r="K59" s="4"/>
      <c r="L59" s="4"/>
      <c r="M59" s="7"/>
      <c r="N59" s="7"/>
      <c r="O59" s="7"/>
      <c r="P59" s="7"/>
      <c r="Q59" s="4"/>
      <c r="R59" s="7"/>
      <c r="S59" s="7"/>
      <c r="T59" s="7"/>
      <c r="U59" s="7"/>
      <c r="V59" s="7"/>
      <c r="W59" s="4"/>
      <c r="X59" s="7"/>
      <c r="Y59" s="7"/>
    </row>
    <row r="60">
      <c r="A60" s="4"/>
      <c r="B60" s="4"/>
      <c r="C60" s="8"/>
      <c r="D60" s="5"/>
      <c r="E60" s="6"/>
      <c r="F60" s="6"/>
      <c r="G60" s="6"/>
      <c r="H60" s="4"/>
      <c r="I60" s="4"/>
      <c r="J60" s="4"/>
      <c r="K60" s="4"/>
      <c r="L60" s="4"/>
      <c r="M60" s="7"/>
      <c r="N60" s="7"/>
      <c r="O60" s="4"/>
      <c r="P60" s="4"/>
      <c r="Q60" s="4"/>
      <c r="R60" s="7"/>
      <c r="S60" s="7"/>
      <c r="T60" s="7"/>
      <c r="U60" s="7"/>
      <c r="V60" s="7"/>
      <c r="W60" s="7"/>
      <c r="X60" s="7"/>
      <c r="Y60" s="7"/>
    </row>
    <row r="61">
      <c r="A61" s="4"/>
      <c r="B61" s="4"/>
      <c r="C61" s="8"/>
      <c r="D61" s="5"/>
      <c r="E61" s="6"/>
      <c r="F61" s="6"/>
      <c r="G61" s="6"/>
      <c r="H61" s="4"/>
      <c r="I61" s="4"/>
      <c r="J61" s="4"/>
      <c r="K61" s="4"/>
      <c r="L61" s="4"/>
      <c r="M61" s="7"/>
      <c r="N61" s="7"/>
      <c r="O61" s="7"/>
      <c r="P61" s="4"/>
      <c r="Q61" s="4"/>
      <c r="R61" s="7"/>
      <c r="S61" s="7"/>
      <c r="T61" s="7"/>
      <c r="U61" s="7"/>
      <c r="V61" s="7"/>
      <c r="W61" s="4"/>
      <c r="X61" s="7"/>
      <c r="Y61" s="7"/>
    </row>
    <row r="62">
      <c r="A62" s="4"/>
      <c r="B62" s="4"/>
      <c r="C62" s="8"/>
      <c r="D62" s="5"/>
      <c r="E62" s="6"/>
      <c r="F62" s="6"/>
      <c r="G62" s="6"/>
      <c r="H62" s="4"/>
      <c r="I62" s="4"/>
      <c r="J62" s="4"/>
      <c r="K62" s="4"/>
      <c r="L62" s="7"/>
      <c r="M62" s="7"/>
      <c r="N62" s="7"/>
      <c r="O62" s="4"/>
      <c r="P62" s="7"/>
      <c r="Q62" s="7"/>
      <c r="R62" s="7"/>
      <c r="S62" s="4"/>
      <c r="T62" s="7"/>
      <c r="U62" s="7"/>
      <c r="V62" s="7"/>
      <c r="W62" s="7"/>
      <c r="X62" s="7"/>
      <c r="Y62" s="7"/>
    </row>
    <row r="63">
      <c r="A63" s="4"/>
      <c r="B63" s="4"/>
      <c r="C63" s="8"/>
      <c r="D63" s="5"/>
      <c r="E63" s="6"/>
      <c r="F63" s="6"/>
      <c r="G63" s="6"/>
      <c r="H63" s="4"/>
      <c r="I63" s="4"/>
      <c r="J63" s="4"/>
      <c r="K63" s="4"/>
      <c r="L63" s="4"/>
      <c r="M63" s="7"/>
      <c r="N63" s="7"/>
      <c r="O63" s="7"/>
      <c r="P63" s="7"/>
      <c r="Q63" s="7"/>
      <c r="R63" s="7"/>
      <c r="S63" s="7"/>
      <c r="T63" s="7"/>
      <c r="U63" s="7"/>
      <c r="V63" s="7"/>
      <c r="W63" s="4"/>
      <c r="X63" s="7"/>
      <c r="Y63" s="7"/>
    </row>
    <row r="64">
      <c r="A64" s="4"/>
      <c r="B64" s="4"/>
      <c r="C64" s="8"/>
      <c r="D64" s="5"/>
      <c r="E64" s="6"/>
      <c r="F64" s="6"/>
      <c r="G64" s="6"/>
      <c r="H64" s="4"/>
      <c r="I64" s="4"/>
      <c r="J64" s="4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4"/>
      <c r="B65" s="4"/>
      <c r="C65" s="8"/>
      <c r="D65" s="5"/>
      <c r="E65" s="6"/>
      <c r="F65" s="6"/>
      <c r="G65" s="6"/>
      <c r="H65" s="4"/>
      <c r="I65" s="4"/>
      <c r="J65" s="4"/>
      <c r="K65" s="4"/>
      <c r="L65" s="4"/>
      <c r="M65" s="7"/>
      <c r="N65" s="7"/>
      <c r="O65" s="7"/>
      <c r="P65" s="4"/>
      <c r="Q65" s="4"/>
      <c r="R65" s="7"/>
      <c r="S65" s="7"/>
      <c r="T65" s="7"/>
      <c r="U65" s="7"/>
      <c r="V65" s="7"/>
      <c r="W65" s="7"/>
      <c r="X65" s="7"/>
      <c r="Y65" s="7"/>
    </row>
    <row r="66">
      <c r="A66" s="4"/>
      <c r="B66" s="4"/>
      <c r="C66" s="8"/>
      <c r="D66" s="5"/>
      <c r="E66" s="6"/>
      <c r="F66" s="6"/>
      <c r="G66" s="6"/>
      <c r="H66" s="4"/>
      <c r="I66" s="4"/>
      <c r="J66" s="4"/>
      <c r="K66" s="4"/>
      <c r="L66" s="7"/>
      <c r="M66" s="7"/>
      <c r="N66" s="7"/>
      <c r="O66" s="7"/>
      <c r="P66" s="4"/>
      <c r="Q66" s="7"/>
      <c r="R66" s="7"/>
      <c r="S66" s="7"/>
      <c r="T66" s="7"/>
      <c r="U66" s="7"/>
      <c r="V66" s="7"/>
      <c r="W66" s="7"/>
      <c r="X66" s="7"/>
      <c r="Y66" s="7"/>
    </row>
    <row r="67">
      <c r="A67" s="4"/>
      <c r="B67" s="4"/>
      <c r="C67" s="8"/>
      <c r="D67" s="5"/>
      <c r="E67" s="6"/>
      <c r="F67" s="6"/>
      <c r="G67" s="6"/>
      <c r="H67" s="4"/>
      <c r="I67" s="4"/>
      <c r="J67" s="4"/>
      <c r="K67" s="4"/>
      <c r="L67" s="7"/>
      <c r="M67" s="7"/>
      <c r="N67" s="7"/>
      <c r="O67" s="4"/>
      <c r="P67" s="7"/>
      <c r="Q67" s="7"/>
      <c r="R67" s="7"/>
      <c r="S67" s="7"/>
      <c r="T67" s="4"/>
      <c r="U67" s="7"/>
      <c r="V67" s="7"/>
      <c r="W67" s="4"/>
      <c r="X67" s="7"/>
      <c r="Y67" s="7"/>
    </row>
    <row r="68">
      <c r="A68" s="4"/>
      <c r="B68" s="4"/>
      <c r="C68" s="8"/>
      <c r="D68" s="5"/>
      <c r="E68" s="6"/>
      <c r="F68" s="6"/>
      <c r="G68" s="6"/>
      <c r="H68" s="4"/>
      <c r="I68" s="4"/>
      <c r="J68" s="4"/>
      <c r="K68" s="4"/>
      <c r="L68" s="7"/>
      <c r="M68" s="7"/>
      <c r="N68" s="7"/>
      <c r="O68" s="4"/>
      <c r="P68" s="4"/>
      <c r="Q68" s="4"/>
      <c r="R68" s="7"/>
      <c r="S68" s="7"/>
      <c r="T68" s="7"/>
      <c r="U68" s="4"/>
      <c r="V68" s="7"/>
      <c r="W68" s="7"/>
      <c r="X68" s="7"/>
      <c r="Y68" s="7"/>
    </row>
    <row r="69">
      <c r="A69" s="4"/>
      <c r="B69" s="4"/>
      <c r="C69" s="8"/>
      <c r="D69" s="5"/>
      <c r="E69" s="6"/>
      <c r="F69" s="6"/>
      <c r="G69" s="6"/>
      <c r="H69" s="4"/>
      <c r="I69" s="4"/>
      <c r="J69" s="4"/>
      <c r="K69" s="4"/>
      <c r="L69" s="7"/>
      <c r="M69" s="7"/>
      <c r="N69" s="7"/>
      <c r="O69" s="4"/>
      <c r="P69" s="4"/>
      <c r="Q69" s="4"/>
      <c r="R69" s="7"/>
      <c r="S69" s="7"/>
      <c r="T69" s="7"/>
      <c r="U69" s="4"/>
      <c r="V69" s="7"/>
      <c r="W69" s="7"/>
      <c r="X69" s="7"/>
      <c r="Y69" s="7"/>
    </row>
    <row r="70">
      <c r="A70" s="4"/>
      <c r="B70" s="4"/>
      <c r="C70" s="8"/>
      <c r="D70" s="5"/>
      <c r="E70" s="6"/>
      <c r="F70" s="6"/>
      <c r="G70" s="6"/>
      <c r="H70" s="4"/>
      <c r="I70" s="4"/>
      <c r="J70" s="4"/>
      <c r="K70" s="4"/>
      <c r="L70" s="7"/>
      <c r="M70" s="7"/>
      <c r="N70" s="7"/>
      <c r="O70" s="4"/>
      <c r="P70" s="7"/>
      <c r="Q70" s="7"/>
      <c r="R70" s="7"/>
      <c r="S70" s="7"/>
      <c r="T70" s="4"/>
      <c r="U70" s="7"/>
      <c r="V70" s="7"/>
      <c r="W70" s="7"/>
      <c r="X70" s="7"/>
      <c r="Y70" s="7"/>
    </row>
    <row r="71">
      <c r="A71" s="4"/>
      <c r="B71" s="4"/>
      <c r="C71" s="8"/>
      <c r="D71" s="5"/>
      <c r="E71" s="6"/>
      <c r="F71" s="6"/>
      <c r="G71" s="6"/>
      <c r="H71" s="4"/>
      <c r="I71" s="4"/>
      <c r="J71" s="4"/>
      <c r="K71" s="4"/>
      <c r="L71" s="7"/>
      <c r="M71" s="7"/>
      <c r="N71" s="7"/>
      <c r="O71" s="7"/>
      <c r="P71" s="7"/>
      <c r="Q71" s="7"/>
      <c r="R71" s="7"/>
      <c r="S71" s="7"/>
      <c r="T71" s="4"/>
      <c r="U71" s="7"/>
      <c r="V71" s="7"/>
      <c r="W71" s="4"/>
      <c r="X71" s="7"/>
      <c r="Y71" s="7"/>
    </row>
    <row r="72">
      <c r="A72" s="4"/>
      <c r="B72" s="4"/>
      <c r="C72" s="8"/>
      <c r="D72" s="5"/>
      <c r="E72" s="6"/>
      <c r="F72" s="6"/>
      <c r="G72" s="6"/>
      <c r="H72" s="4"/>
      <c r="I72" s="4"/>
      <c r="J72" s="4"/>
      <c r="K72" s="4"/>
      <c r="L72" s="7"/>
      <c r="M72" s="7"/>
      <c r="N72" s="7"/>
      <c r="O72" s="7"/>
      <c r="P72" s="7"/>
      <c r="Q72" s="4"/>
      <c r="R72" s="7"/>
      <c r="S72" s="7"/>
      <c r="T72" s="7"/>
      <c r="U72" s="7"/>
      <c r="V72" s="7"/>
      <c r="W72" s="7"/>
      <c r="X72" s="7"/>
      <c r="Y72" s="7"/>
    </row>
    <row r="73">
      <c r="A73" s="4"/>
      <c r="B73" s="4"/>
      <c r="C73" s="8"/>
      <c r="D73" s="5"/>
      <c r="E73" s="6"/>
      <c r="F73" s="6"/>
      <c r="G73" s="6"/>
      <c r="H73" s="4"/>
      <c r="I73" s="4"/>
      <c r="J73" s="4"/>
      <c r="K73" s="4"/>
      <c r="L73" s="4"/>
      <c r="M73" s="7"/>
      <c r="N73" s="7"/>
      <c r="O73" s="7"/>
      <c r="P73" s="4"/>
      <c r="Q73" s="4"/>
      <c r="R73" s="7"/>
      <c r="S73" s="7"/>
      <c r="T73" s="7"/>
      <c r="U73" s="7"/>
      <c r="V73" s="7"/>
      <c r="W73" s="7"/>
      <c r="X73" s="7"/>
      <c r="Y73" s="7"/>
    </row>
    <row r="74">
      <c r="A74" s="4"/>
      <c r="B74" s="4"/>
      <c r="C74" s="8"/>
      <c r="D74" s="5"/>
      <c r="E74" s="6"/>
      <c r="F74" s="6"/>
      <c r="G74" s="6"/>
      <c r="H74" s="4"/>
      <c r="I74" s="4"/>
      <c r="J74" s="4"/>
      <c r="K74" s="4"/>
      <c r="L74" s="7"/>
      <c r="M74" s="7"/>
      <c r="N74" s="7"/>
      <c r="O74" s="4"/>
      <c r="P74" s="7"/>
      <c r="Q74" s="7"/>
      <c r="R74" s="7"/>
      <c r="S74" s="7"/>
      <c r="T74" s="4"/>
      <c r="U74" s="7"/>
      <c r="V74" s="7"/>
      <c r="W74" s="7"/>
      <c r="X74" s="7"/>
      <c r="Y74" s="7"/>
    </row>
    <row r="75">
      <c r="A75" s="4"/>
      <c r="B75" s="4"/>
      <c r="C75" s="8"/>
      <c r="D75" s="5"/>
      <c r="E75" s="6"/>
      <c r="F75" s="6"/>
      <c r="G75" s="6"/>
      <c r="H75" s="4"/>
      <c r="I75" s="4"/>
      <c r="J75" s="4"/>
      <c r="K75" s="4"/>
      <c r="L75" s="7"/>
      <c r="M75" s="7"/>
      <c r="N75" s="7"/>
      <c r="O75" s="7"/>
      <c r="P75" s="4"/>
      <c r="Q75" s="4"/>
      <c r="R75" s="4"/>
      <c r="S75" s="7"/>
      <c r="T75" s="4"/>
      <c r="U75" s="4"/>
      <c r="V75" s="7"/>
      <c r="W75" s="4"/>
      <c r="X75" s="4"/>
      <c r="Y75" s="4"/>
    </row>
    <row r="76">
      <c r="A76" s="4"/>
      <c r="B76" s="4"/>
      <c r="C76" s="8"/>
      <c r="D76" s="5"/>
      <c r="E76" s="6"/>
      <c r="F76" s="6"/>
      <c r="G76" s="6"/>
      <c r="H76" s="4"/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4"/>
      <c r="B77" s="4"/>
      <c r="C77" s="8"/>
      <c r="D77" s="5"/>
      <c r="E77" s="6"/>
      <c r="F77" s="6"/>
      <c r="G77" s="6"/>
      <c r="H77" s="4"/>
      <c r="I77" s="4"/>
      <c r="J77" s="4"/>
      <c r="K77" s="4"/>
      <c r="L77" s="7"/>
      <c r="M77" s="4"/>
      <c r="N77" s="7"/>
      <c r="O77" s="7"/>
      <c r="P77" s="7"/>
      <c r="Q77" s="4"/>
      <c r="R77" s="7"/>
      <c r="S77" s="7"/>
      <c r="T77" s="7"/>
      <c r="U77" s="7"/>
      <c r="V77" s="7"/>
      <c r="W77" s="7"/>
      <c r="X77" s="7"/>
      <c r="Y77" s="7"/>
    </row>
    <row r="78">
      <c r="A78" s="4"/>
      <c r="B78" s="4"/>
      <c r="C78" s="8"/>
      <c r="D78" s="5"/>
      <c r="E78" s="6"/>
      <c r="F78" s="6"/>
      <c r="G78" s="6"/>
      <c r="H78" s="4"/>
      <c r="I78" s="4"/>
      <c r="J78" s="4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"/>
      <c r="X78" s="7"/>
      <c r="Y78" s="7"/>
    </row>
    <row r="79">
      <c r="A79" s="4"/>
      <c r="B79" s="4"/>
      <c r="C79" s="8"/>
      <c r="D79" s="5"/>
      <c r="E79" s="6"/>
      <c r="F79" s="6"/>
      <c r="G79" s="6"/>
      <c r="H79" s="4"/>
      <c r="I79" s="4"/>
      <c r="J79" s="4"/>
      <c r="K79" s="4"/>
      <c r="L79" s="7"/>
      <c r="M79" s="7"/>
      <c r="N79" s="7"/>
      <c r="O79" s="4"/>
      <c r="P79" s="7"/>
      <c r="Q79" s="4"/>
      <c r="R79" s="4"/>
      <c r="S79" s="7"/>
      <c r="T79" s="7"/>
      <c r="U79" s="4"/>
      <c r="V79" s="7"/>
      <c r="W79" s="7"/>
      <c r="X79" s="7"/>
      <c r="Y79" s="7"/>
    </row>
    <row r="80">
      <c r="A80" s="4"/>
      <c r="B80" s="4"/>
      <c r="C80" s="8"/>
      <c r="D80" s="5"/>
      <c r="E80" s="6"/>
      <c r="F80" s="6"/>
      <c r="G80" s="6"/>
      <c r="H80" s="4"/>
      <c r="I80" s="4"/>
      <c r="J80" s="4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4"/>
      <c r="B81" s="4"/>
      <c r="C81" s="8"/>
      <c r="D81" s="5"/>
      <c r="E81" s="6"/>
      <c r="F81" s="6"/>
      <c r="G81" s="6"/>
      <c r="H81" s="4"/>
      <c r="I81" s="4"/>
      <c r="J81" s="4"/>
      <c r="K81" s="4"/>
      <c r="L81" s="7"/>
      <c r="M81" s="7"/>
      <c r="N81" s="7"/>
      <c r="O81" s="7"/>
      <c r="P81" s="4"/>
      <c r="Q81" s="4"/>
      <c r="R81" s="7"/>
      <c r="S81" s="7"/>
      <c r="T81" s="7"/>
      <c r="U81" s="7"/>
      <c r="V81" s="7"/>
      <c r="W81" s="4"/>
      <c r="X81" s="7"/>
      <c r="Y81" s="7"/>
    </row>
    <row r="82">
      <c r="A82" s="4"/>
      <c r="B82" s="4"/>
      <c r="C82" s="8"/>
      <c r="D82" s="5"/>
      <c r="E82" s="6"/>
      <c r="F82" s="6"/>
      <c r="G82" s="6"/>
      <c r="H82" s="4"/>
      <c r="I82" s="4"/>
      <c r="J82" s="4"/>
      <c r="K82" s="4"/>
      <c r="L82" s="7"/>
      <c r="M82" s="7"/>
      <c r="N82" s="7"/>
      <c r="O82" s="7"/>
      <c r="P82" s="4"/>
      <c r="Q82" s="4"/>
      <c r="R82" s="4"/>
      <c r="S82" s="7"/>
      <c r="T82" s="7"/>
      <c r="U82" s="7"/>
      <c r="V82" s="7"/>
      <c r="W82" s="7"/>
      <c r="X82" s="7"/>
      <c r="Y82" s="7"/>
    </row>
    <row r="83">
      <c r="A83" s="4"/>
      <c r="B83" s="4"/>
      <c r="C83" s="8"/>
      <c r="D83" s="5"/>
      <c r="E83" s="6"/>
      <c r="F83" s="6"/>
      <c r="G83" s="6"/>
      <c r="H83" s="4"/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4"/>
      <c r="B84" s="4"/>
      <c r="C84" s="8"/>
      <c r="D84" s="5"/>
      <c r="E84" s="6"/>
      <c r="F84" s="6"/>
      <c r="G84" s="6"/>
      <c r="H84" s="4"/>
      <c r="I84" s="4"/>
      <c r="J84" s="4"/>
      <c r="K84" s="4"/>
      <c r="L84" s="7"/>
      <c r="M84" s="7"/>
      <c r="N84" s="7"/>
      <c r="O84" s="7"/>
      <c r="P84" s="4"/>
      <c r="Q84" s="4"/>
      <c r="R84" s="7"/>
      <c r="S84" s="7"/>
      <c r="T84" s="7"/>
      <c r="U84" s="7"/>
      <c r="V84" s="7"/>
      <c r="W84" s="7"/>
      <c r="X84" s="7"/>
      <c r="Y84" s="7"/>
    </row>
    <row r="85">
      <c r="A85" s="4"/>
      <c r="B85" s="4"/>
      <c r="C85" s="8"/>
      <c r="D85" s="5"/>
      <c r="E85" s="6"/>
      <c r="F85" s="6"/>
      <c r="G85" s="6"/>
      <c r="H85" s="4"/>
      <c r="I85" s="4"/>
      <c r="J85" s="4"/>
      <c r="K85" s="4"/>
      <c r="L85" s="7"/>
      <c r="M85" s="7"/>
      <c r="N85" s="7"/>
      <c r="O85" s="7"/>
      <c r="P85" s="7"/>
      <c r="Q85" s="4"/>
      <c r="R85" s="7"/>
      <c r="S85" s="7"/>
      <c r="T85" s="7"/>
      <c r="U85" s="7"/>
      <c r="V85" s="7"/>
      <c r="W85" s="7"/>
      <c r="X85" s="7"/>
      <c r="Y85" s="7"/>
    </row>
    <row r="86">
      <c r="A86" s="4"/>
      <c r="B86" s="4"/>
      <c r="C86" s="8"/>
      <c r="D86" s="5"/>
      <c r="E86" s="6"/>
      <c r="F86" s="6"/>
      <c r="G86" s="6"/>
      <c r="H86" s="4"/>
      <c r="I86" s="4"/>
      <c r="J86" s="4"/>
      <c r="K86" s="4"/>
      <c r="L86" s="7"/>
      <c r="M86" s="7"/>
      <c r="N86" s="7"/>
      <c r="O86" s="7"/>
      <c r="P86" s="7"/>
      <c r="Q86" s="7"/>
      <c r="R86" s="7"/>
      <c r="S86" s="7"/>
      <c r="T86" s="7"/>
      <c r="U86" s="4"/>
      <c r="V86" s="7"/>
      <c r="W86" s="7"/>
      <c r="X86" s="7"/>
      <c r="Y86" s="7"/>
    </row>
    <row r="87">
      <c r="A87" s="4"/>
      <c r="B87" s="4"/>
      <c r="C87" s="8"/>
      <c r="D87" s="5"/>
      <c r="E87" s="6"/>
      <c r="F87" s="6"/>
      <c r="G87" s="6"/>
      <c r="H87" s="4"/>
      <c r="I87" s="4"/>
      <c r="J87" s="4"/>
      <c r="K87" s="4"/>
      <c r="L87" s="7"/>
      <c r="M87" s="7"/>
      <c r="N87" s="7"/>
      <c r="O87" s="7"/>
      <c r="P87" s="7"/>
      <c r="Q87" s="7"/>
      <c r="R87" s="7"/>
      <c r="S87" s="7"/>
      <c r="T87" s="7"/>
      <c r="U87" s="4"/>
      <c r="V87" s="7"/>
      <c r="W87" s="7"/>
      <c r="X87" s="7"/>
      <c r="Y87" s="7"/>
    </row>
    <row r="88">
      <c r="A88" s="4"/>
      <c r="B88" s="4"/>
      <c r="C88" s="8"/>
      <c r="D88" s="5"/>
      <c r="E88" s="6"/>
      <c r="F88" s="6"/>
      <c r="G88" s="6"/>
      <c r="H88" s="4"/>
      <c r="I88" s="4"/>
      <c r="J88" s="4"/>
      <c r="K88" s="4"/>
      <c r="L88" s="4"/>
      <c r="M88" s="7"/>
      <c r="N88" s="7"/>
      <c r="O88" s="7"/>
      <c r="P88" s="7"/>
      <c r="Q88" s="7"/>
      <c r="R88" s="7"/>
      <c r="S88" s="7"/>
      <c r="T88" s="7"/>
      <c r="U88" s="7"/>
      <c r="V88" s="7"/>
      <c r="W88" s="4"/>
      <c r="X88" s="7"/>
      <c r="Y88" s="7"/>
    </row>
    <row r="89">
      <c r="A89" s="4"/>
      <c r="B89" s="4"/>
      <c r="C89" s="8"/>
      <c r="D89" s="5"/>
      <c r="E89" s="6"/>
      <c r="F89" s="6"/>
      <c r="G89" s="6"/>
      <c r="H89" s="4"/>
      <c r="I89" s="4"/>
      <c r="J89" s="4"/>
      <c r="K89" s="4"/>
      <c r="L89" s="7"/>
      <c r="M89" s="7"/>
      <c r="N89" s="7"/>
      <c r="O89" s="7"/>
      <c r="P89" s="7"/>
      <c r="Q89" s="4"/>
      <c r="R89" s="7"/>
      <c r="S89" s="7"/>
      <c r="T89" s="7"/>
      <c r="U89" s="7"/>
      <c r="V89" s="7"/>
      <c r="W89" s="7"/>
      <c r="X89" s="7"/>
      <c r="Y89" s="7"/>
    </row>
    <row r="90">
      <c r="A90" s="4"/>
      <c r="B90" s="4"/>
      <c r="C90" s="8"/>
      <c r="D90" s="5"/>
      <c r="E90" s="6"/>
      <c r="F90" s="6"/>
      <c r="G90" s="6"/>
      <c r="H90" s="4"/>
      <c r="I90" s="4"/>
      <c r="J90" s="4"/>
      <c r="K90" s="4"/>
      <c r="L90" s="7"/>
      <c r="M90" s="7"/>
      <c r="N90" s="7"/>
      <c r="O90" s="7"/>
      <c r="P90" s="4"/>
      <c r="Q90" s="7"/>
      <c r="R90" s="7"/>
      <c r="S90" s="7"/>
      <c r="T90" s="7"/>
      <c r="U90" s="7"/>
      <c r="V90" s="7"/>
      <c r="W90" s="7"/>
      <c r="X90" s="7"/>
      <c r="Y90" s="7"/>
    </row>
    <row r="91">
      <c r="A91" s="4"/>
      <c r="B91" s="4"/>
      <c r="C91" s="8"/>
      <c r="D91" s="5"/>
      <c r="E91" s="6"/>
      <c r="F91" s="6"/>
      <c r="G91" s="6"/>
      <c r="H91" s="4"/>
      <c r="I91" s="4"/>
      <c r="J91" s="4"/>
      <c r="K91" s="4"/>
      <c r="L91" s="7"/>
      <c r="M91" s="7"/>
      <c r="N91" s="7"/>
      <c r="O91" s="7"/>
      <c r="P91" s="7"/>
      <c r="Q91" s="4"/>
      <c r="R91" s="4"/>
      <c r="S91" s="7"/>
      <c r="T91" s="7"/>
      <c r="U91" s="7"/>
      <c r="V91" s="7"/>
      <c r="W91" s="7"/>
      <c r="X91" s="7"/>
      <c r="Y91" s="7"/>
    </row>
    <row r="92">
      <c r="A92" s="4"/>
      <c r="B92" s="4"/>
      <c r="C92" s="8"/>
      <c r="D92" s="5"/>
      <c r="E92" s="6"/>
      <c r="F92" s="6"/>
      <c r="G92" s="6"/>
      <c r="H92" s="4"/>
      <c r="I92" s="4"/>
      <c r="J92" s="4"/>
      <c r="K92" s="4"/>
      <c r="L92" s="7"/>
      <c r="M92" s="7"/>
      <c r="N92" s="7"/>
      <c r="O92" s="7"/>
      <c r="P92" s="7"/>
      <c r="Q92" s="4"/>
      <c r="R92" s="7"/>
      <c r="S92" s="7"/>
      <c r="T92" s="7"/>
      <c r="U92" s="7"/>
      <c r="V92" s="7"/>
      <c r="W92" s="7"/>
      <c r="X92" s="7"/>
      <c r="Y92" s="7"/>
    </row>
    <row r="93">
      <c r="A93" s="4"/>
      <c r="B93" s="4"/>
      <c r="C93" s="8"/>
      <c r="D93" s="5"/>
      <c r="E93" s="6"/>
      <c r="F93" s="6"/>
      <c r="G93" s="6"/>
      <c r="H93" s="4"/>
      <c r="I93" s="4"/>
      <c r="J93" s="4"/>
      <c r="K93" s="4"/>
      <c r="L93" s="7"/>
      <c r="M93" s="7"/>
      <c r="N93" s="7"/>
      <c r="O93" s="4"/>
      <c r="P93" s="7"/>
      <c r="Q93" s="4"/>
      <c r="R93" s="7"/>
      <c r="S93" s="7"/>
      <c r="T93" s="7"/>
      <c r="U93" s="7"/>
      <c r="V93" s="7"/>
      <c r="W93" s="7"/>
      <c r="X93" s="7"/>
      <c r="Y93" s="7"/>
    </row>
    <row r="94">
      <c r="A94" s="4"/>
      <c r="B94" s="4"/>
      <c r="C94" s="8"/>
      <c r="D94" s="5"/>
      <c r="E94" s="6"/>
      <c r="F94" s="6"/>
      <c r="G94" s="6"/>
      <c r="H94" s="4"/>
      <c r="I94" s="4"/>
      <c r="J94" s="4"/>
      <c r="K94" s="4"/>
      <c r="L94" s="7"/>
      <c r="M94" s="7"/>
      <c r="N94" s="7"/>
      <c r="O94" s="4"/>
      <c r="P94" s="4"/>
      <c r="Q94" s="4"/>
      <c r="R94" s="7"/>
      <c r="S94" s="7"/>
      <c r="T94" s="4"/>
      <c r="U94" s="4"/>
      <c r="V94" s="7"/>
      <c r="W94" s="4"/>
      <c r="X94" s="7"/>
      <c r="Y94" s="7"/>
    </row>
    <row r="95">
      <c r="A95" s="4"/>
      <c r="B95" s="4"/>
      <c r="C95" s="8"/>
      <c r="D95" s="5"/>
      <c r="E95" s="6"/>
      <c r="F95" s="6"/>
      <c r="G95" s="6"/>
      <c r="H95" s="4"/>
      <c r="I95" s="4"/>
      <c r="J95" s="4"/>
      <c r="K95" s="4"/>
      <c r="L95" s="7"/>
      <c r="M95" s="7"/>
      <c r="N95" s="4"/>
      <c r="O95" s="4"/>
      <c r="P95" s="7"/>
      <c r="Q95" s="4"/>
      <c r="R95" s="7"/>
      <c r="S95" s="7"/>
      <c r="T95" s="7"/>
      <c r="U95" s="7"/>
      <c r="V95" s="7"/>
      <c r="W95" s="7"/>
      <c r="X95" s="7"/>
      <c r="Y95" s="7"/>
    </row>
    <row r="96">
      <c r="A96" s="4"/>
      <c r="B96" s="4"/>
      <c r="C96" s="8"/>
      <c r="D96" s="5"/>
      <c r="E96" s="6"/>
      <c r="F96" s="6"/>
      <c r="G96" s="6"/>
      <c r="H96" s="4"/>
      <c r="I96" s="4"/>
      <c r="J96" s="4"/>
      <c r="K96" s="4"/>
      <c r="L96" s="7"/>
      <c r="M96" s="7"/>
      <c r="N96" s="7"/>
      <c r="O96" s="7"/>
      <c r="P96" s="7"/>
      <c r="Q96" s="4"/>
      <c r="R96" s="7"/>
      <c r="S96" s="7"/>
      <c r="T96" s="7"/>
      <c r="U96" s="7"/>
      <c r="V96" s="7"/>
      <c r="W96" s="7"/>
      <c r="X96" s="7"/>
      <c r="Y96" s="7"/>
    </row>
    <row r="97">
      <c r="A97" s="4"/>
      <c r="B97" s="4"/>
      <c r="C97" s="8"/>
      <c r="D97" s="5"/>
      <c r="E97" s="6"/>
      <c r="F97" s="6"/>
      <c r="G97" s="6"/>
      <c r="H97" s="4"/>
      <c r="I97" s="4"/>
      <c r="J97" s="4"/>
      <c r="K97" s="4"/>
      <c r="L97" s="4"/>
      <c r="M97" s="7"/>
      <c r="N97" s="7"/>
      <c r="O97" s="7"/>
      <c r="P97" s="7"/>
      <c r="Q97" s="4"/>
      <c r="R97" s="7"/>
      <c r="S97" s="7"/>
      <c r="T97" s="7"/>
      <c r="U97" s="7"/>
      <c r="V97" s="7"/>
      <c r="W97" s="4"/>
      <c r="X97" s="7"/>
      <c r="Y97" s="7"/>
    </row>
    <row r="98">
      <c r="A98" s="4"/>
      <c r="B98" s="4"/>
      <c r="C98" s="8"/>
      <c r="D98" s="5"/>
      <c r="E98" s="6"/>
      <c r="F98" s="6"/>
      <c r="G98" s="6"/>
      <c r="H98" s="4"/>
      <c r="I98" s="4"/>
      <c r="J98" s="4"/>
      <c r="K98" s="4"/>
      <c r="L98" s="7"/>
      <c r="M98" s="7"/>
      <c r="N98" s="7"/>
      <c r="O98" s="7"/>
      <c r="P98" s="7"/>
      <c r="Q98" s="4"/>
      <c r="R98" s="7"/>
      <c r="S98" s="7"/>
      <c r="T98" s="7"/>
      <c r="U98" s="7"/>
      <c r="V98" s="7"/>
      <c r="W98" s="7"/>
      <c r="X98" s="7"/>
      <c r="Y98" s="7"/>
    </row>
    <row r="99">
      <c r="A99" s="4"/>
      <c r="B99" s="4"/>
      <c r="C99" s="8"/>
      <c r="D99" s="5"/>
      <c r="E99" s="6"/>
      <c r="F99" s="6"/>
      <c r="G99" s="6"/>
      <c r="H99" s="4"/>
      <c r="I99" s="4"/>
      <c r="J99" s="4"/>
      <c r="K99" s="4"/>
      <c r="L99" s="4"/>
      <c r="M99" s="7"/>
      <c r="N99" s="7"/>
      <c r="O99" s="7"/>
      <c r="P99" s="7"/>
      <c r="Q99" s="4"/>
      <c r="R99" s="7"/>
      <c r="S99" s="7"/>
      <c r="T99" s="7"/>
      <c r="U99" s="7"/>
      <c r="V99" s="7"/>
      <c r="W99" s="7"/>
      <c r="X99" s="7"/>
      <c r="Y99" s="7"/>
    </row>
    <row r="100">
      <c r="A100" s="4"/>
      <c r="B100" s="4"/>
      <c r="C100" s="8"/>
      <c r="D100" s="5"/>
      <c r="E100" s="6"/>
      <c r="F100" s="6"/>
      <c r="G100" s="6"/>
      <c r="H100" s="4"/>
      <c r="I100" s="4"/>
      <c r="J100" s="4"/>
      <c r="K100" s="4"/>
      <c r="L100" s="4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4"/>
      <c r="B101" s="4"/>
      <c r="C101" s="8"/>
      <c r="D101" s="5"/>
      <c r="E101" s="6"/>
      <c r="F101" s="6"/>
      <c r="G101" s="6"/>
      <c r="H101" s="4"/>
      <c r="I101" s="4"/>
      <c r="J101" s="4"/>
      <c r="K101" s="4"/>
      <c r="L101" s="4"/>
      <c r="M101" s="7"/>
      <c r="N101" s="7"/>
      <c r="O101" s="7"/>
      <c r="P101" s="7"/>
      <c r="Q101" s="4"/>
      <c r="R101" s="7"/>
      <c r="S101" s="7"/>
      <c r="T101" s="7"/>
      <c r="U101" s="7"/>
      <c r="V101" s="7"/>
      <c r="W101" s="7"/>
      <c r="X101" s="7"/>
      <c r="Y101" s="7"/>
    </row>
    <row r="102">
      <c r="A102" s="4"/>
      <c r="B102" s="4"/>
      <c r="C102" s="8"/>
      <c r="D102" s="5"/>
      <c r="E102" s="6"/>
      <c r="F102" s="6"/>
      <c r="G102" s="6"/>
      <c r="H102" s="4"/>
      <c r="I102" s="4"/>
      <c r="J102" s="4"/>
      <c r="K102" s="4"/>
      <c r="L102" s="4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4"/>
      <c r="B103" s="4"/>
      <c r="C103" s="8"/>
      <c r="D103" s="5"/>
      <c r="E103" s="6"/>
      <c r="F103" s="6"/>
      <c r="G103" s="6"/>
      <c r="H103" s="4"/>
      <c r="I103" s="4"/>
      <c r="J103" s="4"/>
      <c r="K103" s="4"/>
      <c r="L103" s="7"/>
      <c r="M103" s="7"/>
      <c r="N103" s="7"/>
      <c r="O103" s="7"/>
      <c r="P103" s="7"/>
      <c r="Q103" s="4"/>
      <c r="R103" s="7"/>
      <c r="S103" s="7"/>
      <c r="T103" s="7"/>
      <c r="U103" s="4"/>
      <c r="V103" s="7"/>
      <c r="W103" s="7"/>
      <c r="X103" s="7"/>
      <c r="Y103" s="7"/>
    </row>
    <row r="104">
      <c r="A104" s="4"/>
      <c r="B104" s="4"/>
      <c r="C104" s="8"/>
      <c r="D104" s="5"/>
      <c r="E104" s="6"/>
      <c r="F104" s="6"/>
      <c r="G104" s="6"/>
      <c r="H104" s="4"/>
      <c r="I104" s="4"/>
      <c r="J104" s="4"/>
      <c r="K104" s="4"/>
      <c r="L104" s="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4"/>
      <c r="B105" s="4"/>
      <c r="C105" s="8"/>
      <c r="D105" s="5"/>
      <c r="E105" s="6"/>
      <c r="F105" s="6"/>
      <c r="G105" s="6"/>
      <c r="H105" s="4"/>
      <c r="I105" s="4"/>
      <c r="J105" s="4"/>
      <c r="K105" s="4"/>
      <c r="L105" s="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4"/>
      <c r="B106" s="4"/>
      <c r="C106" s="8"/>
      <c r="D106" s="5"/>
      <c r="E106" s="6"/>
      <c r="F106" s="6"/>
      <c r="G106" s="6"/>
      <c r="H106" s="4"/>
      <c r="I106" s="4"/>
      <c r="J106" s="4"/>
      <c r="K106" s="4"/>
      <c r="L106" s="4"/>
      <c r="M106" s="7"/>
      <c r="N106" s="7"/>
      <c r="O106" s="7"/>
      <c r="P106" s="7"/>
      <c r="Q106" s="4"/>
      <c r="R106" s="7"/>
      <c r="S106" s="7"/>
      <c r="T106" s="7"/>
      <c r="U106" s="7"/>
      <c r="V106" s="7"/>
      <c r="W106" s="4"/>
      <c r="X106" s="7"/>
      <c r="Y106" s="7"/>
    </row>
    <row r="107">
      <c r="A107" s="4"/>
      <c r="B107" s="4"/>
      <c r="C107" s="8"/>
      <c r="D107" s="5"/>
      <c r="E107" s="6"/>
      <c r="F107" s="6"/>
      <c r="G107" s="6"/>
      <c r="H107" s="4"/>
      <c r="I107" s="4"/>
      <c r="J107" s="4"/>
      <c r="K107" s="4"/>
      <c r="L107" s="7"/>
      <c r="M107" s="4"/>
      <c r="N107" s="7"/>
      <c r="O107" s="7"/>
      <c r="P107" s="7"/>
      <c r="Q107" s="4"/>
      <c r="R107" s="7"/>
      <c r="S107" s="7"/>
      <c r="T107" s="7"/>
      <c r="U107" s="7"/>
      <c r="V107" s="7"/>
      <c r="W107" s="4"/>
      <c r="X107" s="7"/>
      <c r="Y107" s="7"/>
    </row>
    <row r="108">
      <c r="A108" s="4"/>
      <c r="B108" s="4"/>
      <c r="C108" s="8"/>
      <c r="D108" s="5"/>
      <c r="E108" s="6"/>
      <c r="F108" s="6"/>
      <c r="G108" s="6"/>
      <c r="H108" s="4"/>
      <c r="I108" s="4"/>
      <c r="J108" s="4"/>
      <c r="K108" s="4"/>
      <c r="L108" s="7"/>
      <c r="M108" s="4"/>
      <c r="N108" s="7"/>
      <c r="O108" s="7"/>
      <c r="P108" s="7"/>
      <c r="Q108" s="4"/>
      <c r="R108" s="7"/>
      <c r="S108" s="7"/>
      <c r="T108" s="7"/>
      <c r="U108" s="7"/>
      <c r="V108" s="7"/>
      <c r="W108" s="4"/>
      <c r="X108" s="7"/>
      <c r="Y108" s="7"/>
    </row>
    <row r="109">
      <c r="A109" s="4"/>
      <c r="B109" s="4"/>
      <c r="C109" s="8"/>
      <c r="D109" s="5"/>
      <c r="E109" s="6"/>
      <c r="F109" s="6"/>
      <c r="G109" s="6"/>
      <c r="H109" s="4"/>
      <c r="I109" s="4"/>
      <c r="J109" s="4"/>
      <c r="K109" s="4"/>
      <c r="L109" s="7"/>
      <c r="M109" s="7"/>
      <c r="N109" s="4"/>
      <c r="O109" s="7"/>
      <c r="P109" s="7"/>
      <c r="Q109" s="4"/>
      <c r="R109" s="7"/>
      <c r="S109" s="7"/>
      <c r="T109" s="7"/>
      <c r="U109" s="7"/>
      <c r="V109" s="7"/>
      <c r="W109" s="7"/>
      <c r="X109" s="7"/>
      <c r="Y109" s="7"/>
    </row>
    <row r="110">
      <c r="A110" s="4"/>
      <c r="B110" s="4"/>
      <c r="C110" s="8"/>
      <c r="D110" s="5"/>
      <c r="E110" s="6"/>
      <c r="F110" s="6"/>
      <c r="G110" s="6"/>
      <c r="H110" s="4"/>
      <c r="I110" s="4"/>
      <c r="J110" s="4"/>
      <c r="K110" s="4"/>
      <c r="L110" s="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4"/>
      <c r="B111" s="4"/>
      <c r="C111" s="8"/>
      <c r="D111" s="5"/>
      <c r="E111" s="6"/>
      <c r="F111" s="6"/>
      <c r="G111" s="6"/>
      <c r="H111" s="4"/>
      <c r="I111" s="4"/>
      <c r="J111" s="4"/>
      <c r="K111" s="4"/>
      <c r="L111" s="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4"/>
      <c r="B112" s="4"/>
      <c r="C112" s="8"/>
      <c r="D112" s="5"/>
      <c r="E112" s="6"/>
      <c r="F112" s="6"/>
      <c r="G112" s="6"/>
      <c r="H112" s="4"/>
      <c r="I112" s="4"/>
      <c r="J112" s="4"/>
      <c r="K112" s="4"/>
      <c r="L112" s="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4"/>
      <c r="B113" s="4"/>
      <c r="C113" s="8"/>
      <c r="D113" s="5"/>
      <c r="E113" s="6"/>
      <c r="F113" s="6"/>
      <c r="G113" s="6"/>
      <c r="H113" s="4"/>
      <c r="I113" s="4"/>
      <c r="J113" s="4"/>
      <c r="K113" s="4"/>
      <c r="L113" s="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4"/>
      <c r="B114" s="4"/>
      <c r="C114" s="8"/>
      <c r="D114" s="5"/>
      <c r="E114" s="6"/>
      <c r="F114" s="6"/>
      <c r="G114" s="6"/>
      <c r="H114" s="4"/>
      <c r="I114" s="4"/>
      <c r="J114" s="4"/>
      <c r="K114" s="4"/>
      <c r="L114" s="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4"/>
      <c r="B115" s="4"/>
      <c r="C115" s="8"/>
      <c r="D115" s="5"/>
      <c r="E115" s="6"/>
      <c r="F115" s="6"/>
      <c r="G115" s="6"/>
      <c r="H115" s="4"/>
      <c r="I115" s="4"/>
      <c r="J115" s="4"/>
      <c r="K115" s="4"/>
      <c r="L115" s="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4"/>
      <c r="B116" s="4"/>
      <c r="C116" s="8"/>
      <c r="D116" s="5"/>
      <c r="E116" s="6"/>
      <c r="F116" s="6"/>
      <c r="G116" s="6"/>
      <c r="H116" s="4"/>
      <c r="I116" s="4"/>
      <c r="J116" s="4"/>
      <c r="K116" s="4"/>
      <c r="L116" s="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4"/>
      <c r="B117" s="4"/>
      <c r="C117" s="8"/>
      <c r="D117" s="5"/>
      <c r="E117" s="6"/>
      <c r="F117" s="6"/>
      <c r="G117" s="6"/>
      <c r="H117" s="4"/>
      <c r="I117" s="4"/>
      <c r="J117" s="4"/>
      <c r="K117" s="4"/>
      <c r="L117" s="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4"/>
      <c r="B118" s="4"/>
      <c r="C118" s="8"/>
      <c r="D118" s="5"/>
      <c r="E118" s="6"/>
      <c r="F118" s="6"/>
      <c r="G118" s="6"/>
      <c r="H118" s="4"/>
      <c r="I118" s="4"/>
      <c r="J118" s="4"/>
      <c r="K118" s="4"/>
      <c r="L118" s="4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4"/>
      <c r="B119" s="4"/>
      <c r="C119" s="8"/>
      <c r="D119" s="5"/>
      <c r="E119" s="6"/>
      <c r="F119" s="6"/>
      <c r="G119" s="6"/>
      <c r="H119" s="4"/>
      <c r="I119" s="4"/>
      <c r="J119" s="4"/>
      <c r="K119" s="4"/>
      <c r="L119" s="4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4"/>
      <c r="B120" s="4"/>
      <c r="C120" s="8"/>
      <c r="D120" s="5"/>
      <c r="E120" s="6"/>
      <c r="F120" s="6"/>
      <c r="G120" s="6"/>
      <c r="H120" s="4"/>
      <c r="I120" s="4"/>
      <c r="J120" s="4"/>
      <c r="K120" s="4"/>
      <c r="L120" s="4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4"/>
      <c r="B121" s="4"/>
      <c r="C121" s="8"/>
      <c r="D121" s="5"/>
      <c r="E121" s="6"/>
      <c r="F121" s="6"/>
      <c r="G121" s="6"/>
      <c r="H121" s="4"/>
      <c r="I121" s="4"/>
      <c r="J121" s="4"/>
      <c r="K121" s="4"/>
      <c r="L121" s="4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"/>
      <c r="X121" s="7"/>
      <c r="Y121" s="7"/>
    </row>
    <row r="122">
      <c r="A122" s="4"/>
      <c r="B122" s="4"/>
      <c r="C122" s="8"/>
      <c r="D122" s="5"/>
      <c r="E122" s="6"/>
      <c r="F122" s="6"/>
      <c r="G122" s="6"/>
      <c r="H122" s="4"/>
      <c r="I122" s="4"/>
      <c r="J122" s="4"/>
      <c r="K122" s="4"/>
      <c r="L122" s="4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4"/>
      <c r="B123" s="4"/>
      <c r="C123" s="8"/>
      <c r="D123" s="5"/>
      <c r="E123" s="6"/>
      <c r="F123" s="6"/>
      <c r="G123" s="6"/>
      <c r="H123" s="4"/>
      <c r="I123" s="4"/>
      <c r="J123" s="4"/>
      <c r="K123" s="4"/>
      <c r="L123" s="4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"/>
      <c r="X123" s="7"/>
      <c r="Y123" s="7"/>
    </row>
    <row r="124">
      <c r="A124" s="4"/>
      <c r="B124" s="4"/>
      <c r="C124" s="8"/>
      <c r="D124" s="5"/>
      <c r="E124" s="6"/>
      <c r="F124" s="6"/>
      <c r="G124" s="6"/>
      <c r="H124" s="4"/>
      <c r="I124" s="4"/>
      <c r="J124" s="4"/>
      <c r="K124" s="4"/>
      <c r="L124" s="4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4"/>
      <c r="B125" s="4"/>
      <c r="C125" s="8"/>
      <c r="D125" s="5"/>
      <c r="E125" s="6"/>
      <c r="F125" s="6"/>
      <c r="G125" s="6"/>
      <c r="H125" s="4"/>
      <c r="I125" s="4"/>
      <c r="J125" s="4"/>
      <c r="K125" s="4"/>
      <c r="L125" s="4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4"/>
      <c r="B126" s="4"/>
      <c r="C126" s="8"/>
      <c r="D126" s="5"/>
      <c r="E126" s="6"/>
      <c r="F126" s="6"/>
      <c r="G126" s="6"/>
      <c r="H126" s="4"/>
      <c r="I126" s="4"/>
      <c r="J126" s="4"/>
      <c r="K126" s="4"/>
      <c r="L126" s="4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4"/>
      <c r="B127" s="4"/>
      <c r="C127" s="8"/>
      <c r="D127" s="5"/>
      <c r="E127" s="6"/>
      <c r="F127" s="6"/>
      <c r="G127" s="6"/>
      <c r="H127" s="4"/>
      <c r="I127" s="4"/>
      <c r="J127" s="4"/>
      <c r="K127" s="4"/>
      <c r="L127" s="7"/>
      <c r="M127" s="7"/>
      <c r="N127" s="7"/>
      <c r="O127" s="7"/>
      <c r="P127" s="7"/>
      <c r="Q127" s="4"/>
      <c r="R127" s="7"/>
      <c r="S127" s="7"/>
      <c r="T127" s="7"/>
      <c r="U127" s="7"/>
      <c r="V127" s="7"/>
      <c r="W127" s="7"/>
      <c r="X127" s="7"/>
      <c r="Y127" s="7"/>
    </row>
    <row r="128">
      <c r="A128" s="4"/>
      <c r="B128" s="4"/>
      <c r="C128" s="8"/>
      <c r="D128" s="5"/>
      <c r="E128" s="6"/>
      <c r="F128" s="6"/>
      <c r="G128" s="6"/>
      <c r="H128" s="4"/>
      <c r="I128" s="4"/>
      <c r="J128" s="4"/>
      <c r="K128" s="4"/>
      <c r="L128" s="7"/>
      <c r="M128" s="7"/>
      <c r="N128" s="7"/>
      <c r="O128" s="7"/>
      <c r="P128" s="7"/>
      <c r="Q128" s="4"/>
      <c r="R128" s="7"/>
      <c r="S128" s="7"/>
      <c r="T128" s="7"/>
      <c r="U128" s="7"/>
      <c r="V128" s="7"/>
      <c r="W128" s="4"/>
      <c r="X128" s="7"/>
      <c r="Y128" s="7"/>
    </row>
    <row r="129">
      <c r="A129" s="4"/>
      <c r="B129" s="4"/>
      <c r="C129" s="8"/>
      <c r="D129" s="5"/>
      <c r="E129" s="6"/>
      <c r="F129" s="6"/>
      <c r="G129" s="6"/>
      <c r="H129" s="4"/>
      <c r="I129" s="4"/>
      <c r="J129" s="4"/>
      <c r="K129" s="4"/>
      <c r="L129" s="7"/>
      <c r="M129" s="4"/>
      <c r="N129" s="7"/>
      <c r="O129" s="7"/>
      <c r="P129" s="7"/>
      <c r="Q129" s="4"/>
      <c r="R129" s="7"/>
      <c r="S129" s="7"/>
      <c r="T129" s="7"/>
      <c r="U129" s="7"/>
      <c r="V129" s="7"/>
      <c r="W129" s="4"/>
      <c r="X129" s="7"/>
      <c r="Y129" s="7"/>
    </row>
    <row r="130">
      <c r="A130" s="4"/>
      <c r="B130" s="4"/>
      <c r="C130" s="8"/>
      <c r="D130" s="5"/>
      <c r="E130" s="6"/>
      <c r="F130" s="6"/>
      <c r="G130" s="6"/>
      <c r="H130" s="4"/>
      <c r="I130" s="4"/>
      <c r="J130" s="4"/>
      <c r="K130" s="4"/>
      <c r="L130" s="7"/>
      <c r="M130" s="4"/>
      <c r="N130" s="7"/>
      <c r="O130" s="7"/>
      <c r="P130" s="7"/>
      <c r="Q130" s="4"/>
      <c r="R130" s="7"/>
      <c r="S130" s="7"/>
      <c r="T130" s="7"/>
      <c r="U130" s="7"/>
      <c r="V130" s="7"/>
      <c r="W130" s="4"/>
      <c r="X130" s="7"/>
      <c r="Y130" s="7"/>
    </row>
    <row r="131">
      <c r="A131" s="4"/>
      <c r="B131" s="4"/>
      <c r="C131" s="8"/>
      <c r="D131" s="5"/>
      <c r="E131" s="6"/>
      <c r="F131" s="6"/>
      <c r="G131" s="6"/>
      <c r="H131" s="4"/>
      <c r="I131" s="4"/>
      <c r="J131" s="4"/>
      <c r="K131" s="4"/>
      <c r="L131" s="7"/>
      <c r="M131" s="4"/>
      <c r="N131" s="7"/>
      <c r="O131" s="7"/>
      <c r="P131" s="7"/>
      <c r="Q131" s="4"/>
      <c r="R131" s="7"/>
      <c r="S131" s="7"/>
      <c r="T131" s="7"/>
      <c r="U131" s="7"/>
      <c r="V131" s="7"/>
      <c r="W131" s="4"/>
      <c r="X131" s="7"/>
      <c r="Y131" s="7"/>
    </row>
    <row r="132">
      <c r="A132" s="4"/>
      <c r="B132" s="4"/>
      <c r="C132" s="8"/>
      <c r="D132" s="5"/>
      <c r="E132" s="6"/>
      <c r="F132" s="6"/>
      <c r="G132" s="6"/>
      <c r="H132" s="4"/>
      <c r="I132" s="4"/>
      <c r="J132" s="4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"/>
      <c r="X132" s="4"/>
      <c r="Y132" s="4"/>
    </row>
    <row r="133">
      <c r="A133" s="4"/>
      <c r="B133" s="4"/>
      <c r="C133" s="8"/>
      <c r="D133" s="5"/>
      <c r="E133" s="6"/>
      <c r="F133" s="6"/>
      <c r="G133" s="6"/>
      <c r="H133" s="4"/>
      <c r="I133" s="4"/>
      <c r="J133" s="4"/>
      <c r="K133" s="4"/>
      <c r="L133" s="7"/>
      <c r="M133" s="7"/>
      <c r="N133" s="7"/>
      <c r="O133" s="7"/>
      <c r="P133" s="7"/>
      <c r="Q133" s="4"/>
      <c r="R133" s="7"/>
      <c r="S133" s="7"/>
      <c r="T133" s="7"/>
      <c r="U133" s="7"/>
      <c r="V133" s="7"/>
      <c r="W133" s="4"/>
      <c r="X133" s="4"/>
      <c r="Y133" s="4"/>
    </row>
    <row r="134">
      <c r="A134" s="4"/>
      <c r="B134" s="4"/>
      <c r="C134" s="8"/>
      <c r="D134" s="5"/>
      <c r="E134" s="6"/>
      <c r="F134" s="6"/>
      <c r="G134" s="6"/>
      <c r="H134" s="4"/>
      <c r="I134" s="4"/>
      <c r="J134" s="4"/>
      <c r="K134" s="4"/>
      <c r="L134" s="7"/>
      <c r="M134" s="7"/>
      <c r="N134" s="7"/>
      <c r="O134" s="7"/>
      <c r="P134" s="7"/>
      <c r="Q134" s="4"/>
      <c r="R134" s="7"/>
      <c r="S134" s="7"/>
      <c r="T134" s="7"/>
      <c r="U134" s="7"/>
      <c r="V134" s="7"/>
      <c r="W134" s="4"/>
      <c r="X134" s="7"/>
      <c r="Y134" s="7"/>
    </row>
    <row r="135">
      <c r="A135" s="4"/>
      <c r="B135" s="4"/>
      <c r="C135" s="8"/>
      <c r="D135" s="5"/>
      <c r="E135" s="6"/>
      <c r="F135" s="6"/>
      <c r="G135" s="6"/>
      <c r="H135" s="4"/>
      <c r="I135" s="4"/>
      <c r="J135" s="4"/>
      <c r="K135" s="4"/>
      <c r="L135" s="7"/>
      <c r="M135" s="7"/>
      <c r="N135" s="4"/>
      <c r="O135" s="7"/>
      <c r="P135" s="7"/>
      <c r="Q135" s="4"/>
      <c r="R135" s="7"/>
      <c r="S135" s="7"/>
      <c r="T135" s="7"/>
      <c r="U135" s="7"/>
      <c r="V135" s="7"/>
      <c r="W135" s="4"/>
      <c r="X135" s="7"/>
      <c r="Y135" s="7"/>
    </row>
    <row r="136">
      <c r="A136" s="4"/>
      <c r="B136" s="4"/>
      <c r="C136" s="8"/>
      <c r="D136" s="5"/>
      <c r="E136" s="6"/>
      <c r="F136" s="6"/>
      <c r="G136" s="6"/>
      <c r="H136" s="4"/>
      <c r="I136" s="4"/>
      <c r="J136" s="4"/>
      <c r="K136" s="4"/>
      <c r="L136" s="7"/>
      <c r="M136" s="7"/>
      <c r="N136" s="4"/>
      <c r="O136" s="7"/>
      <c r="P136" s="7"/>
      <c r="Q136" s="4"/>
      <c r="R136" s="7"/>
      <c r="S136" s="7"/>
      <c r="T136" s="7"/>
      <c r="U136" s="7"/>
      <c r="V136" s="7"/>
      <c r="W136" s="4"/>
      <c r="X136" s="7"/>
      <c r="Y136" s="7"/>
    </row>
    <row r="137">
      <c r="A137" s="4"/>
      <c r="B137" s="4"/>
      <c r="C137" s="8"/>
      <c r="D137" s="5"/>
      <c r="E137" s="6"/>
      <c r="F137" s="6"/>
      <c r="G137" s="6"/>
      <c r="H137" s="4"/>
      <c r="I137" s="4"/>
      <c r="J137" s="4"/>
      <c r="K137" s="4"/>
      <c r="L137" s="7"/>
      <c r="M137" s="7"/>
      <c r="N137" s="4"/>
      <c r="O137" s="7"/>
      <c r="P137" s="7"/>
      <c r="Q137" s="4"/>
      <c r="R137" s="7"/>
      <c r="S137" s="7"/>
      <c r="T137" s="7"/>
      <c r="U137" s="7"/>
      <c r="V137" s="7"/>
      <c r="W137" s="7"/>
      <c r="X137" s="7"/>
      <c r="Y137" s="7"/>
    </row>
    <row r="138">
      <c r="A138" s="4"/>
      <c r="B138" s="4"/>
      <c r="C138" s="8"/>
      <c r="D138" s="5"/>
      <c r="E138" s="6"/>
      <c r="F138" s="6"/>
      <c r="G138" s="6"/>
      <c r="H138" s="4"/>
      <c r="I138" s="4"/>
      <c r="J138" s="4"/>
      <c r="K138" s="4"/>
      <c r="L138" s="4"/>
      <c r="M138" s="7"/>
      <c r="N138" s="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4"/>
      <c r="B139" s="4"/>
      <c r="C139" s="8"/>
      <c r="D139" s="5"/>
      <c r="E139" s="6"/>
      <c r="F139" s="6"/>
      <c r="G139" s="6"/>
      <c r="H139" s="4"/>
      <c r="I139" s="4"/>
      <c r="J139" s="4"/>
      <c r="K139" s="4"/>
      <c r="L139" s="4"/>
      <c r="M139" s="7"/>
      <c r="N139" s="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4"/>
      <c r="B140" s="4"/>
      <c r="C140" s="8"/>
      <c r="D140" s="5"/>
      <c r="E140" s="6"/>
      <c r="F140" s="6"/>
      <c r="G140" s="6"/>
      <c r="H140" s="4"/>
      <c r="I140" s="4"/>
      <c r="J140" s="4"/>
      <c r="K140" s="4"/>
      <c r="L140" s="4"/>
      <c r="M140" s="7"/>
      <c r="N140" s="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4"/>
      <c r="B141" s="4"/>
      <c r="C141" s="8"/>
      <c r="D141" s="5"/>
      <c r="E141" s="6"/>
      <c r="F141" s="6"/>
      <c r="G141" s="6"/>
      <c r="H141" s="4"/>
      <c r="I141" s="4"/>
      <c r="J141" s="4"/>
      <c r="K141" s="4"/>
      <c r="L141" s="4"/>
      <c r="M141" s="7"/>
      <c r="N141" s="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4"/>
      <c r="B142" s="4"/>
      <c r="C142" s="8"/>
      <c r="D142" s="5"/>
      <c r="E142" s="6"/>
      <c r="F142" s="6"/>
      <c r="G142" s="6"/>
      <c r="H142" s="4"/>
      <c r="I142" s="4"/>
      <c r="J142" s="4"/>
      <c r="K142" s="4"/>
      <c r="L142" s="4"/>
      <c r="M142" s="7"/>
      <c r="N142" s="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4"/>
      <c r="B143" s="4"/>
      <c r="C143" s="8"/>
      <c r="D143" s="5"/>
      <c r="E143" s="6"/>
      <c r="F143" s="6"/>
      <c r="G143" s="6"/>
      <c r="H143" s="4"/>
      <c r="I143" s="4"/>
      <c r="J143" s="4"/>
      <c r="K143" s="4"/>
      <c r="L143" s="4"/>
      <c r="M143" s="7"/>
      <c r="N143" s="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4"/>
      <c r="B144" s="4"/>
      <c r="C144" s="8"/>
      <c r="D144" s="5"/>
      <c r="E144" s="6"/>
      <c r="F144" s="6"/>
      <c r="G144" s="6"/>
      <c r="H144" s="4"/>
      <c r="I144" s="4"/>
      <c r="J144" s="4"/>
      <c r="K144" s="4"/>
      <c r="L144" s="4"/>
      <c r="M144" s="7"/>
      <c r="N144" s="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4"/>
      <c r="B145" s="4"/>
      <c r="C145" s="8"/>
      <c r="D145" s="5"/>
      <c r="E145" s="6"/>
      <c r="F145" s="6"/>
      <c r="G145" s="6"/>
      <c r="H145" s="4"/>
      <c r="I145" s="4"/>
      <c r="J145" s="4"/>
      <c r="K145" s="4"/>
      <c r="L145" s="4"/>
      <c r="M145" s="7"/>
      <c r="N145" s="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4"/>
      <c r="B146" s="4"/>
      <c r="C146" s="4"/>
      <c r="D146" s="5"/>
      <c r="E146" s="6"/>
      <c r="F146" s="6"/>
      <c r="G146" s="6"/>
      <c r="H146" s="4"/>
      <c r="I146" s="4"/>
      <c r="J146" s="4"/>
      <c r="K146" s="4"/>
      <c r="L146" s="7"/>
      <c r="M146" s="7"/>
      <c r="N146" s="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4"/>
      <c r="B147" s="4"/>
      <c r="C147" s="8"/>
      <c r="D147" s="5"/>
      <c r="E147" s="6"/>
      <c r="F147" s="6"/>
      <c r="G147" s="6"/>
      <c r="H147" s="4"/>
      <c r="I147" s="4"/>
      <c r="J147" s="4"/>
      <c r="K147" s="4"/>
      <c r="L147" s="7"/>
      <c r="M147" s="7"/>
      <c r="N147" s="7"/>
      <c r="O147" s="7"/>
      <c r="P147" s="7"/>
      <c r="Q147" s="7"/>
      <c r="R147" s="7"/>
      <c r="S147" s="7"/>
      <c r="T147" s="4"/>
      <c r="U147" s="4"/>
      <c r="V147" s="7"/>
      <c r="W147" s="7"/>
      <c r="X147" s="7"/>
      <c r="Y147" s="7"/>
    </row>
    <row r="148">
      <c r="A148" s="4"/>
      <c r="B148" s="4"/>
      <c r="C148" s="8"/>
      <c r="D148" s="5"/>
      <c r="E148" s="6"/>
      <c r="F148" s="6"/>
      <c r="G148" s="6"/>
      <c r="H148" s="4"/>
      <c r="I148" s="4"/>
      <c r="J148" s="4"/>
      <c r="K148" s="4"/>
      <c r="L148" s="7"/>
      <c r="M148" s="7"/>
      <c r="N148" s="7"/>
      <c r="O148" s="7"/>
      <c r="P148" s="7"/>
      <c r="Q148" s="7"/>
      <c r="R148" s="7"/>
      <c r="S148" s="7"/>
      <c r="T148" s="4"/>
      <c r="U148" s="7"/>
      <c r="V148" s="7"/>
      <c r="W148" s="7"/>
      <c r="X148" s="7"/>
      <c r="Y148" s="7"/>
    </row>
    <row r="149">
      <c r="A149" s="4"/>
      <c r="B149" s="4"/>
      <c r="C149" s="8"/>
      <c r="D149" s="5"/>
      <c r="E149" s="6"/>
      <c r="F149" s="6"/>
      <c r="G149" s="6"/>
      <c r="H149" s="4"/>
      <c r="I149" s="4"/>
      <c r="J149" s="4"/>
      <c r="K149" s="4"/>
      <c r="L149" s="7"/>
      <c r="M149" s="7"/>
      <c r="N149" s="7"/>
      <c r="O149" s="4"/>
      <c r="P149" s="7"/>
      <c r="Q149" s="7"/>
      <c r="R149" s="7"/>
      <c r="S149" s="7"/>
      <c r="T149" s="7"/>
      <c r="U149" s="4"/>
      <c r="V149" s="7"/>
      <c r="W149" s="7"/>
      <c r="X149" s="7"/>
      <c r="Y149" s="7"/>
    </row>
    <row r="150">
      <c r="A150" s="4"/>
      <c r="B150" s="4"/>
      <c r="C150" s="8"/>
      <c r="D150" s="5"/>
      <c r="E150" s="6"/>
      <c r="F150" s="6"/>
      <c r="G150" s="6"/>
      <c r="H150" s="4"/>
      <c r="I150" s="4"/>
      <c r="J150" s="4"/>
      <c r="K150" s="4"/>
      <c r="L150" s="4"/>
      <c r="M150" s="7"/>
      <c r="N150" s="7"/>
      <c r="O150" s="7"/>
      <c r="P150" s="4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4"/>
      <c r="B151" s="4"/>
      <c r="C151" s="8"/>
      <c r="D151" s="5"/>
      <c r="E151" s="6"/>
      <c r="F151" s="6"/>
      <c r="G151" s="6"/>
      <c r="H151" s="4"/>
      <c r="I151" s="4"/>
      <c r="J151" s="4"/>
      <c r="K151" s="4"/>
      <c r="L151" s="7"/>
      <c r="M151" s="7"/>
      <c r="N151" s="7"/>
      <c r="O151" s="7"/>
      <c r="P151" s="7"/>
      <c r="Q151" s="4"/>
      <c r="R151" s="7"/>
      <c r="S151" s="7"/>
      <c r="T151" s="7"/>
      <c r="U151" s="7"/>
      <c r="V151" s="7"/>
      <c r="W151" s="7"/>
      <c r="X151" s="7"/>
      <c r="Y151" s="7"/>
    </row>
    <row r="152">
      <c r="A152" s="4"/>
      <c r="B152" s="4"/>
      <c r="C152" s="8"/>
      <c r="D152" s="5"/>
      <c r="E152" s="6"/>
      <c r="F152" s="6"/>
      <c r="G152" s="6"/>
      <c r="H152" s="4"/>
      <c r="I152" s="4"/>
      <c r="J152" s="4"/>
      <c r="K152" s="4"/>
      <c r="L152" s="7"/>
      <c r="M152" s="7"/>
      <c r="N152" s="4"/>
      <c r="O152" s="7"/>
      <c r="P152" s="4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4"/>
      <c r="B153" s="4"/>
      <c r="C153" s="8"/>
      <c r="D153" s="5"/>
      <c r="E153" s="6"/>
      <c r="F153" s="6"/>
      <c r="G153" s="6"/>
      <c r="H153" s="4"/>
      <c r="I153" s="4"/>
      <c r="J153" s="4"/>
      <c r="K153" s="4"/>
      <c r="L153" s="7"/>
      <c r="M153" s="7"/>
      <c r="N153" s="7"/>
      <c r="O153" s="7"/>
      <c r="P153" s="4"/>
      <c r="Q153" s="7"/>
      <c r="R153" s="7"/>
      <c r="S153" s="7"/>
      <c r="T153" s="4"/>
      <c r="U153" s="7"/>
      <c r="V153" s="7"/>
      <c r="W153" s="7"/>
      <c r="X153" s="7"/>
      <c r="Y153" s="7"/>
    </row>
    <row r="154">
      <c r="A154" s="4"/>
      <c r="B154" s="4"/>
      <c r="C154" s="8"/>
      <c r="D154" s="5"/>
      <c r="E154" s="6"/>
      <c r="F154" s="6"/>
      <c r="G154" s="6"/>
      <c r="H154" s="4"/>
      <c r="I154" s="4"/>
      <c r="J154" s="4"/>
      <c r="K154" s="4"/>
      <c r="L154" s="7"/>
      <c r="M154" s="7"/>
      <c r="N154" s="7"/>
      <c r="O154" s="7"/>
      <c r="P154" s="4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4"/>
      <c r="B155" s="4"/>
      <c r="C155" s="8"/>
      <c r="D155" s="5"/>
      <c r="E155" s="6"/>
      <c r="F155" s="6"/>
      <c r="G155" s="6"/>
      <c r="H155" s="4"/>
      <c r="I155" s="4"/>
      <c r="J155" s="4"/>
      <c r="K155" s="4"/>
      <c r="L155" s="7"/>
      <c r="M155" s="7"/>
      <c r="N155" s="7"/>
      <c r="O155" s="7"/>
      <c r="P155" s="7"/>
      <c r="Q155" s="4"/>
      <c r="R155" s="7"/>
      <c r="S155" s="4"/>
      <c r="T155" s="7"/>
      <c r="U155" s="7"/>
      <c r="V155" s="7"/>
      <c r="W155" s="7"/>
      <c r="X155" s="7"/>
      <c r="Y155" s="7"/>
    </row>
    <row r="156">
      <c r="A156" s="4"/>
      <c r="B156" s="4"/>
      <c r="C156" s="8"/>
      <c r="D156" s="5"/>
      <c r="E156" s="6"/>
      <c r="F156" s="6"/>
      <c r="G156" s="6"/>
      <c r="H156" s="4"/>
      <c r="I156" s="4"/>
      <c r="J156" s="4"/>
      <c r="K156" s="4"/>
      <c r="L156" s="7"/>
      <c r="M156" s="7"/>
      <c r="N156" s="4"/>
      <c r="O156" s="7"/>
      <c r="P156" s="4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4"/>
      <c r="B157" s="4"/>
      <c r="C157" s="8"/>
      <c r="D157" s="5"/>
      <c r="E157" s="6"/>
      <c r="F157" s="6"/>
      <c r="G157" s="6"/>
      <c r="H157" s="4"/>
      <c r="I157" s="4"/>
      <c r="J157" s="4"/>
      <c r="K157" s="4"/>
      <c r="L157" s="4"/>
      <c r="M157" s="7"/>
      <c r="N157" s="7"/>
      <c r="O157" s="7"/>
      <c r="P157" s="4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4"/>
      <c r="B158" s="4"/>
      <c r="C158" s="8"/>
      <c r="D158" s="5"/>
      <c r="E158" s="6"/>
      <c r="F158" s="6"/>
      <c r="G158" s="6"/>
      <c r="H158" s="4"/>
      <c r="I158" s="4"/>
      <c r="J158" s="4"/>
      <c r="K158" s="4"/>
      <c r="L158" s="7"/>
      <c r="M158" s="7"/>
      <c r="N158" s="7"/>
      <c r="O158" s="7"/>
      <c r="P158" s="4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4"/>
      <c r="B159" s="4"/>
      <c r="C159" s="8"/>
      <c r="D159" s="5"/>
      <c r="E159" s="6"/>
      <c r="F159" s="6"/>
      <c r="G159" s="6"/>
      <c r="H159" s="4"/>
      <c r="I159" s="4"/>
      <c r="J159" s="4"/>
      <c r="K159" s="4"/>
      <c r="L159" s="7"/>
      <c r="M159" s="7"/>
      <c r="N159" s="7"/>
      <c r="O159" s="7"/>
      <c r="P159" s="4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4"/>
      <c r="B160" s="4"/>
      <c r="C160" s="8"/>
      <c r="D160" s="5"/>
      <c r="E160" s="6"/>
      <c r="F160" s="6"/>
      <c r="G160" s="6"/>
      <c r="H160" s="4"/>
      <c r="I160" s="4"/>
      <c r="J160" s="4"/>
      <c r="K160" s="4"/>
      <c r="L160" s="4"/>
      <c r="M160" s="7"/>
      <c r="N160" s="7"/>
      <c r="O160" s="7"/>
      <c r="P160" s="4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4"/>
      <c r="B161" s="4"/>
      <c r="C161" s="8"/>
      <c r="D161" s="5"/>
      <c r="E161" s="6"/>
      <c r="F161" s="6"/>
      <c r="G161" s="6"/>
      <c r="H161" s="4"/>
      <c r="I161" s="4"/>
      <c r="J161" s="4"/>
      <c r="K161" s="4"/>
      <c r="L161" s="4"/>
      <c r="M161" s="7"/>
      <c r="N161" s="7"/>
      <c r="O161" s="7"/>
      <c r="P161" s="7"/>
      <c r="Q161" s="4"/>
      <c r="R161" s="7"/>
      <c r="S161" s="7"/>
      <c r="T161" s="7"/>
      <c r="U161" s="7"/>
      <c r="V161" s="7"/>
      <c r="W161" s="7"/>
      <c r="X161" s="7"/>
      <c r="Y161" s="7"/>
    </row>
    <row r="162">
      <c r="A162" s="4"/>
      <c r="B162" s="4"/>
      <c r="C162" s="8"/>
      <c r="D162" s="5"/>
      <c r="E162" s="6"/>
      <c r="F162" s="6"/>
      <c r="G162" s="6"/>
      <c r="H162" s="4"/>
      <c r="I162" s="4"/>
      <c r="J162" s="4"/>
      <c r="K162" s="4"/>
      <c r="L162" s="7"/>
      <c r="M162" s="7"/>
      <c r="N162" s="7"/>
      <c r="O162" s="7"/>
      <c r="P162" s="4"/>
      <c r="Q162" s="7"/>
      <c r="R162" s="4"/>
      <c r="S162" s="7"/>
      <c r="T162" s="7"/>
      <c r="U162" s="7"/>
      <c r="V162" s="7"/>
      <c r="W162" s="7"/>
      <c r="X162" s="7"/>
      <c r="Y162" s="7"/>
    </row>
    <row r="163">
      <c r="A163" s="4"/>
      <c r="B163" s="4"/>
      <c r="C163" s="8"/>
      <c r="D163" s="5"/>
      <c r="E163" s="6"/>
      <c r="F163" s="6"/>
      <c r="G163" s="6"/>
      <c r="H163" s="4"/>
      <c r="I163" s="4"/>
      <c r="J163" s="4"/>
      <c r="K163" s="4"/>
      <c r="L163" s="7"/>
      <c r="M163" s="7"/>
      <c r="N163" s="7"/>
      <c r="O163" s="7"/>
      <c r="P163" s="4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4"/>
      <c r="B164" s="4"/>
      <c r="C164" s="8"/>
      <c r="D164" s="5"/>
      <c r="E164" s="6"/>
      <c r="F164" s="6"/>
      <c r="G164" s="6"/>
      <c r="H164" s="4"/>
      <c r="I164" s="4"/>
      <c r="J164" s="4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"/>
      <c r="X164" s="7"/>
      <c r="Y164" s="7"/>
    </row>
    <row r="165">
      <c r="A165" s="4"/>
      <c r="B165" s="4"/>
      <c r="C165" s="8"/>
      <c r="D165" s="5"/>
      <c r="E165" s="6"/>
      <c r="F165" s="6"/>
      <c r="G165" s="6"/>
      <c r="H165" s="4"/>
      <c r="I165" s="4"/>
      <c r="J165" s="4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"/>
      <c r="X165" s="7"/>
      <c r="Y165" s="7"/>
    </row>
    <row r="166">
      <c r="A166" s="4"/>
      <c r="B166" s="8"/>
      <c r="C166" s="4"/>
      <c r="D166" s="5"/>
      <c r="E166" s="6"/>
      <c r="F166" s="6"/>
      <c r="G166" s="6"/>
      <c r="H166" s="4"/>
      <c r="I166" s="4"/>
      <c r="J166" s="4"/>
      <c r="K166" s="4"/>
      <c r="L166" s="7"/>
      <c r="M166" s="7"/>
      <c r="N166" s="7"/>
      <c r="O166" s="7"/>
      <c r="P166" s="4"/>
      <c r="Q166" s="7"/>
      <c r="R166" s="7"/>
      <c r="S166" s="7"/>
      <c r="T166" s="7"/>
      <c r="U166" s="7"/>
      <c r="V166" s="7"/>
      <c r="W166" s="4"/>
      <c r="X166" s="7"/>
      <c r="Y166" s="7"/>
    </row>
    <row r="167">
      <c r="A167" s="4"/>
      <c r="B167" s="8"/>
      <c r="C167" s="8"/>
      <c r="D167" s="5"/>
      <c r="E167" s="6"/>
      <c r="F167" s="6"/>
      <c r="G167" s="6"/>
      <c r="H167" s="4"/>
      <c r="I167" s="4"/>
      <c r="J167" s="4"/>
      <c r="K167" s="4"/>
      <c r="L167" s="7"/>
      <c r="M167" s="7"/>
      <c r="N167" s="7"/>
      <c r="O167" s="7"/>
      <c r="P167" s="4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4"/>
      <c r="B168" s="8"/>
      <c r="C168" s="8"/>
      <c r="D168" s="5"/>
      <c r="E168" s="6"/>
      <c r="F168" s="6"/>
      <c r="G168" s="6"/>
      <c r="H168" s="4"/>
      <c r="I168" s="4"/>
      <c r="J168" s="4"/>
      <c r="K168" s="4"/>
      <c r="L168" s="7"/>
      <c r="M168" s="7"/>
      <c r="N168" s="7"/>
      <c r="O168" s="7"/>
      <c r="P168" s="4"/>
      <c r="Q168" s="7"/>
      <c r="R168" s="7"/>
      <c r="S168" s="7"/>
      <c r="T168" s="7"/>
      <c r="U168" s="7"/>
      <c r="V168" s="7"/>
      <c r="W168" s="4"/>
      <c r="X168" s="7"/>
      <c r="Y168" s="7"/>
    </row>
    <row r="169">
      <c r="A169" s="4"/>
      <c r="B169" s="8"/>
      <c r="C169" s="8"/>
      <c r="D169" s="5"/>
      <c r="E169" s="6"/>
      <c r="F169" s="6"/>
      <c r="G169" s="6"/>
      <c r="H169" s="4"/>
      <c r="I169" s="4"/>
      <c r="J169" s="4"/>
      <c r="K169" s="4"/>
      <c r="L169" s="7"/>
      <c r="M169" s="7"/>
      <c r="N169" s="7"/>
      <c r="O169" s="7"/>
      <c r="P169" s="4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4"/>
      <c r="B170" s="4"/>
      <c r="C170" s="8"/>
      <c r="D170" s="5"/>
      <c r="E170" s="6"/>
      <c r="F170" s="6"/>
      <c r="G170" s="6"/>
      <c r="H170" s="4"/>
      <c r="I170" s="4"/>
      <c r="J170" s="4"/>
      <c r="K170" s="4"/>
      <c r="L170" s="7"/>
      <c r="M170" s="7"/>
      <c r="N170" s="7"/>
      <c r="O170" s="4"/>
      <c r="P170" s="7"/>
      <c r="Q170" s="4"/>
      <c r="R170" s="7"/>
      <c r="S170" s="7"/>
      <c r="T170" s="7"/>
      <c r="U170" s="7"/>
      <c r="V170" s="7"/>
      <c r="W170" s="7"/>
      <c r="X170" s="7"/>
      <c r="Y170" s="7"/>
    </row>
    <row r="171">
      <c r="A171" s="4"/>
      <c r="B171" s="4"/>
      <c r="C171" s="8"/>
      <c r="D171" s="5"/>
      <c r="E171" s="6"/>
      <c r="F171" s="6"/>
      <c r="G171" s="6"/>
      <c r="H171" s="4"/>
      <c r="I171" s="4"/>
      <c r="J171" s="4"/>
      <c r="K171" s="4"/>
      <c r="L171" s="7"/>
      <c r="M171" s="7"/>
      <c r="N171" s="4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7"/>
    </row>
    <row r="172">
      <c r="A172" s="4"/>
      <c r="B172" s="4"/>
      <c r="C172" s="8"/>
      <c r="D172" s="5"/>
      <c r="E172" s="6"/>
      <c r="F172" s="6"/>
      <c r="G172" s="6"/>
      <c r="H172" s="4"/>
      <c r="I172" s="4"/>
      <c r="J172" s="4"/>
      <c r="K172" s="4"/>
      <c r="L172" s="7"/>
      <c r="M172" s="7"/>
      <c r="N172" s="4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7"/>
    </row>
    <row r="173">
      <c r="A173" s="4"/>
      <c r="B173" s="4"/>
      <c r="C173" s="8"/>
      <c r="D173" s="5"/>
      <c r="E173" s="6"/>
      <c r="F173" s="6"/>
      <c r="G173" s="6"/>
      <c r="H173" s="4"/>
      <c r="I173" s="4"/>
      <c r="J173" s="4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7"/>
    </row>
    <row r="174">
      <c r="A174" s="4"/>
      <c r="B174" s="4"/>
      <c r="C174" s="8"/>
      <c r="D174" s="5"/>
      <c r="E174" s="6"/>
      <c r="F174" s="6"/>
      <c r="G174" s="6"/>
      <c r="H174" s="4"/>
      <c r="I174" s="4"/>
      <c r="J174" s="4"/>
      <c r="K174" s="4"/>
      <c r="L174" s="7"/>
      <c r="M174" s="7"/>
      <c r="N174" s="7"/>
      <c r="O174" s="4"/>
      <c r="P174" s="7"/>
      <c r="Q174" s="7"/>
      <c r="R174" s="7"/>
      <c r="S174" s="7"/>
      <c r="T174" s="7"/>
      <c r="U174" s="7"/>
      <c r="V174" s="7"/>
      <c r="W174" s="7"/>
      <c r="X174" s="4"/>
      <c r="Y174" s="7"/>
    </row>
    <row r="175">
      <c r="A175" s="4"/>
      <c r="B175" s="4"/>
      <c r="C175" s="8"/>
      <c r="D175" s="5"/>
      <c r="E175" s="6"/>
      <c r="F175" s="6"/>
      <c r="G175" s="6"/>
      <c r="H175" s="4"/>
      <c r="I175" s="4"/>
      <c r="J175" s="4"/>
      <c r="K175" s="4"/>
      <c r="L175" s="7"/>
      <c r="M175" s="7"/>
      <c r="N175" s="7"/>
      <c r="O175" s="4"/>
      <c r="P175" s="7"/>
      <c r="Q175" s="7"/>
      <c r="R175" s="7"/>
      <c r="S175" s="7"/>
      <c r="T175" s="7"/>
      <c r="U175" s="7"/>
      <c r="V175" s="7"/>
      <c r="W175" s="7"/>
      <c r="X175" s="4"/>
      <c r="Y175" s="7"/>
    </row>
    <row r="176">
      <c r="A176" s="4"/>
      <c r="B176" s="4"/>
      <c r="C176" s="8"/>
      <c r="D176" s="5"/>
      <c r="E176" s="6"/>
      <c r="F176" s="6"/>
      <c r="G176" s="6"/>
      <c r="H176" s="4"/>
      <c r="I176" s="4"/>
      <c r="J176" s="4"/>
      <c r="K176" s="4"/>
      <c r="L176" s="7"/>
      <c r="M176" s="7"/>
      <c r="N176" s="7"/>
      <c r="O176" s="4"/>
      <c r="P176" s="7"/>
      <c r="Q176" s="7"/>
      <c r="R176" s="7"/>
      <c r="S176" s="7"/>
      <c r="T176" s="7"/>
      <c r="U176" s="7"/>
      <c r="V176" s="7"/>
      <c r="W176" s="7"/>
      <c r="X176" s="4"/>
      <c r="Y176" s="7"/>
    </row>
    <row r="177">
      <c r="A177" s="4"/>
      <c r="B177" s="4"/>
      <c r="C177" s="8"/>
      <c r="D177" s="5"/>
      <c r="E177" s="6"/>
      <c r="F177" s="6"/>
      <c r="G177" s="6"/>
      <c r="H177" s="4"/>
      <c r="I177" s="4"/>
      <c r="J177" s="4"/>
      <c r="K177" s="4"/>
      <c r="L177" s="7"/>
      <c r="M177" s="7"/>
      <c r="N177" s="7"/>
      <c r="O177" s="4"/>
      <c r="P177" s="7"/>
      <c r="Q177" s="7"/>
      <c r="R177" s="7"/>
      <c r="S177" s="7"/>
      <c r="T177" s="7"/>
      <c r="U177" s="7"/>
      <c r="V177" s="7"/>
      <c r="W177" s="7"/>
      <c r="X177" s="4"/>
      <c r="Y177" s="7"/>
    </row>
    <row r="178">
      <c r="A178" s="4"/>
      <c r="B178" s="4"/>
      <c r="C178" s="8"/>
      <c r="D178" s="5"/>
      <c r="E178" s="6"/>
      <c r="F178" s="6"/>
      <c r="G178" s="6"/>
      <c r="H178" s="4"/>
      <c r="I178" s="4"/>
      <c r="J178" s="4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7"/>
    </row>
    <row r="179">
      <c r="A179" s="4"/>
      <c r="B179" s="4"/>
      <c r="C179" s="8"/>
      <c r="D179" s="5"/>
      <c r="E179" s="6"/>
      <c r="F179" s="6"/>
      <c r="G179" s="6"/>
      <c r="H179" s="4"/>
      <c r="I179" s="4"/>
      <c r="J179" s="4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7"/>
    </row>
    <row r="180">
      <c r="A180" s="4"/>
      <c r="B180" s="4"/>
      <c r="C180" s="8"/>
      <c r="D180" s="5"/>
      <c r="E180" s="6"/>
      <c r="F180" s="6"/>
      <c r="G180" s="6"/>
      <c r="H180" s="4"/>
      <c r="I180" s="4"/>
      <c r="J180" s="4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7"/>
    </row>
    <row r="181">
      <c r="A181" s="4"/>
      <c r="B181" s="4"/>
      <c r="C181" s="8"/>
      <c r="D181" s="5"/>
      <c r="E181" s="6"/>
      <c r="F181" s="6"/>
      <c r="G181" s="6"/>
      <c r="H181" s="4"/>
      <c r="I181" s="4"/>
      <c r="J181" s="4"/>
      <c r="K181" s="4"/>
      <c r="L181" s="7"/>
      <c r="M181" s="7"/>
      <c r="N181" s="7"/>
      <c r="O181" s="7"/>
      <c r="P181" s="7"/>
      <c r="Q181" s="4"/>
      <c r="R181" s="7"/>
      <c r="S181" s="7"/>
      <c r="T181" s="7"/>
      <c r="U181" s="7"/>
      <c r="V181" s="7"/>
      <c r="W181" s="4"/>
      <c r="X181" s="7"/>
      <c r="Y181" s="7"/>
    </row>
    <row r="182">
      <c r="A182" s="4"/>
      <c r="B182" s="4"/>
      <c r="C182" s="8"/>
      <c r="D182" s="5"/>
      <c r="E182" s="6"/>
      <c r="F182" s="6"/>
      <c r="G182" s="6"/>
      <c r="H182" s="4"/>
      <c r="I182" s="4"/>
      <c r="J182" s="4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"/>
      <c r="X182" s="7"/>
      <c r="Y182" s="7"/>
    </row>
    <row r="183">
      <c r="A183" s="4"/>
      <c r="B183" s="4"/>
      <c r="C183" s="8"/>
      <c r="D183" s="5"/>
      <c r="E183" s="6"/>
      <c r="F183" s="6"/>
      <c r="G183" s="6"/>
      <c r="H183" s="4"/>
      <c r="I183" s="4"/>
      <c r="J183" s="4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"/>
      <c r="X183" s="7"/>
      <c r="Y183" s="7"/>
    </row>
    <row r="184">
      <c r="A184" s="4"/>
      <c r="B184" s="4"/>
      <c r="C184" s="8"/>
      <c r="D184" s="5"/>
      <c r="E184" s="6"/>
      <c r="F184" s="6"/>
      <c r="G184" s="6"/>
      <c r="H184" s="4"/>
      <c r="I184" s="4"/>
      <c r="J184" s="4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4"/>
      <c r="W184" s="7"/>
      <c r="X184" s="7"/>
      <c r="Y184" s="7"/>
    </row>
    <row r="185">
      <c r="A185" s="4"/>
      <c r="B185" s="4"/>
      <c r="C185" s="8"/>
      <c r="D185" s="5"/>
      <c r="E185" s="6"/>
      <c r="F185" s="6"/>
      <c r="G185" s="6"/>
      <c r="H185" s="4"/>
      <c r="I185" s="4"/>
      <c r="J185" s="4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4"/>
      <c r="W185" s="7"/>
      <c r="X185" s="7"/>
      <c r="Y185" s="7"/>
    </row>
    <row r="186">
      <c r="A186" s="4"/>
      <c r="B186" s="4"/>
      <c r="C186" s="8"/>
      <c r="D186" s="5"/>
      <c r="E186" s="6"/>
      <c r="F186" s="6"/>
      <c r="G186" s="6"/>
      <c r="H186" s="4"/>
      <c r="I186" s="4"/>
      <c r="J186" s="4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4"/>
      <c r="W186" s="7"/>
      <c r="X186" s="7"/>
      <c r="Y186" s="7"/>
    </row>
    <row r="187">
      <c r="A187" s="4"/>
      <c r="B187" s="4"/>
      <c r="C187" s="8"/>
      <c r="D187" s="5"/>
      <c r="E187" s="6"/>
      <c r="F187" s="6"/>
      <c r="G187" s="6"/>
      <c r="H187" s="4"/>
      <c r="I187" s="4"/>
      <c r="J187" s="4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4"/>
      <c r="W187" s="7"/>
      <c r="X187" s="7"/>
      <c r="Y187" s="7"/>
    </row>
    <row r="188">
      <c r="A188" s="4"/>
      <c r="B188" s="4"/>
      <c r="C188" s="8"/>
      <c r="D188" s="5"/>
      <c r="E188" s="6"/>
      <c r="F188" s="6"/>
      <c r="G188" s="6"/>
      <c r="H188" s="4"/>
      <c r="I188" s="4"/>
      <c r="J188" s="4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4"/>
      <c r="W188" s="7"/>
      <c r="X188" s="7"/>
      <c r="Y188" s="7"/>
    </row>
    <row r="189">
      <c r="A189" s="4"/>
      <c r="B189" s="4"/>
      <c r="C189" s="8"/>
      <c r="D189" s="5"/>
      <c r="E189" s="6"/>
      <c r="F189" s="6"/>
      <c r="G189" s="6"/>
      <c r="H189" s="4"/>
      <c r="I189" s="4"/>
      <c r="J189" s="4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4"/>
      <c r="W189" s="7"/>
      <c r="X189" s="7"/>
      <c r="Y189" s="7"/>
    </row>
    <row r="190">
      <c r="A190" s="4"/>
      <c r="B190" s="4"/>
      <c r="C190" s="8"/>
      <c r="D190" s="5"/>
      <c r="E190" s="6"/>
      <c r="F190" s="6"/>
      <c r="G190" s="6"/>
      <c r="H190" s="4"/>
      <c r="I190" s="4"/>
      <c r="J190" s="4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4"/>
      <c r="W190" s="7"/>
      <c r="X190" s="7"/>
      <c r="Y190" s="7"/>
    </row>
    <row r="191">
      <c r="A191" s="4"/>
      <c r="B191" s="4"/>
      <c r="C191" s="8"/>
      <c r="D191" s="5"/>
      <c r="E191" s="6"/>
      <c r="F191" s="6"/>
      <c r="G191" s="6"/>
      <c r="H191" s="4"/>
      <c r="I191" s="4"/>
      <c r="J191" s="4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4"/>
      <c r="W191" s="7"/>
      <c r="X191" s="7"/>
      <c r="Y191" s="7"/>
    </row>
    <row r="192">
      <c r="A192" s="4"/>
      <c r="B192" s="4"/>
      <c r="C192" s="8"/>
      <c r="D192" s="5"/>
      <c r="E192" s="6"/>
      <c r="F192" s="6"/>
      <c r="G192" s="6"/>
      <c r="H192" s="4"/>
      <c r="I192" s="4"/>
      <c r="J192" s="4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4"/>
      <c r="W192" s="7"/>
      <c r="X192" s="7"/>
      <c r="Y192" s="7"/>
    </row>
    <row r="193">
      <c r="A193" s="4"/>
      <c r="B193" s="4"/>
      <c r="C193" s="8"/>
      <c r="D193" s="5"/>
      <c r="E193" s="6"/>
      <c r="F193" s="6"/>
      <c r="G193" s="6"/>
      <c r="H193" s="4"/>
      <c r="I193" s="4"/>
      <c r="J193" s="4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4"/>
      <c r="W193" s="7"/>
      <c r="X193" s="7"/>
      <c r="Y193" s="7"/>
    </row>
    <row r="194">
      <c r="A194" s="4"/>
      <c r="B194" s="4"/>
      <c r="C194" s="8"/>
      <c r="D194" s="5"/>
      <c r="E194" s="6"/>
      <c r="F194" s="6"/>
      <c r="G194" s="6"/>
      <c r="H194" s="4"/>
      <c r="I194" s="4"/>
      <c r="J194" s="4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4"/>
      <c r="W194" s="7"/>
      <c r="X194" s="7"/>
      <c r="Y194" s="7"/>
    </row>
    <row r="195">
      <c r="A195" s="4"/>
      <c r="B195" s="4"/>
      <c r="C195" s="8"/>
      <c r="D195" s="5"/>
      <c r="E195" s="6"/>
      <c r="F195" s="6"/>
      <c r="G195" s="6"/>
      <c r="H195" s="4"/>
      <c r="I195" s="4"/>
      <c r="J195" s="4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4"/>
      <c r="W195" s="7"/>
      <c r="X195" s="7"/>
      <c r="Y195" s="7"/>
    </row>
    <row r="196">
      <c r="A196" s="4"/>
      <c r="B196" s="4"/>
      <c r="C196" s="8"/>
      <c r="D196" s="5"/>
      <c r="E196" s="6"/>
      <c r="F196" s="6"/>
      <c r="G196" s="6"/>
      <c r="H196" s="4"/>
      <c r="I196" s="4"/>
      <c r="J196" s="4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4"/>
      <c r="W196" s="7"/>
      <c r="X196" s="7"/>
      <c r="Y196" s="7"/>
    </row>
    <row r="197">
      <c r="A197" s="4"/>
      <c r="B197" s="4"/>
      <c r="C197" s="8"/>
      <c r="D197" s="5"/>
      <c r="E197" s="6"/>
      <c r="F197" s="6"/>
      <c r="G197" s="6"/>
      <c r="H197" s="4"/>
      <c r="I197" s="4"/>
      <c r="J197" s="4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4"/>
      <c r="W197" s="7"/>
      <c r="X197" s="7"/>
      <c r="Y197" s="7"/>
    </row>
    <row r="198">
      <c r="A198" s="4"/>
      <c r="B198" s="4"/>
      <c r="C198" s="8"/>
      <c r="D198" s="5"/>
      <c r="E198" s="6"/>
      <c r="F198" s="6"/>
      <c r="G198" s="6"/>
      <c r="H198" s="4"/>
      <c r="I198" s="4"/>
      <c r="J198" s="4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4"/>
      <c r="W198" s="7"/>
      <c r="X198" s="7"/>
      <c r="Y198" s="7"/>
    </row>
    <row r="199">
      <c r="A199" s="4"/>
      <c r="B199" s="4"/>
      <c r="C199" s="8"/>
      <c r="D199" s="5"/>
      <c r="E199" s="6"/>
      <c r="F199" s="6"/>
      <c r="G199" s="6"/>
      <c r="H199" s="4"/>
      <c r="I199" s="4"/>
      <c r="J199" s="4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4"/>
      <c r="W199" s="7"/>
      <c r="X199" s="7"/>
      <c r="Y199" s="7"/>
    </row>
    <row r="200">
      <c r="A200" s="4"/>
      <c r="B200" s="4"/>
      <c r="C200" s="8"/>
      <c r="D200" s="5"/>
      <c r="E200" s="6"/>
      <c r="F200" s="6"/>
      <c r="G200" s="6"/>
      <c r="H200" s="4"/>
      <c r="I200" s="4"/>
      <c r="J200" s="4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4"/>
      <c r="W200" s="7"/>
      <c r="X200" s="7"/>
      <c r="Y200" s="7"/>
    </row>
    <row r="201">
      <c r="A201" s="4"/>
      <c r="B201" s="4"/>
      <c r="C201" s="8"/>
      <c r="D201" s="5"/>
      <c r="E201" s="6"/>
      <c r="F201" s="6"/>
      <c r="G201" s="6"/>
      <c r="H201" s="4"/>
      <c r="I201" s="4"/>
      <c r="J201" s="4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4"/>
      <c r="B202" s="4"/>
      <c r="C202" s="8"/>
      <c r="D202" s="5"/>
      <c r="E202" s="6"/>
      <c r="F202" s="6"/>
      <c r="G202" s="6"/>
      <c r="H202" s="4"/>
      <c r="I202" s="4"/>
      <c r="J202" s="4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4"/>
      <c r="B203" s="4"/>
      <c r="C203" s="8"/>
      <c r="D203" s="5"/>
      <c r="E203" s="6"/>
      <c r="F203" s="6"/>
      <c r="G203" s="6"/>
      <c r="H203" s="4"/>
      <c r="I203" s="4"/>
      <c r="J203" s="4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4"/>
      <c r="B204" s="4"/>
      <c r="C204" s="8"/>
      <c r="D204" s="5"/>
      <c r="E204" s="6"/>
      <c r="F204" s="6"/>
      <c r="G204" s="6"/>
      <c r="H204" s="4"/>
      <c r="I204" s="4"/>
      <c r="J204" s="4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4"/>
      <c r="B205" s="4"/>
      <c r="C205" s="8"/>
      <c r="D205" s="5"/>
      <c r="E205" s="6"/>
      <c r="F205" s="6"/>
      <c r="G205" s="6"/>
      <c r="H205" s="4"/>
      <c r="I205" s="4"/>
      <c r="J205" s="4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4"/>
      <c r="B206" s="4"/>
      <c r="C206" s="8"/>
      <c r="D206" s="5"/>
      <c r="E206" s="6"/>
      <c r="F206" s="6"/>
      <c r="G206" s="6"/>
      <c r="H206" s="4"/>
      <c r="I206" s="4"/>
      <c r="J206" s="4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4"/>
      <c r="B207" s="4"/>
      <c r="C207" s="8"/>
      <c r="D207" s="5"/>
      <c r="E207" s="6"/>
      <c r="F207" s="6"/>
      <c r="G207" s="6"/>
      <c r="H207" s="4"/>
      <c r="I207" s="4"/>
      <c r="J207" s="4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4"/>
      <c r="B208" s="4"/>
      <c r="C208" s="8"/>
      <c r="D208" s="5"/>
      <c r="E208" s="6"/>
      <c r="F208" s="6"/>
      <c r="G208" s="6"/>
      <c r="H208" s="4"/>
      <c r="I208" s="4"/>
      <c r="J208" s="4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4"/>
      <c r="B209" s="4"/>
      <c r="C209" s="8"/>
      <c r="D209" s="5"/>
      <c r="E209" s="6"/>
      <c r="F209" s="6"/>
      <c r="G209" s="6"/>
      <c r="H209" s="4"/>
      <c r="I209" s="4"/>
      <c r="J209" s="4"/>
      <c r="K209" s="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4"/>
      <c r="B210" s="4"/>
      <c r="C210" s="8"/>
      <c r="D210" s="5"/>
      <c r="E210" s="6"/>
      <c r="F210" s="6"/>
      <c r="G210" s="6"/>
      <c r="H210" s="4"/>
      <c r="I210" s="4"/>
      <c r="J210" s="4"/>
      <c r="K210" s="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4"/>
      <c r="B211" s="4"/>
      <c r="C211" s="8"/>
      <c r="D211" s="5"/>
      <c r="E211" s="6"/>
      <c r="F211" s="6"/>
      <c r="G211" s="6"/>
      <c r="H211" s="4"/>
      <c r="I211" s="4"/>
      <c r="J211" s="4"/>
      <c r="K211" s="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4"/>
      <c r="B212" s="4"/>
      <c r="C212" s="8"/>
      <c r="D212" s="5"/>
      <c r="E212" s="6"/>
      <c r="F212" s="6"/>
      <c r="G212" s="6"/>
      <c r="H212" s="4"/>
      <c r="I212" s="4"/>
      <c r="J212" s="4"/>
      <c r="K212" s="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4"/>
      <c r="B213" s="4"/>
      <c r="C213" s="8"/>
      <c r="D213" s="5"/>
      <c r="E213" s="6"/>
      <c r="F213" s="6"/>
      <c r="G213" s="6"/>
      <c r="H213" s="4"/>
      <c r="I213" s="4"/>
      <c r="J213" s="4"/>
      <c r="K213" s="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4"/>
      <c r="B214" s="4"/>
      <c r="C214" s="8"/>
      <c r="D214" s="5"/>
      <c r="E214" s="6"/>
      <c r="F214" s="6"/>
      <c r="G214" s="6"/>
      <c r="H214" s="4"/>
      <c r="I214" s="4"/>
      <c r="J214" s="4"/>
      <c r="K214" s="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4"/>
      <c r="B215" s="4"/>
      <c r="C215" s="8"/>
      <c r="D215" s="5"/>
      <c r="E215" s="6"/>
      <c r="F215" s="6"/>
      <c r="G215" s="6"/>
      <c r="H215" s="4"/>
      <c r="I215" s="4"/>
      <c r="J215" s="4"/>
      <c r="K215" s="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4"/>
      <c r="B216" s="4"/>
      <c r="C216" s="8"/>
      <c r="D216" s="5"/>
      <c r="E216" s="6"/>
      <c r="F216" s="6"/>
      <c r="G216" s="6"/>
      <c r="H216" s="4"/>
      <c r="I216" s="4"/>
      <c r="J216" s="4"/>
      <c r="K216" s="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4"/>
      <c r="B217" s="4"/>
      <c r="C217" s="8"/>
      <c r="D217" s="5"/>
      <c r="E217" s="6"/>
      <c r="F217" s="6"/>
      <c r="G217" s="6"/>
      <c r="H217" s="4"/>
      <c r="I217" s="4"/>
      <c r="J217" s="4"/>
      <c r="K217" s="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4"/>
      <c r="B218" s="4"/>
      <c r="C218" s="8"/>
      <c r="D218" s="5"/>
      <c r="E218" s="6"/>
      <c r="F218" s="6"/>
      <c r="G218" s="6"/>
      <c r="H218" s="4"/>
      <c r="I218" s="4"/>
      <c r="J218" s="4"/>
      <c r="K218" s="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4"/>
      <c r="B219" s="4"/>
      <c r="C219" s="8"/>
      <c r="D219" s="5"/>
      <c r="E219" s="6"/>
      <c r="F219" s="6"/>
      <c r="G219" s="6"/>
      <c r="H219" s="4"/>
      <c r="I219" s="4"/>
      <c r="J219" s="4"/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4"/>
      <c r="B220" s="4"/>
      <c r="C220" s="8"/>
      <c r="D220" s="5"/>
      <c r="E220" s="6"/>
      <c r="F220" s="6"/>
      <c r="G220" s="6"/>
      <c r="H220" s="4"/>
      <c r="I220" s="4"/>
      <c r="J220" s="4"/>
      <c r="K220" s="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4"/>
      <c r="B221" s="4"/>
      <c r="C221" s="8"/>
      <c r="D221" s="5"/>
      <c r="E221" s="6"/>
      <c r="F221" s="6"/>
      <c r="G221" s="6"/>
      <c r="H221" s="4"/>
      <c r="I221" s="4"/>
      <c r="J221" s="4"/>
      <c r="K221" s="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4"/>
      <c r="B222" s="4"/>
      <c r="C222" s="8"/>
      <c r="D222" s="5"/>
      <c r="E222" s="6"/>
      <c r="F222" s="6"/>
      <c r="G222" s="6"/>
      <c r="H222" s="4"/>
      <c r="I222" s="4"/>
      <c r="J222" s="4"/>
      <c r="K222" s="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4"/>
      <c r="B223" s="4"/>
      <c r="C223" s="8"/>
      <c r="D223" s="5"/>
      <c r="E223" s="6"/>
      <c r="F223" s="6"/>
      <c r="G223" s="6"/>
      <c r="H223" s="4"/>
      <c r="I223" s="4"/>
      <c r="J223" s="4"/>
      <c r="K223" s="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4"/>
      <c r="B224" s="4"/>
      <c r="C224" s="8"/>
      <c r="D224" s="5"/>
      <c r="E224" s="6"/>
      <c r="F224" s="6"/>
      <c r="G224" s="6"/>
      <c r="H224" s="4"/>
      <c r="I224" s="4"/>
      <c r="J224" s="4"/>
      <c r="K224" s="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4"/>
      <c r="B225" s="4"/>
      <c r="C225" s="8"/>
      <c r="D225" s="5"/>
      <c r="E225" s="6"/>
      <c r="F225" s="6"/>
      <c r="G225" s="6"/>
      <c r="H225" s="4"/>
      <c r="I225" s="4"/>
      <c r="J225" s="4"/>
      <c r="K225" s="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4"/>
      <c r="B226" s="4"/>
      <c r="C226" s="8"/>
      <c r="D226" s="5"/>
      <c r="E226" s="6"/>
      <c r="F226" s="6"/>
      <c r="G226" s="6"/>
      <c r="H226" s="4"/>
      <c r="I226" s="4"/>
      <c r="J226" s="4"/>
      <c r="K226" s="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4"/>
      <c r="B227" s="4"/>
      <c r="C227" s="8"/>
      <c r="D227" s="5"/>
      <c r="E227" s="6"/>
      <c r="F227" s="6"/>
      <c r="G227" s="6"/>
      <c r="H227" s="4"/>
      <c r="I227" s="4"/>
      <c r="J227" s="4"/>
      <c r="K227" s="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4"/>
      <c r="B228" s="4"/>
      <c r="C228" s="8"/>
      <c r="D228" s="5"/>
      <c r="E228" s="6"/>
      <c r="F228" s="6"/>
      <c r="G228" s="6"/>
      <c r="H228" s="4"/>
      <c r="I228" s="4"/>
      <c r="J228" s="4"/>
      <c r="K228" s="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4"/>
      <c r="B229" s="4"/>
      <c r="C229" s="8"/>
      <c r="D229" s="5"/>
      <c r="E229" s="6"/>
      <c r="F229" s="6"/>
      <c r="G229" s="6"/>
      <c r="H229" s="4"/>
      <c r="I229" s="4"/>
      <c r="J229" s="4"/>
      <c r="K229" s="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4"/>
      <c r="B230" s="4"/>
      <c r="C230" s="4"/>
      <c r="D230" s="5"/>
      <c r="E230" s="6"/>
      <c r="F230" s="6"/>
      <c r="G230" s="6"/>
      <c r="H230" s="4"/>
      <c r="I230" s="4"/>
      <c r="J230" s="4"/>
      <c r="K230" s="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4"/>
      <c r="B231" s="4"/>
      <c r="C231" s="4"/>
      <c r="D231" s="5"/>
      <c r="E231" s="6"/>
      <c r="F231" s="6"/>
      <c r="G231" s="6"/>
      <c r="H231" s="4"/>
      <c r="I231" s="4"/>
      <c r="J231" s="4"/>
      <c r="K231" s="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4"/>
      <c r="B232" s="4"/>
      <c r="C232" s="4"/>
      <c r="D232" s="5"/>
      <c r="E232" s="6"/>
      <c r="F232" s="6"/>
      <c r="G232" s="6"/>
      <c r="H232" s="4"/>
      <c r="I232" s="4"/>
      <c r="J232" s="4"/>
      <c r="K232" s="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4"/>
      <c r="B233" s="4"/>
      <c r="C233" s="8"/>
      <c r="D233" s="5"/>
      <c r="E233" s="6"/>
      <c r="F233" s="6"/>
      <c r="G233" s="6"/>
      <c r="H233" s="4"/>
      <c r="I233" s="4"/>
      <c r="J233" s="4"/>
      <c r="K233" s="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4"/>
      <c r="B234" s="4"/>
      <c r="C234" s="8"/>
      <c r="D234" s="5"/>
      <c r="E234" s="6"/>
      <c r="F234" s="6"/>
      <c r="G234" s="6"/>
      <c r="H234" s="4"/>
      <c r="I234" s="4"/>
      <c r="J234" s="4"/>
      <c r="K234" s="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4"/>
      <c r="B235" s="4"/>
      <c r="C235" s="8"/>
      <c r="D235" s="5"/>
      <c r="E235" s="6"/>
      <c r="F235" s="6"/>
      <c r="G235" s="6"/>
      <c r="H235" s="4"/>
      <c r="I235" s="4"/>
      <c r="J235" s="4"/>
      <c r="K235" s="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4"/>
      <c r="B236" s="4"/>
      <c r="C236" s="8"/>
      <c r="D236" s="5"/>
      <c r="E236" s="6"/>
      <c r="F236" s="6"/>
      <c r="G236" s="6"/>
      <c r="H236" s="4"/>
      <c r="I236" s="4"/>
      <c r="J236" s="4"/>
      <c r="K236" s="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4"/>
      <c r="B237" s="4"/>
      <c r="C237" s="8"/>
      <c r="D237" s="5"/>
      <c r="E237" s="6"/>
      <c r="F237" s="6"/>
      <c r="G237" s="6"/>
      <c r="H237" s="4"/>
      <c r="I237" s="4"/>
      <c r="J237" s="4"/>
      <c r="K237" s="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4"/>
      <c r="B238" s="4"/>
      <c r="C238" s="8"/>
      <c r="D238" s="5"/>
      <c r="E238" s="6"/>
      <c r="F238" s="6"/>
      <c r="G238" s="6"/>
      <c r="H238" s="4"/>
      <c r="I238" s="4"/>
      <c r="J238" s="4"/>
      <c r="K238" s="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4"/>
      <c r="B239" s="4"/>
      <c r="C239" s="8"/>
      <c r="D239" s="5"/>
      <c r="E239" s="6"/>
      <c r="F239" s="6"/>
      <c r="G239" s="6"/>
      <c r="H239" s="4"/>
      <c r="I239" s="4"/>
      <c r="J239" s="4"/>
      <c r="K239" s="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4"/>
      <c r="B240" s="4"/>
      <c r="C240" s="8"/>
      <c r="D240" s="9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11"/>
      <c r="D241" s="9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11"/>
      <c r="D242" s="9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11"/>
      <c r="D243" s="9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11"/>
      <c r="D244" s="9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11"/>
      <c r="D245" s="9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11"/>
      <c r="D246" s="9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11"/>
      <c r="D247" s="9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11"/>
      <c r="D248" s="9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11"/>
      <c r="D249" s="9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11"/>
      <c r="D250" s="9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11"/>
      <c r="D251" s="9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11"/>
      <c r="D252" s="9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11"/>
      <c r="D253" s="9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11"/>
      <c r="D254" s="9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11"/>
      <c r="D255" s="9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11"/>
      <c r="D256" s="9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11"/>
      <c r="D257" s="9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11"/>
      <c r="D258" s="9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11"/>
      <c r="D259" s="9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11"/>
      <c r="D260" s="9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11"/>
      <c r="D261" s="9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11"/>
      <c r="D262" s="9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11"/>
      <c r="D263" s="9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11"/>
      <c r="D264" s="9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11"/>
      <c r="D265" s="9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11"/>
      <c r="D266" s="9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11"/>
      <c r="D267" s="9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11"/>
      <c r="D268" s="9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11"/>
      <c r="D269" s="9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11"/>
      <c r="D270" s="9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11"/>
      <c r="D271" s="9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11"/>
      <c r="D272" s="9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11"/>
      <c r="D273" s="9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11"/>
      <c r="D274" s="9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11"/>
      <c r="D275" s="9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11"/>
      <c r="D276" s="9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11"/>
      <c r="D277" s="9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11"/>
      <c r="D278" s="9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11"/>
      <c r="D279" s="9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11"/>
      <c r="D280" s="9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11"/>
      <c r="D281" s="9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11"/>
      <c r="D282" s="9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11"/>
      <c r="D283" s="9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11"/>
      <c r="D284" s="9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11"/>
      <c r="D285" s="9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11"/>
      <c r="D286" s="9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11"/>
      <c r="D287" s="9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11"/>
      <c r="D288" s="9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11"/>
      <c r="D289" s="9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11"/>
      <c r="D290" s="9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11"/>
      <c r="D291" s="9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11"/>
      <c r="D292" s="9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11"/>
      <c r="D293" s="9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11"/>
      <c r="D294" s="9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11"/>
      <c r="D295" s="9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11"/>
      <c r="D296" s="9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11"/>
      <c r="D297" s="9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11"/>
      <c r="D298" s="9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11"/>
      <c r="D299" s="9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11"/>
      <c r="D300" s="9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11"/>
      <c r="D301" s="9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11"/>
      <c r="D302" s="9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11"/>
      <c r="D303" s="9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11"/>
      <c r="D304" s="9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11"/>
      <c r="D305" s="9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11"/>
      <c r="D306" s="9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11"/>
      <c r="D307" s="9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11"/>
      <c r="D308" s="9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11"/>
      <c r="D309" s="9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11"/>
      <c r="D310" s="9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11"/>
      <c r="D311" s="9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11"/>
      <c r="D312" s="9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11"/>
      <c r="D313" s="9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11"/>
      <c r="D314" s="9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11"/>
      <c r="D315" s="9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11"/>
      <c r="D316" s="9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11"/>
      <c r="D317" s="9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11"/>
      <c r="D318" s="9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11"/>
      <c r="D319" s="9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11"/>
      <c r="D320" s="9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11"/>
      <c r="D321" s="9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11"/>
      <c r="D322" s="9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11"/>
      <c r="D323" s="9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11"/>
      <c r="D324" s="9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11"/>
      <c r="D325" s="9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11"/>
      <c r="D326" s="9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11"/>
      <c r="D327" s="9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11"/>
      <c r="D328" s="9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11"/>
      <c r="D329" s="9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11"/>
      <c r="D330" s="9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11"/>
      <c r="D331" s="9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11"/>
      <c r="D332" s="9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11"/>
      <c r="D333" s="9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11"/>
      <c r="D334" s="9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11"/>
      <c r="D335" s="9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11"/>
      <c r="D336" s="9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11"/>
      <c r="D337" s="9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11"/>
      <c r="D338" s="9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11"/>
      <c r="D339" s="9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11"/>
      <c r="D340" s="9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11"/>
      <c r="D341" s="9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11"/>
      <c r="D342" s="9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11"/>
      <c r="D343" s="9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11"/>
      <c r="D344" s="9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11"/>
      <c r="D345" s="9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11"/>
      <c r="D346" s="9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11"/>
      <c r="D347" s="9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11"/>
      <c r="D348" s="9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11"/>
      <c r="D349" s="9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11"/>
      <c r="D350" s="9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11"/>
      <c r="D351" s="9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11"/>
      <c r="D352" s="9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11"/>
      <c r="D353" s="9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11"/>
      <c r="D354" s="9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11"/>
      <c r="D355" s="9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11"/>
      <c r="D356" s="9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11"/>
      <c r="D357" s="9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11"/>
      <c r="D358" s="9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11"/>
      <c r="D359" s="9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11"/>
      <c r="D360" s="9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11"/>
      <c r="D361" s="9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11"/>
      <c r="D362" s="9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11"/>
      <c r="D363" s="9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11"/>
      <c r="D364" s="9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11"/>
      <c r="D365" s="9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11"/>
      <c r="D366" s="9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11"/>
      <c r="D367" s="9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11"/>
      <c r="D368" s="9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11"/>
      <c r="D369" s="9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11"/>
      <c r="D370" s="9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11"/>
      <c r="D371" s="9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11"/>
      <c r="D372" s="9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11"/>
      <c r="D373" s="9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11"/>
      <c r="D374" s="9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11"/>
      <c r="D375" s="9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11"/>
      <c r="D376" s="9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11"/>
      <c r="D377" s="9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11"/>
      <c r="D378" s="9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11"/>
      <c r="D379" s="9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11"/>
      <c r="D380" s="9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11"/>
      <c r="D381" s="9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11"/>
      <c r="D382" s="9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11"/>
      <c r="D383" s="9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11"/>
      <c r="D384" s="9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11"/>
      <c r="D385" s="9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11"/>
      <c r="D386" s="9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11"/>
      <c r="D387" s="9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11"/>
      <c r="D388" s="9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11"/>
      <c r="D389" s="9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11"/>
      <c r="D390" s="9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11"/>
      <c r="D391" s="9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11"/>
      <c r="D392" s="9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11"/>
      <c r="D393" s="9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11"/>
      <c r="D394" s="9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11"/>
      <c r="D395" s="9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11"/>
      <c r="D396" s="9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11"/>
      <c r="D397" s="9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11"/>
      <c r="D398" s="9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11"/>
      <c r="D399" s="9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11"/>
      <c r="D400" s="9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11"/>
      <c r="D401" s="9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11"/>
      <c r="D402" s="9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11"/>
      <c r="D403" s="9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11"/>
      <c r="D404" s="9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11"/>
      <c r="D405" s="9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11"/>
      <c r="D406" s="9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11"/>
      <c r="D407" s="9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11"/>
      <c r="D408" s="9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11"/>
      <c r="D409" s="9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11"/>
      <c r="D410" s="9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11"/>
      <c r="D411" s="9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11"/>
      <c r="D412" s="9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11"/>
      <c r="D413" s="9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11"/>
      <c r="D414" s="9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11"/>
      <c r="D415" s="9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11"/>
      <c r="D416" s="9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11"/>
      <c r="D417" s="9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11"/>
      <c r="D418" s="9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11"/>
      <c r="D419" s="9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11"/>
      <c r="D420" s="9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11"/>
      <c r="D421" s="9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11"/>
      <c r="D422" s="9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11"/>
      <c r="D423" s="9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11"/>
      <c r="D424" s="9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11"/>
      <c r="D425" s="9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11"/>
      <c r="D426" s="9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11"/>
      <c r="D427" s="9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11"/>
      <c r="D428" s="9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11"/>
      <c r="D429" s="9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11"/>
      <c r="D430" s="9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11"/>
      <c r="D431" s="9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11"/>
      <c r="D432" s="9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11"/>
      <c r="D433" s="9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11"/>
      <c r="D434" s="9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11"/>
      <c r="D435" s="9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11"/>
      <c r="D436" s="9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11"/>
      <c r="D437" s="9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11"/>
      <c r="D438" s="9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11"/>
      <c r="D439" s="9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11"/>
      <c r="D440" s="9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11"/>
      <c r="D441" s="9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11"/>
      <c r="D442" s="9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11"/>
      <c r="D443" s="9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11"/>
      <c r="D444" s="9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11"/>
      <c r="D445" s="9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11"/>
      <c r="D446" s="9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11"/>
      <c r="D447" s="9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11"/>
      <c r="D448" s="9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11"/>
      <c r="D449" s="9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11"/>
      <c r="D450" s="9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11"/>
      <c r="D451" s="9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11"/>
      <c r="D452" s="9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11"/>
      <c r="D453" s="9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11"/>
      <c r="D454" s="9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11"/>
      <c r="D455" s="9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11"/>
      <c r="D456" s="9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11"/>
      <c r="D457" s="9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11"/>
      <c r="D458" s="9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11"/>
      <c r="D459" s="9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11"/>
      <c r="D460" s="9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11"/>
      <c r="D461" s="9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11"/>
      <c r="D462" s="9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11"/>
      <c r="D463" s="9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11"/>
      <c r="D464" s="9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11"/>
      <c r="D465" s="9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11"/>
      <c r="D466" s="9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11"/>
      <c r="D467" s="9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11"/>
      <c r="D468" s="9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11"/>
      <c r="D469" s="9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11"/>
      <c r="D470" s="9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11"/>
      <c r="D471" s="9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11"/>
      <c r="D472" s="9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11"/>
      <c r="D473" s="9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11"/>
      <c r="D474" s="9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11"/>
      <c r="D475" s="9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11"/>
      <c r="D476" s="9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11"/>
      <c r="D477" s="9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11"/>
      <c r="D478" s="9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11"/>
      <c r="D479" s="9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11"/>
      <c r="D480" s="9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11"/>
      <c r="D481" s="9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11"/>
      <c r="D482" s="9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11"/>
      <c r="D483" s="9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11"/>
      <c r="D484" s="9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11"/>
      <c r="D485" s="9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11"/>
      <c r="D486" s="9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11"/>
      <c r="D487" s="9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11"/>
      <c r="D488" s="9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11"/>
      <c r="D489" s="9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11"/>
      <c r="D490" s="9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11"/>
      <c r="D491" s="9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11"/>
      <c r="D492" s="9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11"/>
      <c r="D493" s="9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11"/>
      <c r="D494" s="9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11"/>
      <c r="D495" s="9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11"/>
      <c r="D496" s="9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11"/>
      <c r="D497" s="9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11"/>
      <c r="D498" s="9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11"/>
      <c r="D499" s="9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11"/>
      <c r="D500" s="9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11"/>
      <c r="D501" s="9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11"/>
      <c r="D502" s="9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11"/>
      <c r="D503" s="9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11"/>
      <c r="D504" s="9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11"/>
      <c r="D505" s="9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11"/>
      <c r="D506" s="9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11"/>
      <c r="D507" s="9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11"/>
      <c r="D508" s="9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11"/>
      <c r="D509" s="9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11"/>
      <c r="D510" s="9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11"/>
      <c r="D511" s="9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11"/>
      <c r="D512" s="9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11"/>
      <c r="D513" s="9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11"/>
      <c r="D514" s="9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11"/>
      <c r="D515" s="9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11"/>
      <c r="D516" s="9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11"/>
      <c r="D517" s="9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11"/>
      <c r="D518" s="9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11"/>
      <c r="D519" s="9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11"/>
      <c r="D520" s="9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11"/>
      <c r="D521" s="9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11"/>
      <c r="D522" s="9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11"/>
      <c r="D523" s="9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11"/>
      <c r="D524" s="9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11"/>
      <c r="D525" s="9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11"/>
      <c r="D526" s="9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11"/>
      <c r="D527" s="9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11"/>
      <c r="D528" s="9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11"/>
      <c r="D529" s="9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11"/>
      <c r="D530" s="9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11"/>
      <c r="D531" s="9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11"/>
      <c r="D532" s="9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11"/>
      <c r="D533" s="9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11"/>
      <c r="D534" s="9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11"/>
      <c r="D535" s="9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11"/>
      <c r="D536" s="9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11"/>
      <c r="D537" s="9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11"/>
      <c r="D538" s="9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11"/>
      <c r="D539" s="9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11"/>
      <c r="D540" s="9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11"/>
      <c r="D541" s="9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11"/>
      <c r="D542" s="9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11"/>
      <c r="D543" s="9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11"/>
      <c r="D544" s="9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11"/>
      <c r="D545" s="9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11"/>
      <c r="D546" s="9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11"/>
      <c r="D547" s="9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11"/>
      <c r="D548" s="9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11"/>
      <c r="D549" s="9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11"/>
      <c r="D550" s="9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11"/>
      <c r="D551" s="9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11"/>
      <c r="D552" s="9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11"/>
      <c r="D553" s="9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11"/>
      <c r="D554" s="9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11"/>
      <c r="D555" s="9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11"/>
      <c r="D556" s="9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11"/>
      <c r="D557" s="9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11"/>
      <c r="D558" s="9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11"/>
      <c r="D559" s="9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11"/>
      <c r="D560" s="9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11"/>
      <c r="D561" s="9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11"/>
      <c r="D562" s="9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11"/>
      <c r="D563" s="9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11"/>
      <c r="D564" s="9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11"/>
      <c r="D565" s="9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11"/>
      <c r="D566" s="9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11"/>
      <c r="D567" s="9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11"/>
      <c r="D568" s="9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11"/>
      <c r="D569" s="9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11"/>
      <c r="D570" s="9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11"/>
      <c r="D571" s="9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11"/>
      <c r="D572" s="9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11"/>
      <c r="D573" s="9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11"/>
      <c r="D574" s="9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11"/>
      <c r="D575" s="9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11"/>
      <c r="D576" s="9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11"/>
      <c r="D577" s="9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11"/>
      <c r="D578" s="9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11"/>
      <c r="D579" s="9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11"/>
      <c r="D580" s="9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11"/>
      <c r="D581" s="9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11"/>
      <c r="D582" s="9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11"/>
      <c r="D583" s="9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11"/>
      <c r="D584" s="9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11"/>
      <c r="D585" s="9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11"/>
      <c r="D586" s="9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11"/>
      <c r="D587" s="9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11"/>
      <c r="D588" s="9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11"/>
      <c r="D589" s="9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11"/>
      <c r="D590" s="9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11"/>
      <c r="D591" s="9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11"/>
      <c r="D592" s="9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11"/>
      <c r="D593" s="9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11"/>
      <c r="D594" s="9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11"/>
      <c r="D595" s="9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11"/>
      <c r="D596" s="9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11"/>
      <c r="D597" s="9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11"/>
      <c r="D598" s="9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11"/>
      <c r="D599" s="9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11"/>
      <c r="D600" s="9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11"/>
      <c r="D601" s="9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11"/>
      <c r="D602" s="9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11"/>
      <c r="D603" s="9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11"/>
      <c r="D604" s="9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11"/>
      <c r="D605" s="9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11"/>
      <c r="D606" s="9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11"/>
      <c r="D607" s="9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11"/>
      <c r="D608" s="9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11"/>
      <c r="D609" s="9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11"/>
      <c r="D610" s="9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11"/>
      <c r="D611" s="9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11"/>
      <c r="D612" s="9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11"/>
      <c r="D613" s="9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11"/>
      <c r="D614" s="9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11"/>
      <c r="D615" s="9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11"/>
      <c r="D616" s="9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11"/>
      <c r="D617" s="9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11"/>
      <c r="D618" s="9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11"/>
      <c r="D619" s="9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11"/>
      <c r="D620" s="9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11"/>
      <c r="D621" s="9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11"/>
      <c r="D622" s="9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11"/>
      <c r="D623" s="9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11"/>
      <c r="D624" s="9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11"/>
      <c r="D625" s="9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11"/>
      <c r="D626" s="9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11"/>
      <c r="D627" s="9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11"/>
      <c r="D628" s="9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11"/>
      <c r="D629" s="9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11"/>
      <c r="D630" s="9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11"/>
      <c r="D631" s="9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11"/>
      <c r="D632" s="9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11"/>
      <c r="D633" s="9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11"/>
      <c r="D634" s="9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11"/>
      <c r="D635" s="9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11"/>
      <c r="D636" s="9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11"/>
      <c r="D637" s="9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11"/>
      <c r="D638" s="9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11"/>
      <c r="D639" s="9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11"/>
      <c r="D640" s="9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11"/>
      <c r="D641" s="9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11"/>
      <c r="D642" s="9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11"/>
      <c r="D643" s="9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11"/>
      <c r="D644" s="9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11"/>
      <c r="D645" s="9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11"/>
      <c r="D646" s="9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11"/>
      <c r="D647" s="9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11"/>
      <c r="D648" s="9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11"/>
      <c r="D649" s="9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11"/>
      <c r="D650" s="9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11"/>
      <c r="D651" s="9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11"/>
      <c r="D652" s="9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11"/>
      <c r="D653" s="9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11"/>
      <c r="D654" s="9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11"/>
      <c r="D655" s="9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11"/>
      <c r="D656" s="9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11"/>
      <c r="D657" s="9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11"/>
      <c r="D658" s="9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11"/>
      <c r="D659" s="9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11"/>
      <c r="D660" s="9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11"/>
      <c r="D661" s="9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11"/>
      <c r="D662" s="9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11"/>
      <c r="D663" s="9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11"/>
      <c r="D664" s="9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11"/>
      <c r="D665" s="9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11"/>
      <c r="D666" s="9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11"/>
      <c r="D667" s="9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11"/>
      <c r="D668" s="9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11"/>
      <c r="D669" s="9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11"/>
      <c r="D670" s="9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11"/>
      <c r="D671" s="9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11"/>
      <c r="D672" s="9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11"/>
      <c r="D673" s="9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11"/>
      <c r="D674" s="9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11"/>
      <c r="D675" s="9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11"/>
      <c r="D676" s="9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11"/>
      <c r="D677" s="9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11"/>
      <c r="D678" s="9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11"/>
      <c r="D679" s="9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11"/>
      <c r="D680" s="9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11"/>
      <c r="D681" s="9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11"/>
      <c r="D682" s="9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11"/>
      <c r="D683" s="9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11"/>
      <c r="D684" s="9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11"/>
      <c r="D685" s="9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11"/>
      <c r="D686" s="9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11"/>
      <c r="D687" s="9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11"/>
      <c r="D688" s="9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11"/>
      <c r="D689" s="9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11"/>
      <c r="D690" s="9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11"/>
      <c r="D691" s="9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11"/>
      <c r="D692" s="9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11"/>
      <c r="D693" s="9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11"/>
      <c r="D694" s="9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11"/>
      <c r="D695" s="9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11"/>
      <c r="D696" s="9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11"/>
      <c r="D697" s="9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11"/>
      <c r="D698" s="9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11"/>
      <c r="D699" s="9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11"/>
      <c r="D700" s="9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11"/>
      <c r="D701" s="9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11"/>
      <c r="D702" s="9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11"/>
      <c r="D703" s="9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11"/>
      <c r="D704" s="9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11"/>
      <c r="D705" s="9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11"/>
      <c r="D706" s="9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11"/>
      <c r="D707" s="9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11"/>
      <c r="D708" s="9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11"/>
      <c r="D709" s="9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11"/>
      <c r="D710" s="9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11"/>
      <c r="D711" s="9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11"/>
      <c r="D712" s="9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11"/>
      <c r="D713" s="9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11"/>
      <c r="D714" s="9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11"/>
      <c r="D715" s="9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11"/>
      <c r="D716" s="9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11"/>
      <c r="D717" s="9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11"/>
      <c r="D718" s="9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11"/>
      <c r="D719" s="9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11"/>
      <c r="D720" s="9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11"/>
      <c r="D721" s="9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11"/>
      <c r="D722" s="9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11"/>
      <c r="D723" s="9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11"/>
      <c r="D724" s="9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11"/>
      <c r="D725" s="9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11"/>
      <c r="D726" s="9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11"/>
      <c r="D727" s="9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11"/>
      <c r="D728" s="9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11"/>
      <c r="D729" s="9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11"/>
      <c r="D730" s="9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11"/>
      <c r="D731" s="9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11"/>
      <c r="D732" s="9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11"/>
      <c r="D733" s="9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11"/>
      <c r="D734" s="9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11"/>
      <c r="D735" s="9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11"/>
      <c r="D736" s="9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11"/>
      <c r="D737" s="9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11"/>
      <c r="D738" s="9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11"/>
      <c r="D739" s="9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11"/>
      <c r="D740" s="9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11"/>
      <c r="D741" s="9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11"/>
      <c r="D742" s="9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11"/>
      <c r="D743" s="9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11"/>
      <c r="D744" s="9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11"/>
      <c r="D745" s="9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11"/>
      <c r="D746" s="9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11"/>
      <c r="D747" s="9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11"/>
      <c r="D748" s="9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11"/>
      <c r="D749" s="9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11"/>
      <c r="D750" s="9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11"/>
      <c r="D751" s="9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11"/>
      <c r="D752" s="9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11"/>
      <c r="D753" s="9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11"/>
      <c r="D754" s="9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11"/>
      <c r="D755" s="9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11"/>
      <c r="D756" s="9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11"/>
      <c r="D757" s="9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11"/>
      <c r="D758" s="9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11"/>
      <c r="D759" s="9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11"/>
      <c r="D760" s="9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11"/>
      <c r="D761" s="9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11"/>
      <c r="D762" s="9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11"/>
      <c r="D763" s="9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11"/>
      <c r="D764" s="9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11"/>
      <c r="D765" s="9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11"/>
      <c r="D766" s="9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11"/>
      <c r="D767" s="9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11"/>
      <c r="D768" s="9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11"/>
      <c r="D769" s="9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11"/>
      <c r="D770" s="9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11"/>
      <c r="D771" s="9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11"/>
      <c r="D772" s="9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11"/>
      <c r="D773" s="9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11"/>
      <c r="D774" s="9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11"/>
      <c r="D775" s="9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11"/>
      <c r="D776" s="9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11"/>
      <c r="D777" s="9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11"/>
      <c r="D778" s="9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11"/>
      <c r="D779" s="9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11"/>
      <c r="D780" s="9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11"/>
      <c r="D781" s="9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11"/>
      <c r="D782" s="9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11"/>
      <c r="D783" s="9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11"/>
      <c r="D784" s="9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11"/>
      <c r="D785" s="9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11"/>
      <c r="D786" s="9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11"/>
      <c r="D787" s="9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11"/>
      <c r="D788" s="9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11"/>
      <c r="D789" s="9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11"/>
      <c r="D790" s="9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11"/>
      <c r="D791" s="9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11"/>
      <c r="D792" s="9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11"/>
      <c r="D793" s="9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11"/>
      <c r="D794" s="9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11"/>
      <c r="D795" s="9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11"/>
      <c r="D796" s="9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11"/>
      <c r="D797" s="9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11"/>
      <c r="D798" s="9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11"/>
      <c r="D799" s="9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11"/>
      <c r="D800" s="9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11"/>
      <c r="D801" s="9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11"/>
      <c r="D802" s="9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11"/>
      <c r="D803" s="9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11"/>
      <c r="D804" s="9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11"/>
      <c r="D805" s="9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11"/>
      <c r="D806" s="9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11"/>
      <c r="D807" s="9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11"/>
      <c r="D808" s="9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11"/>
      <c r="D809" s="9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11"/>
      <c r="D810" s="9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11"/>
      <c r="D811" s="9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11"/>
      <c r="D812" s="9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11"/>
      <c r="D813" s="9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11"/>
      <c r="D814" s="9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11"/>
      <c r="D815" s="9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11"/>
      <c r="D816" s="9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11"/>
      <c r="D817" s="9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11"/>
      <c r="D818" s="9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11"/>
      <c r="D819" s="9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11"/>
      <c r="D820" s="9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11"/>
      <c r="D821" s="9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11"/>
      <c r="D822" s="9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11"/>
      <c r="D823" s="9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11"/>
      <c r="D824" s="9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11"/>
      <c r="D825" s="9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11"/>
      <c r="D826" s="9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11"/>
      <c r="D827" s="9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11"/>
      <c r="D828" s="9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11"/>
      <c r="D829" s="9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11"/>
      <c r="D830" s="9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11"/>
      <c r="D831" s="9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11"/>
      <c r="D832" s="9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11"/>
      <c r="D833" s="9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11"/>
      <c r="D834" s="9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11"/>
      <c r="D835" s="9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11"/>
      <c r="D836" s="9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11"/>
      <c r="D837" s="9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11"/>
      <c r="D838" s="9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11"/>
      <c r="D839" s="9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11"/>
      <c r="D840" s="9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11"/>
      <c r="D841" s="9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11"/>
      <c r="D842" s="9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11"/>
      <c r="D843" s="9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11"/>
      <c r="D844" s="9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11"/>
      <c r="D845" s="9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11"/>
      <c r="D846" s="9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11"/>
      <c r="D847" s="9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11"/>
      <c r="D848" s="9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11"/>
      <c r="D849" s="9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11"/>
      <c r="D850" s="9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11"/>
      <c r="D851" s="9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11"/>
      <c r="D852" s="9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11"/>
      <c r="D853" s="9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11"/>
      <c r="D854" s="9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11"/>
      <c r="D855" s="9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11"/>
      <c r="D856" s="9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11"/>
      <c r="D857" s="9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11"/>
      <c r="D858" s="9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11"/>
      <c r="D859" s="9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11"/>
      <c r="D860" s="9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11"/>
      <c r="D861" s="9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11"/>
      <c r="D862" s="9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11"/>
      <c r="D863" s="9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11"/>
      <c r="D864" s="9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11"/>
      <c r="D865" s="9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11"/>
      <c r="D866" s="9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11"/>
      <c r="D867" s="9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11"/>
      <c r="D868" s="9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11"/>
      <c r="D869" s="9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11"/>
      <c r="D870" s="9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11"/>
      <c r="D871" s="9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11"/>
      <c r="D872" s="9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11"/>
      <c r="D873" s="9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11"/>
      <c r="D874" s="9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11"/>
      <c r="D875" s="9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11"/>
      <c r="D876" s="9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11"/>
      <c r="D877" s="9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11"/>
      <c r="D878" s="9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11"/>
      <c r="D879" s="9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11"/>
      <c r="D880" s="9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11"/>
      <c r="D881" s="9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11"/>
      <c r="D882" s="9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11"/>
      <c r="D883" s="9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11"/>
      <c r="D884" s="9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11"/>
      <c r="D885" s="9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11"/>
      <c r="D886" s="9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11"/>
      <c r="D887" s="9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11"/>
      <c r="D888" s="9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11"/>
      <c r="D889" s="9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11"/>
      <c r="D890" s="9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11"/>
      <c r="D891" s="9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11"/>
      <c r="D892" s="9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11"/>
      <c r="D893" s="9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11"/>
      <c r="D894" s="9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11"/>
      <c r="D895" s="9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11"/>
      <c r="D896" s="9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11"/>
      <c r="D897" s="9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11"/>
      <c r="D898" s="9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11"/>
      <c r="D899" s="9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11"/>
      <c r="D900" s="9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11"/>
      <c r="D901" s="9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11"/>
      <c r="D902" s="9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11"/>
      <c r="D903" s="9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11"/>
      <c r="D904" s="9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11"/>
      <c r="D905" s="9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11"/>
      <c r="D906" s="9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11"/>
      <c r="D907" s="9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11"/>
      <c r="D908" s="9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11"/>
      <c r="D909" s="9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11"/>
      <c r="D910" s="9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11"/>
      <c r="D911" s="9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11"/>
      <c r="D912" s="9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11"/>
      <c r="D913" s="9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11"/>
      <c r="D914" s="9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11"/>
      <c r="D915" s="9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11"/>
      <c r="D916" s="9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11"/>
      <c r="D917" s="9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11"/>
      <c r="D918" s="9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11"/>
      <c r="D919" s="9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11"/>
      <c r="D920" s="9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11"/>
      <c r="D921" s="9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11"/>
      <c r="D922" s="9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11"/>
      <c r="D923" s="9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11"/>
      <c r="D924" s="9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11"/>
      <c r="D925" s="9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11"/>
      <c r="D926" s="9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11"/>
      <c r="D927" s="9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11"/>
      <c r="D928" s="9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11"/>
      <c r="D929" s="9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11"/>
      <c r="D930" s="9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11"/>
      <c r="D931" s="9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11"/>
      <c r="D932" s="9"/>
      <c r="E932" s="10"/>
      <c r="F932" s="10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11"/>
      <c r="D933" s="9"/>
      <c r="E933" s="10"/>
      <c r="F933" s="10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11"/>
      <c r="D934" s="9"/>
      <c r="E934" s="10"/>
      <c r="F934" s="10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11"/>
      <c r="D935" s="9"/>
      <c r="E935" s="10"/>
      <c r="F935" s="10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11"/>
      <c r="D936" s="9"/>
      <c r="E936" s="10"/>
      <c r="F936" s="10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11"/>
      <c r="D937" s="9"/>
      <c r="E937" s="10"/>
      <c r="F937" s="10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11"/>
      <c r="D938" s="9"/>
      <c r="E938" s="10"/>
      <c r="F938" s="10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11"/>
      <c r="D939" s="9"/>
      <c r="E939" s="10"/>
      <c r="F939" s="10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11"/>
      <c r="D940" s="9"/>
      <c r="E940" s="10"/>
      <c r="F940" s="10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11"/>
      <c r="D941" s="9"/>
      <c r="E941" s="10"/>
      <c r="F941" s="10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11"/>
      <c r="D942" s="9"/>
      <c r="E942" s="10"/>
      <c r="F942" s="10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11"/>
      <c r="D943" s="9"/>
      <c r="E943" s="10"/>
      <c r="F943" s="10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11"/>
      <c r="D944" s="9"/>
      <c r="E944" s="10"/>
      <c r="F944" s="10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11"/>
      <c r="D945" s="9"/>
      <c r="E945" s="10"/>
      <c r="F945" s="10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11"/>
      <c r="D946" s="9"/>
      <c r="E946" s="10"/>
      <c r="F946" s="10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11"/>
      <c r="D947" s="9"/>
      <c r="E947" s="10"/>
      <c r="F947" s="10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11"/>
      <c r="D948" s="9"/>
      <c r="E948" s="10"/>
      <c r="F948" s="10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11"/>
      <c r="D949" s="9"/>
      <c r="E949" s="10"/>
      <c r="F949" s="10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11"/>
      <c r="D950" s="9"/>
      <c r="E950" s="10"/>
      <c r="F950" s="10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11"/>
      <c r="D951" s="9"/>
      <c r="E951" s="10"/>
      <c r="F951" s="10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11"/>
      <c r="D952" s="9"/>
      <c r="E952" s="10"/>
      <c r="F952" s="10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11"/>
      <c r="D953" s="9"/>
      <c r="E953" s="10"/>
      <c r="F953" s="10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11"/>
      <c r="D954" s="9"/>
      <c r="E954" s="10"/>
      <c r="F954" s="10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11"/>
      <c r="D955" s="9"/>
      <c r="E955" s="10"/>
      <c r="F955" s="10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11"/>
      <c r="D956" s="9"/>
      <c r="E956" s="10"/>
      <c r="F956" s="10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11"/>
      <c r="D957" s="9"/>
      <c r="E957" s="10"/>
      <c r="F957" s="10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11"/>
      <c r="D958" s="9"/>
      <c r="E958" s="10"/>
      <c r="F958" s="10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11"/>
      <c r="D959" s="9"/>
      <c r="E959" s="10"/>
      <c r="F959" s="10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11"/>
      <c r="D960" s="9"/>
      <c r="E960" s="10"/>
      <c r="F960" s="10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11"/>
      <c r="D961" s="9"/>
      <c r="E961" s="10"/>
      <c r="F961" s="10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11"/>
      <c r="D962" s="9"/>
      <c r="E962" s="10"/>
      <c r="F962" s="10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11"/>
      <c r="D963" s="9"/>
      <c r="E963" s="10"/>
      <c r="F963" s="10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11"/>
      <c r="D964" s="9"/>
      <c r="E964" s="10"/>
      <c r="F964" s="10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11"/>
      <c r="D965" s="9"/>
      <c r="E965" s="10"/>
      <c r="F965" s="10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11"/>
      <c r="D966" s="9"/>
      <c r="E966" s="10"/>
      <c r="F966" s="10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11"/>
      <c r="D967" s="9"/>
      <c r="E967" s="10"/>
      <c r="F967" s="10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11"/>
      <c r="D968" s="9"/>
      <c r="E968" s="10"/>
      <c r="F968" s="10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11"/>
      <c r="D969" s="9"/>
      <c r="E969" s="10"/>
      <c r="F969" s="10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11"/>
      <c r="D970" s="9"/>
      <c r="E970" s="10"/>
      <c r="F970" s="10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11"/>
      <c r="D971" s="9"/>
      <c r="E971" s="10"/>
      <c r="F971" s="10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11"/>
      <c r="D972" s="9"/>
      <c r="E972" s="10"/>
      <c r="F972" s="10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11"/>
      <c r="D973" s="9"/>
      <c r="E973" s="10"/>
      <c r="F973" s="10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11"/>
      <c r="D974" s="9"/>
      <c r="E974" s="10"/>
      <c r="F974" s="10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11"/>
      <c r="D975" s="9"/>
      <c r="E975" s="10"/>
      <c r="F975" s="10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11"/>
      <c r="D976" s="9"/>
      <c r="E976" s="10"/>
      <c r="F976" s="10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11"/>
      <c r="D977" s="9"/>
      <c r="E977" s="10"/>
      <c r="F977" s="10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11"/>
      <c r="D978" s="9"/>
      <c r="E978" s="10"/>
      <c r="F978" s="10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11"/>
      <c r="D979" s="9"/>
      <c r="E979" s="10"/>
      <c r="F979" s="10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11"/>
      <c r="D980" s="9"/>
      <c r="E980" s="10"/>
      <c r="F980" s="10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11"/>
      <c r="D981" s="9"/>
      <c r="E981" s="10"/>
      <c r="F981" s="10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11"/>
      <c r="D982" s="9"/>
      <c r="E982" s="10"/>
      <c r="F982" s="10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11"/>
      <c r="D983" s="9"/>
      <c r="E983" s="10"/>
      <c r="F983" s="10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11"/>
      <c r="D984" s="9"/>
      <c r="E984" s="10"/>
      <c r="F984" s="10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11"/>
      <c r="D985" s="9"/>
      <c r="E985" s="10"/>
      <c r="F985" s="10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11"/>
      <c r="D986" s="9"/>
      <c r="E986" s="10"/>
      <c r="F986" s="10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11"/>
      <c r="D987" s="9"/>
      <c r="E987" s="10"/>
      <c r="F987" s="10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11"/>
      <c r="D988" s="9"/>
      <c r="E988" s="10"/>
      <c r="F988" s="10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11"/>
      <c r="D989" s="9"/>
      <c r="E989" s="10"/>
      <c r="F989" s="10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11"/>
      <c r="D990" s="9"/>
      <c r="E990" s="10"/>
      <c r="F990" s="10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11"/>
      <c r="D991" s="9"/>
      <c r="E991" s="10"/>
      <c r="F991" s="10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11"/>
      <c r="D992" s="9"/>
      <c r="E992" s="10"/>
      <c r="F992" s="10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11"/>
      <c r="D993" s="9"/>
      <c r="E993" s="10"/>
      <c r="F993" s="10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11"/>
      <c r="D994" s="9"/>
      <c r="E994" s="10"/>
      <c r="F994" s="10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11"/>
      <c r="D995" s="9"/>
      <c r="E995" s="10"/>
      <c r="F995" s="10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11"/>
      <c r="D996" s="9"/>
      <c r="E996" s="10"/>
      <c r="F996" s="10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11"/>
      <c r="D997" s="9"/>
      <c r="E997" s="10"/>
      <c r="F997" s="10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11"/>
      <c r="D998" s="9"/>
      <c r="E998" s="10"/>
      <c r="F998" s="10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11"/>
      <c r="D999" s="9"/>
      <c r="E999" s="10"/>
      <c r="F999" s="10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11"/>
      <c r="D1000" s="9"/>
      <c r="E1000" s="10"/>
      <c r="F1000" s="10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11"/>
      <c r="D1001" s="9"/>
      <c r="E1001" s="10"/>
      <c r="F1001" s="10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8.25"/>
    <col customWidth="1" min="3" max="3" width="28.88"/>
    <col customWidth="1" hidden="1" min="4" max="4" width="7.75"/>
    <col customWidth="1" min="5" max="7" width="11.88"/>
    <col customWidth="1" hidden="1" min="8" max="8" width="8.38"/>
    <col customWidth="1" min="9" max="11" width="8.38"/>
    <col customWidth="1" hidden="1" min="12" max="12" width="9.63"/>
    <col customWidth="1" hidden="1" min="13" max="13" width="7.5"/>
    <col customWidth="1" hidden="1" min="14" max="14" width="12.63"/>
    <col customWidth="1" hidden="1" min="15" max="15" width="6.88"/>
    <col customWidth="1" hidden="1" min="16" max="16" width="12.13"/>
    <col customWidth="1" hidden="1" min="17" max="17" width="10.63"/>
    <col customWidth="1" hidden="1" min="18" max="18" width="5.5"/>
    <col customWidth="1" hidden="1" min="19" max="19" width="7.38"/>
    <col customWidth="1" hidden="1" min="20" max="20" width="6.13"/>
    <col customWidth="1" hidden="1" min="21" max="21" width="6.63"/>
    <col customWidth="1" hidden="1" min="22" max="22" width="3.5"/>
    <col customWidth="1" hidden="1" min="23" max="23" width="7.13"/>
    <col customWidth="1" hidden="1" min="24" max="24" width="7.0"/>
    <col customWidth="1" hidden="1" min="25" max="25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tr">
        <f>IFERROR(__xludf.DUMMYFUNCTION("FILTER(Master!A:Z, Master!M:M = ""X"")"),"Adventuring Gear")</f>
        <v>Adventuring Gear</v>
      </c>
      <c r="B2" s="4" t="str">
        <f>IFERROR(__xludf.DUMMYFUNCTION("""COMPUTED_VALUE"""),"Ammunition")</f>
        <v>Ammunition</v>
      </c>
      <c r="C2" s="4" t="str">
        <f>IFERROR(__xludf.DUMMYFUNCTION("""COMPUTED_VALUE"""),"Arrows (20)")</f>
        <v>Arrows (20)</v>
      </c>
      <c r="D2" s="5">
        <f>IFERROR(__xludf.DUMMYFUNCTION("""COMPUTED_VALUE"""),1.0)</f>
        <v>1</v>
      </c>
      <c r="E2" s="6">
        <f>IFERROR(__xludf.DUMMYFUNCTION("""COMPUTED_VALUE"""),1.0)</f>
        <v>1</v>
      </c>
      <c r="F2" s="6">
        <f>IFERROR(__xludf.DUMMYFUNCTION("""COMPUTED_VALUE"""),0.75)</f>
        <v>0.75</v>
      </c>
      <c r="G2" s="6">
        <f>IFERROR(__xludf.DUMMYFUNCTION("""COMPUTED_VALUE"""),1.5)</f>
        <v>1.5</v>
      </c>
      <c r="H2" s="4" t="str">
        <f>IFERROR(__xludf.DUMMYFUNCTION("""COMPUTED_VALUE"""),"PHB 2024")</f>
        <v>PHB 2024</v>
      </c>
      <c r="I2" s="4" t="str">
        <f>IFERROR(__xludf.DUMMYFUNCTION("""COMPUTED_VALUE"""),"x")</f>
        <v>x</v>
      </c>
      <c r="J2" s="4" t="str">
        <f>IFERROR(__xludf.DUMMYFUNCTION("""COMPUTED_VALUE"""),"x")</f>
        <v>x</v>
      </c>
      <c r="K2" s="4" t="str">
        <f>IFERROR(__xludf.DUMMYFUNCTION("""COMPUTED_VALUE"""),"x")</f>
        <v>x</v>
      </c>
      <c r="L2" s="7"/>
      <c r="M2" s="7" t="str">
        <f>IFERROR(__xludf.DUMMYFUNCTION("""COMPUTED_VALUE"""),"x")</f>
        <v>x</v>
      </c>
      <c r="N2" s="7"/>
      <c r="O2" s="7"/>
      <c r="P2" s="7"/>
      <c r="Q2" s="7" t="str">
        <f>IFERROR(__xludf.DUMMYFUNCTION("""COMPUTED_VALUE"""),"x")</f>
        <v>x</v>
      </c>
      <c r="R2" s="7"/>
      <c r="S2" s="7"/>
      <c r="T2" s="4"/>
      <c r="U2" s="7"/>
      <c r="V2" s="7"/>
      <c r="W2" s="7"/>
      <c r="X2" s="7"/>
      <c r="Y2" s="7"/>
    </row>
    <row r="3">
      <c r="A3" s="4" t="str">
        <f>IFERROR(__xludf.DUMMYFUNCTION("""COMPUTED_VALUE"""),"Adventuring Gear")</f>
        <v>Adventuring Gear</v>
      </c>
      <c r="B3" s="4" t="str">
        <f>IFERROR(__xludf.DUMMYFUNCTION("""COMPUTED_VALUE"""),"Ammunition")</f>
        <v>Ammunition</v>
      </c>
      <c r="C3" s="4" t="str">
        <f>IFERROR(__xludf.DUMMYFUNCTION("""COMPUTED_VALUE"""),"Crossbow, Bolts (20)")</f>
        <v>Crossbow, Bolts (20)</v>
      </c>
      <c r="D3" s="5">
        <f>IFERROR(__xludf.DUMMYFUNCTION("""COMPUTED_VALUE"""),1.5)</f>
        <v>1.5</v>
      </c>
      <c r="E3" s="6">
        <f>IFERROR(__xludf.DUMMYFUNCTION("""COMPUTED_VALUE"""),1.0)</f>
        <v>1</v>
      </c>
      <c r="F3" s="6">
        <f>IFERROR(__xludf.DUMMYFUNCTION("""COMPUTED_VALUE"""),0.75)</f>
        <v>0.75</v>
      </c>
      <c r="G3" s="6">
        <f>IFERROR(__xludf.DUMMYFUNCTION("""COMPUTED_VALUE"""),1.5)</f>
        <v>1.5</v>
      </c>
      <c r="H3" s="4" t="str">
        <f>IFERROR(__xludf.DUMMYFUNCTION("""COMPUTED_VALUE"""),"PHB 2024")</f>
        <v>PHB 2024</v>
      </c>
      <c r="I3" s="4" t="str">
        <f>IFERROR(__xludf.DUMMYFUNCTION("""COMPUTED_VALUE"""),"x")</f>
        <v>x</v>
      </c>
      <c r="J3" s="4" t="str">
        <f>IFERROR(__xludf.DUMMYFUNCTION("""COMPUTED_VALUE"""),"x")</f>
        <v>x</v>
      </c>
      <c r="K3" s="4" t="str">
        <f>IFERROR(__xludf.DUMMYFUNCTION("""COMPUTED_VALUE"""),"x")</f>
        <v>x</v>
      </c>
      <c r="L3" s="7"/>
      <c r="M3" s="7" t="str">
        <f>IFERROR(__xludf.DUMMYFUNCTION("""COMPUTED_VALUE"""),"x")</f>
        <v>x</v>
      </c>
      <c r="N3" s="7"/>
      <c r="O3" s="7"/>
      <c r="P3" s="7"/>
      <c r="Q3" s="7" t="str">
        <f>IFERROR(__xludf.DUMMYFUNCTION("""COMPUTED_VALUE"""),"x")</f>
        <v>x</v>
      </c>
      <c r="R3" s="7"/>
      <c r="S3" s="7"/>
      <c r="T3" s="4"/>
      <c r="U3" s="7"/>
      <c r="V3" s="7"/>
      <c r="W3" s="7"/>
      <c r="X3" s="7"/>
      <c r="Y3" s="7"/>
    </row>
    <row r="4">
      <c r="A4" s="4" t="str">
        <f>IFERROR(__xludf.DUMMYFUNCTION("""COMPUTED_VALUE"""),"Adventuring Gear")</f>
        <v>Adventuring Gear</v>
      </c>
      <c r="B4" s="4" t="str">
        <f>IFERROR(__xludf.DUMMYFUNCTION("""COMPUTED_VALUE"""),"-")</f>
        <v>-</v>
      </c>
      <c r="C4" s="4" t="str">
        <f>IFERROR(__xludf.DUMMYFUNCTION("""COMPUTED_VALUE"""),"Case, Crossbow Bolt")</f>
        <v>Case, Crossbow Bolt</v>
      </c>
      <c r="D4" s="5">
        <f>IFERROR(__xludf.DUMMYFUNCTION("""COMPUTED_VALUE"""),1.0)</f>
        <v>1</v>
      </c>
      <c r="E4" s="6">
        <f>IFERROR(__xludf.DUMMYFUNCTION("""COMPUTED_VALUE"""),1.0)</f>
        <v>1</v>
      </c>
      <c r="F4" s="6">
        <f>IFERROR(__xludf.DUMMYFUNCTION("""COMPUTED_VALUE"""),0.75)</f>
        <v>0.75</v>
      </c>
      <c r="G4" s="6">
        <f>IFERROR(__xludf.DUMMYFUNCTION("""COMPUTED_VALUE"""),1.5)</f>
        <v>1.5</v>
      </c>
      <c r="H4" s="4" t="str">
        <f>IFERROR(__xludf.DUMMYFUNCTION("""COMPUTED_VALUE"""),"PHB 2024")</f>
        <v>PHB 2024</v>
      </c>
      <c r="I4" s="4" t="str">
        <f>IFERROR(__xludf.DUMMYFUNCTION("""COMPUTED_VALUE"""),"x")</f>
        <v>x</v>
      </c>
      <c r="J4" s="4" t="str">
        <f>IFERROR(__xludf.DUMMYFUNCTION("""COMPUTED_VALUE"""),"x")</f>
        <v>x</v>
      </c>
      <c r="K4" s="4" t="str">
        <f>IFERROR(__xludf.DUMMYFUNCTION("""COMPUTED_VALUE"""),"x")</f>
        <v>x</v>
      </c>
      <c r="L4" s="7"/>
      <c r="M4" s="4" t="str">
        <f>IFERROR(__xludf.DUMMYFUNCTION("""COMPUTED_VALUE"""),"x")</f>
        <v>x</v>
      </c>
      <c r="N4" s="7"/>
      <c r="O4" s="7"/>
      <c r="P4" s="7"/>
      <c r="Q4" s="4" t="str">
        <f>IFERROR(__xludf.DUMMYFUNCTION("""COMPUTED_VALUE"""),"x")</f>
        <v>x</v>
      </c>
      <c r="R4" s="7"/>
      <c r="S4" s="7"/>
      <c r="T4" s="7"/>
      <c r="U4" s="7"/>
      <c r="V4" s="7"/>
      <c r="W4" s="7"/>
      <c r="X4" s="7"/>
      <c r="Y4" s="7"/>
    </row>
    <row r="5">
      <c r="A5" s="4" t="str">
        <f>IFERROR(__xludf.DUMMYFUNCTION("""COMPUTED_VALUE"""),"Adventuring Gear")</f>
        <v>Adventuring Gear</v>
      </c>
      <c r="B5" s="4" t="str">
        <f>IFERROR(__xludf.DUMMYFUNCTION("""COMPUTED_VALUE"""),"-")</f>
        <v>-</v>
      </c>
      <c r="C5" s="8" t="str">
        <f>IFERROR(__xludf.DUMMYFUNCTION("""COMPUTED_VALUE"""),"Quiver")</f>
        <v>Quiver</v>
      </c>
      <c r="D5" s="5">
        <f>IFERROR(__xludf.DUMMYFUNCTION("""COMPUTED_VALUE"""),1.0)</f>
        <v>1</v>
      </c>
      <c r="E5" s="6">
        <f>IFERROR(__xludf.DUMMYFUNCTION("""COMPUTED_VALUE"""),1.0)</f>
        <v>1</v>
      </c>
      <c r="F5" s="6">
        <f>IFERROR(__xludf.DUMMYFUNCTION("""COMPUTED_VALUE"""),0.75)</f>
        <v>0.75</v>
      </c>
      <c r="G5" s="6">
        <f>IFERROR(__xludf.DUMMYFUNCTION("""COMPUTED_VALUE"""),1.5)</f>
        <v>1.5</v>
      </c>
      <c r="H5" s="4" t="str">
        <f>IFERROR(__xludf.DUMMYFUNCTION("""COMPUTED_VALUE"""),"PHB 2024")</f>
        <v>PHB 2024</v>
      </c>
      <c r="I5" s="4" t="str">
        <f>IFERROR(__xludf.DUMMYFUNCTION("""COMPUTED_VALUE"""),"x")</f>
        <v>x</v>
      </c>
      <c r="J5" s="4" t="str">
        <f>IFERROR(__xludf.DUMMYFUNCTION("""COMPUTED_VALUE"""),"x")</f>
        <v>x</v>
      </c>
      <c r="K5" s="4" t="str">
        <f>IFERROR(__xludf.DUMMYFUNCTION("""COMPUTED_VALUE"""),"x")</f>
        <v>x</v>
      </c>
      <c r="L5" s="7"/>
      <c r="M5" s="4" t="str">
        <f>IFERROR(__xludf.DUMMYFUNCTION("""COMPUTED_VALUE"""),"x")</f>
        <v>x</v>
      </c>
      <c r="N5" s="7"/>
      <c r="O5" s="7"/>
      <c r="P5" s="7"/>
      <c r="Q5" s="4" t="str">
        <f>IFERROR(__xludf.DUMMYFUNCTION("""COMPUTED_VALUE"""),"x")</f>
        <v>x</v>
      </c>
      <c r="R5" s="7"/>
      <c r="S5" s="7"/>
      <c r="T5" s="7"/>
      <c r="U5" s="7"/>
      <c r="V5" s="7"/>
      <c r="W5" s="7"/>
      <c r="X5" s="7"/>
      <c r="Y5" s="7"/>
    </row>
    <row r="6">
      <c r="A6" s="4" t="str">
        <f>IFERROR(__xludf.DUMMYFUNCTION("""COMPUTED_VALUE"""),"Weapons")</f>
        <v>Weapons</v>
      </c>
      <c r="B6" s="4" t="str">
        <f>IFERROR(__xludf.DUMMYFUNCTION("""COMPUTED_VALUE"""),"Simple Ranged Weapons")</f>
        <v>Simple Ranged Weapons</v>
      </c>
      <c r="C6" s="8" t="str">
        <f>IFERROR(__xludf.DUMMYFUNCTION("""COMPUTED_VALUE"""),"Crossbow, Light")</f>
        <v>Crossbow, Light</v>
      </c>
      <c r="D6" s="5">
        <f>IFERROR(__xludf.DUMMYFUNCTION("""COMPUTED_VALUE"""),5.0)</f>
        <v>5</v>
      </c>
      <c r="E6" s="6">
        <f>IFERROR(__xludf.DUMMYFUNCTION("""COMPUTED_VALUE"""),25.0)</f>
        <v>25</v>
      </c>
      <c r="F6" s="6">
        <f>IFERROR(__xludf.DUMMYFUNCTION("""COMPUTED_VALUE"""),18.75)</f>
        <v>18.75</v>
      </c>
      <c r="G6" s="6">
        <f>IFERROR(__xludf.DUMMYFUNCTION("""COMPUTED_VALUE"""),37.5)</f>
        <v>37.5</v>
      </c>
      <c r="H6" s="4" t="str">
        <f>IFERROR(__xludf.DUMMYFUNCTION("""COMPUTED_VALUE"""),"PHB 2024")</f>
        <v>PHB 2024</v>
      </c>
      <c r="I6" s="4" t="str">
        <f>IFERROR(__xludf.DUMMYFUNCTION("""COMPUTED_VALUE"""),"x")</f>
        <v>x</v>
      </c>
      <c r="J6" s="4" t="str">
        <f>IFERROR(__xludf.DUMMYFUNCTION("""COMPUTED_VALUE"""),"x")</f>
        <v>x</v>
      </c>
      <c r="K6" s="4" t="str">
        <f>IFERROR(__xludf.DUMMYFUNCTION("""COMPUTED_VALUE"""),"x")</f>
        <v>x</v>
      </c>
      <c r="L6" s="7"/>
      <c r="M6" s="7" t="str">
        <f>IFERROR(__xludf.DUMMYFUNCTION("""COMPUTED_VALUE"""),"x")</f>
        <v>x</v>
      </c>
      <c r="N6" s="7"/>
      <c r="O6" s="7"/>
      <c r="P6" s="7"/>
      <c r="Q6" s="7" t="str">
        <f>IFERROR(__xludf.DUMMYFUNCTION("""COMPUTED_VALUE"""),"x")</f>
        <v>x</v>
      </c>
      <c r="R6" s="7"/>
      <c r="S6" s="7"/>
      <c r="T6" s="7"/>
      <c r="U6" s="7"/>
      <c r="V6" s="7"/>
      <c r="W6" s="4" t="str">
        <f>IFERROR(__xludf.DUMMYFUNCTION("""COMPUTED_VALUE"""),"x")</f>
        <v>x</v>
      </c>
      <c r="X6" s="4"/>
      <c r="Y6" s="4"/>
    </row>
    <row r="7">
      <c r="A7" s="4" t="str">
        <f>IFERROR(__xludf.DUMMYFUNCTION("""COMPUTED_VALUE"""),"Weapons")</f>
        <v>Weapons</v>
      </c>
      <c r="B7" s="4" t="str">
        <f>IFERROR(__xludf.DUMMYFUNCTION("""COMPUTED_VALUE"""),"Simple Ranged Weapons")</f>
        <v>Simple Ranged Weapons</v>
      </c>
      <c r="C7" s="8" t="str">
        <f>IFERROR(__xludf.DUMMYFUNCTION("""COMPUTED_VALUE"""),"Shortbow")</f>
        <v>Shortbow</v>
      </c>
      <c r="D7" s="5">
        <f>IFERROR(__xludf.DUMMYFUNCTION("""COMPUTED_VALUE"""),2.0)</f>
        <v>2</v>
      </c>
      <c r="E7" s="6">
        <f>IFERROR(__xludf.DUMMYFUNCTION("""COMPUTED_VALUE"""),25.0)</f>
        <v>25</v>
      </c>
      <c r="F7" s="6">
        <f>IFERROR(__xludf.DUMMYFUNCTION("""COMPUTED_VALUE"""),18.75)</f>
        <v>18.75</v>
      </c>
      <c r="G7" s="6">
        <f>IFERROR(__xludf.DUMMYFUNCTION("""COMPUTED_VALUE"""),37.5)</f>
        <v>37.5</v>
      </c>
      <c r="H7" s="4" t="str">
        <f>IFERROR(__xludf.DUMMYFUNCTION("""COMPUTED_VALUE"""),"PHB 2024")</f>
        <v>PHB 2024</v>
      </c>
      <c r="I7" s="4" t="str">
        <f>IFERROR(__xludf.DUMMYFUNCTION("""COMPUTED_VALUE"""),"x")</f>
        <v>x</v>
      </c>
      <c r="J7" s="4" t="str">
        <f>IFERROR(__xludf.DUMMYFUNCTION("""COMPUTED_VALUE"""),"x")</f>
        <v>x</v>
      </c>
      <c r="K7" s="4" t="str">
        <f>IFERROR(__xludf.DUMMYFUNCTION("""COMPUTED_VALUE"""),"x")</f>
        <v>x</v>
      </c>
      <c r="L7" s="7"/>
      <c r="M7" s="7" t="str">
        <f>IFERROR(__xludf.DUMMYFUNCTION("""COMPUTED_VALUE"""),"x")</f>
        <v>x</v>
      </c>
      <c r="N7" s="7"/>
      <c r="O7" s="7"/>
      <c r="P7" s="7"/>
      <c r="Q7" s="4" t="str">
        <f>IFERROR(__xludf.DUMMYFUNCTION("""COMPUTED_VALUE"""),"x")</f>
        <v>x</v>
      </c>
      <c r="R7" s="7"/>
      <c r="S7" s="7"/>
      <c r="T7" s="7"/>
      <c r="U7" s="7"/>
      <c r="V7" s="7"/>
      <c r="W7" s="7" t="str">
        <f>IFERROR(__xludf.DUMMYFUNCTION("""COMPUTED_VALUE"""),"x")</f>
        <v>x</v>
      </c>
      <c r="X7" s="7"/>
      <c r="Y7" s="7"/>
    </row>
    <row r="8">
      <c r="A8" s="4" t="str">
        <f>IFERROR(__xludf.DUMMYFUNCTION("""COMPUTED_VALUE"""),"Weapons")</f>
        <v>Weapons</v>
      </c>
      <c r="B8" s="4" t="str">
        <f>IFERROR(__xludf.DUMMYFUNCTION("""COMPUTED_VALUE"""),"Martial Ranged Weapons")</f>
        <v>Martial Ranged Weapons</v>
      </c>
      <c r="C8" s="8" t="str">
        <f>IFERROR(__xludf.DUMMYFUNCTION("""COMPUTED_VALUE"""),"Crossbow, Hand")</f>
        <v>Crossbow, Hand</v>
      </c>
      <c r="D8" s="5">
        <f>IFERROR(__xludf.DUMMYFUNCTION("""COMPUTED_VALUE"""),3.0)</f>
        <v>3</v>
      </c>
      <c r="E8" s="6">
        <f>IFERROR(__xludf.DUMMYFUNCTION("""COMPUTED_VALUE"""),75.0)</f>
        <v>75</v>
      </c>
      <c r="F8" s="6">
        <f>IFERROR(__xludf.DUMMYFUNCTION("""COMPUTED_VALUE"""),56.25)</f>
        <v>56.25</v>
      </c>
      <c r="G8" s="6">
        <f>IFERROR(__xludf.DUMMYFUNCTION("""COMPUTED_VALUE"""),112.5)</f>
        <v>112.5</v>
      </c>
      <c r="H8" s="4" t="str">
        <f>IFERROR(__xludf.DUMMYFUNCTION("""COMPUTED_VALUE"""),"PHB 2024")</f>
        <v>PHB 2024</v>
      </c>
      <c r="I8" s="4"/>
      <c r="J8" s="4" t="str">
        <f>IFERROR(__xludf.DUMMYFUNCTION("""COMPUTED_VALUE"""),"x")</f>
        <v>x</v>
      </c>
      <c r="K8" s="4" t="str">
        <f>IFERROR(__xludf.DUMMYFUNCTION("""COMPUTED_VALUE"""),"x")</f>
        <v>x</v>
      </c>
      <c r="L8" s="7"/>
      <c r="M8" s="7" t="str">
        <f>IFERROR(__xludf.DUMMYFUNCTION("""COMPUTED_VALUE"""),"x")</f>
        <v>x</v>
      </c>
      <c r="N8" s="7"/>
      <c r="O8" s="7"/>
      <c r="P8" s="7"/>
      <c r="Q8" s="4" t="str">
        <f>IFERROR(__xludf.DUMMYFUNCTION("""COMPUTED_VALUE"""),"x")</f>
        <v>x</v>
      </c>
      <c r="R8" s="7"/>
      <c r="S8" s="7"/>
      <c r="T8" s="7"/>
      <c r="U8" s="7"/>
      <c r="V8" s="7"/>
      <c r="W8" s="7" t="str">
        <f>IFERROR(__xludf.DUMMYFUNCTION("""COMPUTED_VALUE"""),"x")</f>
        <v>x</v>
      </c>
      <c r="X8" s="7"/>
      <c r="Y8" s="7"/>
    </row>
    <row r="9">
      <c r="A9" s="4" t="str">
        <f>IFERROR(__xludf.DUMMYFUNCTION("""COMPUTED_VALUE"""),"Weapons")</f>
        <v>Weapons</v>
      </c>
      <c r="B9" s="4" t="str">
        <f>IFERROR(__xludf.DUMMYFUNCTION("""COMPUTED_VALUE"""),"Martial Ranged Weapons")</f>
        <v>Martial Ranged Weapons</v>
      </c>
      <c r="C9" s="8" t="str">
        <f>IFERROR(__xludf.DUMMYFUNCTION("""COMPUTED_VALUE"""),"Crossbow, Heavy")</f>
        <v>Crossbow, Heavy</v>
      </c>
      <c r="D9" s="5">
        <f>IFERROR(__xludf.DUMMYFUNCTION("""COMPUTED_VALUE"""),18.0)</f>
        <v>18</v>
      </c>
      <c r="E9" s="6">
        <f>IFERROR(__xludf.DUMMYFUNCTION("""COMPUTED_VALUE"""),50.0)</f>
        <v>50</v>
      </c>
      <c r="F9" s="6">
        <f>IFERROR(__xludf.DUMMYFUNCTION("""COMPUTED_VALUE"""),37.5)</f>
        <v>37.5</v>
      </c>
      <c r="G9" s="6">
        <f>IFERROR(__xludf.DUMMYFUNCTION("""COMPUTED_VALUE"""),75.0)</f>
        <v>75</v>
      </c>
      <c r="H9" s="4" t="str">
        <f>IFERROR(__xludf.DUMMYFUNCTION("""COMPUTED_VALUE"""),"PHB 2024")</f>
        <v>PHB 2024</v>
      </c>
      <c r="I9" s="4"/>
      <c r="J9" s="4"/>
      <c r="K9" s="4" t="str">
        <f>IFERROR(__xludf.DUMMYFUNCTION("""COMPUTED_VALUE"""),"x")</f>
        <v>x</v>
      </c>
      <c r="L9" s="7"/>
      <c r="M9" s="7" t="str">
        <f>IFERROR(__xludf.DUMMYFUNCTION("""COMPUTED_VALUE"""),"x")</f>
        <v>x</v>
      </c>
      <c r="N9" s="7"/>
      <c r="O9" s="7"/>
      <c r="P9" s="7"/>
      <c r="Q9" s="7" t="str">
        <f>IFERROR(__xludf.DUMMYFUNCTION("""COMPUTED_VALUE"""),"x")</f>
        <v>x</v>
      </c>
      <c r="R9" s="7"/>
      <c r="S9" s="7"/>
      <c r="T9" s="4"/>
      <c r="U9" s="7"/>
      <c r="V9" s="7"/>
      <c r="W9" s="7" t="str">
        <f>IFERROR(__xludf.DUMMYFUNCTION("""COMPUTED_VALUE"""),"x")</f>
        <v>x</v>
      </c>
      <c r="X9" s="7"/>
      <c r="Y9" s="7"/>
    </row>
    <row r="10">
      <c r="A10" s="4" t="str">
        <f>IFERROR(__xludf.DUMMYFUNCTION("""COMPUTED_VALUE"""),"Weapons")</f>
        <v>Weapons</v>
      </c>
      <c r="B10" s="4" t="str">
        <f>IFERROR(__xludf.DUMMYFUNCTION("""COMPUTED_VALUE"""),"Martial Ranged Weapons")</f>
        <v>Martial Ranged Weapons</v>
      </c>
      <c r="C10" s="8" t="str">
        <f>IFERROR(__xludf.DUMMYFUNCTION("""COMPUTED_VALUE"""),"Longbow")</f>
        <v>Longbow</v>
      </c>
      <c r="D10" s="5">
        <f>IFERROR(__xludf.DUMMYFUNCTION("""COMPUTED_VALUE"""),2.0)</f>
        <v>2</v>
      </c>
      <c r="E10" s="6">
        <f>IFERROR(__xludf.DUMMYFUNCTION("""COMPUTED_VALUE"""),50.0)</f>
        <v>50</v>
      </c>
      <c r="F10" s="6">
        <f>IFERROR(__xludf.DUMMYFUNCTION("""COMPUTED_VALUE"""),37.5)</f>
        <v>37.5</v>
      </c>
      <c r="G10" s="6">
        <f>IFERROR(__xludf.DUMMYFUNCTION("""COMPUTED_VALUE"""),75.0)</f>
        <v>75</v>
      </c>
      <c r="H10" s="4" t="str">
        <f>IFERROR(__xludf.DUMMYFUNCTION("""COMPUTED_VALUE"""),"PHB 2024")</f>
        <v>PHB 2024</v>
      </c>
      <c r="I10" s="4" t="str">
        <f>IFERROR(__xludf.DUMMYFUNCTION("""COMPUTED_VALUE"""),"x")</f>
        <v>x</v>
      </c>
      <c r="J10" s="4" t="str">
        <f>IFERROR(__xludf.DUMMYFUNCTION("""COMPUTED_VALUE"""),"x")</f>
        <v>x</v>
      </c>
      <c r="K10" s="4" t="str">
        <f>IFERROR(__xludf.DUMMYFUNCTION("""COMPUTED_VALUE"""),"x")</f>
        <v>x</v>
      </c>
      <c r="L10" s="7"/>
      <c r="M10" s="7" t="str">
        <f>IFERROR(__xludf.DUMMYFUNCTION("""COMPUTED_VALUE"""),"x")</f>
        <v>x</v>
      </c>
      <c r="N10" s="7"/>
      <c r="O10" s="7"/>
      <c r="P10" s="7"/>
      <c r="Q10" s="7" t="str">
        <f>IFERROR(__xludf.DUMMYFUNCTION("""COMPUTED_VALUE"""),"x")</f>
        <v>x</v>
      </c>
      <c r="R10" s="7"/>
      <c r="S10" s="4"/>
      <c r="T10" s="7"/>
      <c r="U10" s="4"/>
      <c r="V10" s="7"/>
      <c r="W10" s="7" t="str">
        <f>IFERROR(__xludf.DUMMYFUNCTION("""COMPUTED_VALUE"""),"x")</f>
        <v>x</v>
      </c>
      <c r="X10" s="7"/>
      <c r="Y10" s="7"/>
    </row>
    <row r="11">
      <c r="A11" s="4"/>
      <c r="B11" s="4"/>
      <c r="C11" s="4"/>
      <c r="D11" s="5"/>
      <c r="E11" s="6"/>
      <c r="F11" s="6"/>
      <c r="G11" s="6"/>
      <c r="H11" s="4"/>
      <c r="I11" s="4"/>
      <c r="J11" s="4"/>
      <c r="K11" s="4"/>
      <c r="L11" s="7"/>
      <c r="M11" s="7"/>
      <c r="N11" s="7"/>
      <c r="O11" s="7"/>
      <c r="P11" s="7"/>
      <c r="Q11" s="7"/>
      <c r="R11" s="7"/>
      <c r="S11" s="4"/>
      <c r="T11" s="7"/>
      <c r="U11" s="4"/>
      <c r="V11" s="7"/>
      <c r="W11" s="7"/>
      <c r="X11" s="7"/>
      <c r="Y11" s="7"/>
    </row>
    <row r="12">
      <c r="A12" s="4"/>
      <c r="B12" s="4"/>
      <c r="C12" s="4"/>
      <c r="D12" s="5"/>
      <c r="E12" s="6"/>
      <c r="F12" s="6"/>
      <c r="G12" s="6"/>
      <c r="H12" s="4"/>
      <c r="I12" s="4"/>
      <c r="J12" s="4"/>
      <c r="K12" s="4"/>
      <c r="L12" s="7"/>
      <c r="M12" s="7"/>
      <c r="N12" s="7"/>
      <c r="O12" s="7"/>
      <c r="P12" s="7"/>
      <c r="Q12" s="7"/>
      <c r="R12" s="7"/>
      <c r="S12" s="7"/>
      <c r="T12" s="7"/>
      <c r="U12" s="4"/>
      <c r="V12" s="7"/>
      <c r="W12" s="7"/>
      <c r="X12" s="7"/>
      <c r="Y12" s="7"/>
    </row>
    <row r="13">
      <c r="A13" s="4"/>
      <c r="B13" s="4"/>
      <c r="C13" s="4"/>
      <c r="D13" s="5"/>
      <c r="E13" s="6"/>
      <c r="F13" s="6"/>
      <c r="G13" s="6"/>
      <c r="H13" s="4"/>
      <c r="I13" s="4"/>
      <c r="J13" s="4"/>
      <c r="K13" s="4"/>
      <c r="L13" s="7"/>
      <c r="M13" s="7"/>
      <c r="N13" s="7"/>
      <c r="O13" s="7"/>
      <c r="P13" s="7"/>
      <c r="Q13" s="7"/>
      <c r="R13" s="7"/>
      <c r="S13" s="7"/>
      <c r="T13" s="7"/>
      <c r="U13" s="4"/>
      <c r="V13" s="7"/>
      <c r="W13" s="7"/>
      <c r="X13" s="7"/>
      <c r="Y13" s="7"/>
    </row>
    <row r="14">
      <c r="A14" s="4"/>
      <c r="B14" s="4"/>
      <c r="C14" s="4"/>
      <c r="D14" s="5"/>
      <c r="E14" s="6"/>
      <c r="F14" s="6"/>
      <c r="G14" s="6"/>
      <c r="H14" s="4"/>
      <c r="I14" s="4"/>
      <c r="J14" s="4"/>
      <c r="K14" s="4"/>
      <c r="L14" s="7"/>
      <c r="M14" s="7"/>
      <c r="N14" s="7"/>
      <c r="O14" s="7"/>
      <c r="P14" s="7"/>
      <c r="Q14" s="7"/>
      <c r="R14" s="7"/>
      <c r="S14" s="7"/>
      <c r="T14" s="7"/>
      <c r="U14" s="4"/>
      <c r="V14" s="7"/>
      <c r="W14" s="7"/>
      <c r="X14" s="7"/>
      <c r="Y14" s="7"/>
    </row>
    <row r="15">
      <c r="A15" s="4"/>
      <c r="B15" s="4"/>
      <c r="C15" s="4"/>
      <c r="D15" s="5"/>
      <c r="E15" s="6"/>
      <c r="F15" s="6"/>
      <c r="G15" s="6"/>
      <c r="H15" s="4"/>
      <c r="I15" s="4"/>
      <c r="J15" s="4"/>
      <c r="K15" s="4"/>
      <c r="L15" s="7"/>
      <c r="M15" s="7"/>
      <c r="N15" s="7"/>
      <c r="O15" s="7"/>
      <c r="P15" s="7"/>
      <c r="Q15" s="4"/>
      <c r="R15" s="7"/>
      <c r="S15" s="7"/>
      <c r="T15" s="7"/>
      <c r="U15" s="7"/>
      <c r="V15" s="7"/>
      <c r="W15" s="7"/>
      <c r="X15" s="7"/>
      <c r="Y15" s="7"/>
    </row>
    <row r="16">
      <c r="A16" s="4"/>
      <c r="B16" s="4"/>
      <c r="C16" s="4"/>
      <c r="D16" s="5"/>
      <c r="E16" s="6"/>
      <c r="F16" s="6"/>
      <c r="G16" s="6"/>
      <c r="H16" s="4"/>
      <c r="I16" s="4"/>
      <c r="J16" s="4"/>
      <c r="K16" s="4"/>
      <c r="L16" s="4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4"/>
      <c r="B17" s="4"/>
      <c r="C17" s="4"/>
      <c r="D17" s="5"/>
      <c r="E17" s="6"/>
      <c r="F17" s="6"/>
      <c r="G17" s="6"/>
      <c r="H17" s="4"/>
      <c r="I17" s="4"/>
      <c r="J17" s="4"/>
      <c r="K17" s="4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</row>
    <row r="18">
      <c r="A18" s="4"/>
      <c r="B18" s="4"/>
      <c r="C18" s="4"/>
      <c r="D18" s="5"/>
      <c r="E18" s="6"/>
      <c r="F18" s="6"/>
      <c r="G18" s="6"/>
      <c r="H18" s="4"/>
      <c r="I18" s="4"/>
      <c r="J18" s="4"/>
      <c r="K18" s="4"/>
      <c r="L18" s="7"/>
      <c r="M18" s="7"/>
      <c r="N18" s="7"/>
      <c r="O18" s="7"/>
      <c r="P18" s="7"/>
      <c r="Q18" s="7"/>
      <c r="R18" s="4"/>
      <c r="S18" s="7"/>
      <c r="T18" s="7"/>
      <c r="U18" s="7"/>
      <c r="V18" s="7"/>
      <c r="W18" s="7"/>
      <c r="X18" s="7"/>
      <c r="Y18" s="7"/>
    </row>
    <row r="19">
      <c r="A19" s="4"/>
      <c r="B19" s="4"/>
      <c r="C19" s="4"/>
      <c r="D19" s="5"/>
      <c r="E19" s="6"/>
      <c r="F19" s="6"/>
      <c r="G19" s="6"/>
      <c r="H19" s="4"/>
      <c r="I19" s="4"/>
      <c r="J19" s="4"/>
      <c r="K19" s="4"/>
      <c r="L19" s="7"/>
      <c r="M19" s="7"/>
      <c r="N19" s="7"/>
      <c r="O19" s="7"/>
      <c r="P19" s="7"/>
      <c r="Q19" s="4"/>
      <c r="R19" s="7"/>
      <c r="S19" s="7"/>
      <c r="T19" s="7"/>
      <c r="U19" s="7"/>
      <c r="V19" s="7"/>
      <c r="W19" s="7"/>
      <c r="X19" s="7"/>
      <c r="Y19" s="7"/>
    </row>
    <row r="20">
      <c r="A20" s="4"/>
      <c r="B20" s="4"/>
      <c r="C20" s="4"/>
      <c r="D20" s="5"/>
      <c r="E20" s="6"/>
      <c r="F20" s="6"/>
      <c r="G20" s="6"/>
      <c r="H20" s="4"/>
      <c r="I20" s="4"/>
      <c r="J20" s="4"/>
      <c r="K20" s="4"/>
      <c r="L20" s="4"/>
      <c r="M20" s="7"/>
      <c r="N20" s="7"/>
      <c r="O20" s="4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4"/>
      <c r="B21" s="4"/>
      <c r="C21" s="4"/>
      <c r="D21" s="5"/>
      <c r="E21" s="6"/>
      <c r="F21" s="6"/>
      <c r="G21" s="6"/>
      <c r="H21" s="4"/>
      <c r="I21" s="4"/>
      <c r="J21" s="4"/>
      <c r="K21" s="4"/>
      <c r="L21" s="7"/>
      <c r="M21" s="7"/>
      <c r="N21" s="7"/>
      <c r="O21" s="4"/>
      <c r="P21" s="4"/>
      <c r="Q21" s="4"/>
      <c r="R21" s="7"/>
      <c r="S21" s="7"/>
      <c r="T21" s="7"/>
      <c r="U21" s="7"/>
      <c r="V21" s="7"/>
      <c r="W21" s="7"/>
      <c r="X21" s="7"/>
      <c r="Y21" s="7"/>
    </row>
    <row r="22">
      <c r="A22" s="4"/>
      <c r="B22" s="4"/>
      <c r="C22" s="4"/>
      <c r="D22" s="5"/>
      <c r="E22" s="6"/>
      <c r="F22" s="6"/>
      <c r="G22" s="6"/>
      <c r="H22" s="4"/>
      <c r="I22" s="4"/>
      <c r="J22" s="4"/>
      <c r="K22" s="4"/>
      <c r="L22" s="4"/>
      <c r="M22" s="7"/>
      <c r="N22" s="7"/>
      <c r="O22" s="7"/>
      <c r="P22" s="7"/>
      <c r="Q22" s="4"/>
      <c r="R22" s="7"/>
      <c r="S22" s="7"/>
      <c r="T22" s="7"/>
      <c r="U22" s="7"/>
      <c r="V22" s="7"/>
      <c r="W22" s="7"/>
      <c r="X22" s="7"/>
      <c r="Y22" s="7"/>
    </row>
    <row r="23">
      <c r="A23" s="4"/>
      <c r="B23" s="4"/>
      <c r="C23" s="4"/>
      <c r="D23" s="5"/>
      <c r="E23" s="6"/>
      <c r="F23" s="6"/>
      <c r="G23" s="6"/>
      <c r="H23" s="4"/>
      <c r="I23" s="4"/>
      <c r="J23" s="4"/>
      <c r="K23" s="4"/>
      <c r="L23" s="7"/>
      <c r="M23" s="7"/>
      <c r="N23" s="7"/>
      <c r="O23" s="4"/>
      <c r="P23" s="7"/>
      <c r="Q23" s="7"/>
      <c r="R23" s="7"/>
      <c r="S23" s="7"/>
      <c r="T23" s="7"/>
      <c r="U23" s="4"/>
      <c r="V23" s="7"/>
      <c r="W23" s="7"/>
      <c r="X23" s="7"/>
      <c r="Y23" s="7"/>
    </row>
    <row r="24">
      <c r="A24" s="4"/>
      <c r="B24" s="4"/>
      <c r="C24" s="4"/>
      <c r="D24" s="5"/>
      <c r="E24" s="6"/>
      <c r="F24" s="6"/>
      <c r="G24" s="6"/>
      <c r="H24" s="4"/>
      <c r="I24" s="4"/>
      <c r="J24" s="4"/>
      <c r="K24" s="4"/>
      <c r="L24" s="7"/>
      <c r="M24" s="7"/>
      <c r="N24" s="7"/>
      <c r="O24" s="7"/>
      <c r="P24" s="4"/>
      <c r="Q24" s="4"/>
      <c r="R24" s="7"/>
      <c r="S24" s="7"/>
      <c r="T24" s="7"/>
      <c r="U24" s="4"/>
      <c r="V24" s="7"/>
      <c r="W24" s="7"/>
      <c r="X24" s="7"/>
      <c r="Y24" s="7"/>
    </row>
    <row r="25">
      <c r="A25" s="4"/>
      <c r="B25" s="4"/>
      <c r="C25" s="4"/>
      <c r="D25" s="5"/>
      <c r="E25" s="6"/>
      <c r="F25" s="6"/>
      <c r="G25" s="6"/>
      <c r="H25" s="4"/>
      <c r="I25" s="4"/>
      <c r="J25" s="4"/>
      <c r="K25" s="4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</row>
    <row r="26">
      <c r="A26" s="4"/>
      <c r="B26" s="4"/>
      <c r="C26" s="4"/>
      <c r="D26" s="5"/>
      <c r="E26" s="6"/>
      <c r="F26" s="6"/>
      <c r="G26" s="6"/>
      <c r="H26" s="4"/>
      <c r="I26" s="4"/>
      <c r="J26" s="4"/>
      <c r="K26" s="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4"/>
      <c r="X26" s="7"/>
      <c r="Y26" s="7"/>
    </row>
    <row r="27">
      <c r="A27" s="4"/>
      <c r="B27" s="4"/>
      <c r="C27" s="4"/>
      <c r="D27" s="5"/>
      <c r="E27" s="6"/>
      <c r="F27" s="6"/>
      <c r="G27" s="6"/>
      <c r="H27" s="4"/>
      <c r="I27" s="4"/>
      <c r="J27" s="4"/>
      <c r="K27" s="4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4"/>
      <c r="X27" s="7"/>
      <c r="Y27" s="7"/>
    </row>
    <row r="28">
      <c r="A28" s="4"/>
      <c r="B28" s="4"/>
      <c r="C28" s="4"/>
      <c r="D28" s="5"/>
      <c r="E28" s="6"/>
      <c r="F28" s="6"/>
      <c r="G28" s="6"/>
      <c r="H28" s="4"/>
      <c r="I28" s="4"/>
      <c r="J28" s="4"/>
      <c r="K28" s="4"/>
      <c r="L28" s="7"/>
      <c r="M28" s="7"/>
      <c r="N28" s="7"/>
      <c r="O28" s="4"/>
      <c r="P28" s="4"/>
      <c r="Q28" s="4"/>
      <c r="R28" s="7"/>
      <c r="S28" s="7"/>
      <c r="T28" s="7"/>
      <c r="U28" s="4"/>
      <c r="V28" s="7"/>
      <c r="W28" s="7"/>
      <c r="X28" s="7"/>
      <c r="Y28" s="7"/>
    </row>
    <row r="29">
      <c r="A29" s="4"/>
      <c r="B29" s="4"/>
      <c r="C29" s="4"/>
      <c r="D29" s="5"/>
      <c r="E29" s="6"/>
      <c r="F29" s="6"/>
      <c r="G29" s="6"/>
      <c r="H29" s="4"/>
      <c r="I29" s="4"/>
      <c r="J29" s="4"/>
      <c r="K29" s="4"/>
      <c r="L29" s="7"/>
      <c r="M29" s="4"/>
      <c r="N29" s="7"/>
      <c r="O29" s="7"/>
      <c r="P29" s="7"/>
      <c r="Q29" s="4"/>
      <c r="R29" s="7"/>
      <c r="S29" s="7"/>
      <c r="T29" s="7"/>
      <c r="U29" s="7"/>
      <c r="V29" s="7"/>
      <c r="W29" s="7"/>
      <c r="X29" s="7"/>
      <c r="Y29" s="7"/>
    </row>
    <row r="30">
      <c r="A30" s="4"/>
      <c r="B30" s="4"/>
      <c r="C30" s="8"/>
      <c r="D30" s="5"/>
      <c r="E30" s="6"/>
      <c r="F30" s="6"/>
      <c r="G30" s="6"/>
      <c r="H30" s="4"/>
      <c r="I30" s="4"/>
      <c r="J30" s="4"/>
      <c r="K30" s="4"/>
      <c r="L30" s="7"/>
      <c r="M30" s="7"/>
      <c r="N30" s="7"/>
      <c r="O30" s="4"/>
      <c r="P30" s="7"/>
      <c r="Q30" s="4"/>
      <c r="R30" s="7"/>
      <c r="S30" s="7"/>
      <c r="T30" s="7"/>
      <c r="U30" s="4"/>
      <c r="V30" s="7"/>
      <c r="W30" s="7"/>
      <c r="X30" s="7"/>
      <c r="Y30" s="7"/>
    </row>
    <row r="31">
      <c r="A31" s="4"/>
      <c r="B31" s="4"/>
      <c r="C31" s="8"/>
      <c r="D31" s="5"/>
      <c r="E31" s="6"/>
      <c r="F31" s="6"/>
      <c r="G31" s="6"/>
      <c r="H31" s="4"/>
      <c r="I31" s="4"/>
      <c r="J31" s="4"/>
      <c r="K31" s="4"/>
      <c r="L31" s="4"/>
      <c r="M31" s="7"/>
      <c r="N31" s="7"/>
      <c r="O31" s="7"/>
      <c r="P31" s="7"/>
      <c r="Q31" s="4"/>
      <c r="R31" s="7"/>
      <c r="S31" s="7"/>
      <c r="T31" s="7"/>
      <c r="U31" s="7"/>
      <c r="V31" s="7"/>
      <c r="W31" s="7"/>
      <c r="X31" s="7"/>
      <c r="Y31" s="7"/>
    </row>
    <row r="32">
      <c r="A32" s="4"/>
      <c r="B32" s="4"/>
      <c r="C32" s="8"/>
      <c r="D32" s="5"/>
      <c r="E32" s="6"/>
      <c r="F32" s="6"/>
      <c r="G32" s="6"/>
      <c r="H32" s="4"/>
      <c r="I32" s="4"/>
      <c r="J32" s="4"/>
      <c r="K32" s="4"/>
      <c r="L32" s="7"/>
      <c r="M32" s="7"/>
      <c r="N32" s="7"/>
      <c r="O32" s="7"/>
      <c r="P32" s="4"/>
      <c r="Q32" s="4"/>
      <c r="R32" s="7"/>
      <c r="S32" s="7"/>
      <c r="T32" s="7"/>
      <c r="U32" s="7"/>
      <c r="V32" s="7"/>
      <c r="W32" s="7"/>
      <c r="X32" s="7"/>
      <c r="Y32" s="7"/>
    </row>
    <row r="33">
      <c r="A33" s="4"/>
      <c r="B33" s="4"/>
      <c r="C33" s="8"/>
      <c r="D33" s="5"/>
      <c r="E33" s="6"/>
      <c r="F33" s="6"/>
      <c r="G33" s="6"/>
      <c r="H33" s="4"/>
      <c r="I33" s="4"/>
      <c r="J33" s="4"/>
      <c r="K33" s="4"/>
      <c r="L33" s="7"/>
      <c r="M33" s="7"/>
      <c r="N33" s="7"/>
      <c r="O33" s="7"/>
      <c r="P33" s="7"/>
      <c r="Q33" s="4"/>
      <c r="R33" s="7"/>
      <c r="S33" s="7"/>
      <c r="T33" s="7"/>
      <c r="U33" s="7"/>
      <c r="V33" s="7"/>
      <c r="W33" s="7"/>
      <c r="X33" s="7"/>
      <c r="Y33" s="7"/>
    </row>
    <row r="34">
      <c r="A34" s="4"/>
      <c r="B34" s="4"/>
      <c r="C34" s="8"/>
      <c r="D34" s="5"/>
      <c r="E34" s="6"/>
      <c r="F34" s="6"/>
      <c r="G34" s="6"/>
      <c r="H34" s="4"/>
      <c r="I34" s="4"/>
      <c r="J34" s="4"/>
      <c r="K34" s="4"/>
      <c r="L34" s="7"/>
      <c r="M34" s="7"/>
      <c r="N34" s="7"/>
      <c r="O34" s="7"/>
      <c r="P34" s="4"/>
      <c r="Q34" s="7"/>
      <c r="R34" s="4"/>
      <c r="S34" s="7"/>
      <c r="T34" s="7"/>
      <c r="U34" s="7"/>
      <c r="V34" s="7"/>
      <c r="W34" s="7"/>
      <c r="X34" s="7"/>
      <c r="Y34" s="7"/>
    </row>
    <row r="35">
      <c r="A35" s="4"/>
      <c r="B35" s="4"/>
      <c r="C35" s="8"/>
      <c r="D35" s="5"/>
      <c r="E35" s="6"/>
      <c r="F35" s="6"/>
      <c r="G35" s="6"/>
      <c r="H35" s="4"/>
      <c r="I35" s="4"/>
      <c r="J35" s="4"/>
      <c r="K35" s="4"/>
      <c r="L35" s="7"/>
      <c r="M35" s="7"/>
      <c r="N35" s="7"/>
      <c r="O35" s="7"/>
      <c r="P35" s="7"/>
      <c r="Q35" s="4"/>
      <c r="R35" s="4"/>
      <c r="S35" s="7"/>
      <c r="T35" s="7"/>
      <c r="U35" s="7"/>
      <c r="V35" s="7"/>
      <c r="W35" s="7"/>
      <c r="X35" s="7"/>
      <c r="Y35" s="7"/>
    </row>
    <row r="36">
      <c r="A36" s="4"/>
      <c r="B36" s="4"/>
      <c r="C36" s="8"/>
      <c r="D36" s="5"/>
      <c r="E36" s="6"/>
      <c r="F36" s="6"/>
      <c r="G36" s="6"/>
      <c r="H36" s="4"/>
      <c r="I36" s="4"/>
      <c r="J36" s="4"/>
      <c r="K36" s="4"/>
      <c r="L36" s="7"/>
      <c r="M36" s="7"/>
      <c r="N36" s="7"/>
      <c r="O36" s="7"/>
      <c r="P36" s="7"/>
      <c r="Q36" s="7"/>
      <c r="R36" s="4"/>
      <c r="S36" s="7"/>
      <c r="T36" s="4"/>
      <c r="U36" s="4"/>
      <c r="V36" s="7"/>
      <c r="W36" s="7"/>
      <c r="X36" s="7"/>
      <c r="Y36" s="7"/>
    </row>
    <row r="37">
      <c r="A37" s="4"/>
      <c r="B37" s="4"/>
      <c r="C37" s="8"/>
      <c r="D37" s="5"/>
      <c r="E37" s="6"/>
      <c r="F37" s="6"/>
      <c r="G37" s="6"/>
      <c r="H37" s="4"/>
      <c r="I37" s="4"/>
      <c r="J37" s="4"/>
      <c r="K37" s="4"/>
      <c r="L37" s="7"/>
      <c r="M37" s="7"/>
      <c r="N37" s="7"/>
      <c r="O37" s="7"/>
      <c r="P37" s="7"/>
      <c r="Q37" s="7"/>
      <c r="R37" s="4"/>
      <c r="S37" s="7"/>
      <c r="T37" s="7"/>
      <c r="U37" s="7"/>
      <c r="V37" s="7"/>
      <c r="W37" s="4"/>
      <c r="X37" s="7"/>
      <c r="Y37" s="7"/>
    </row>
    <row r="38">
      <c r="A38" s="4"/>
      <c r="B38" s="4"/>
      <c r="C38" s="8"/>
      <c r="D38" s="5"/>
      <c r="E38" s="6"/>
      <c r="F38" s="6"/>
      <c r="G38" s="6"/>
      <c r="H38" s="4"/>
      <c r="I38" s="4"/>
      <c r="J38" s="4"/>
      <c r="K38" s="4"/>
      <c r="L38" s="4"/>
      <c r="M38" s="7"/>
      <c r="N38" s="7"/>
      <c r="O38" s="7"/>
      <c r="P38" s="7"/>
      <c r="Q38" s="4"/>
      <c r="R38" s="7"/>
      <c r="S38" s="7"/>
      <c r="T38" s="7"/>
      <c r="U38" s="7"/>
      <c r="V38" s="7"/>
      <c r="W38" s="4"/>
      <c r="X38" s="7"/>
      <c r="Y38" s="7"/>
    </row>
    <row r="39">
      <c r="A39" s="4"/>
      <c r="B39" s="4"/>
      <c r="C39" s="8"/>
      <c r="D39" s="5"/>
      <c r="E39" s="6"/>
      <c r="F39" s="6"/>
      <c r="G39" s="6"/>
      <c r="H39" s="4"/>
      <c r="I39" s="4"/>
      <c r="J39" s="4"/>
      <c r="K39" s="4"/>
      <c r="L39" s="7"/>
      <c r="M39" s="7"/>
      <c r="N39" s="7"/>
      <c r="O39" s="4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4"/>
      <c r="B40" s="8"/>
      <c r="C40" s="4"/>
      <c r="D40" s="5"/>
      <c r="E40" s="6"/>
      <c r="F40" s="6"/>
      <c r="G40" s="6"/>
      <c r="H40" s="4"/>
      <c r="I40" s="4"/>
      <c r="J40" s="4"/>
      <c r="K40" s="4"/>
      <c r="L40" s="7"/>
      <c r="M40" s="7"/>
      <c r="N40" s="7"/>
      <c r="O40" s="7"/>
      <c r="P40" s="7"/>
      <c r="Q40" s="7"/>
      <c r="R40" s="7"/>
      <c r="S40" s="7"/>
      <c r="T40" s="7"/>
      <c r="U40" s="4"/>
      <c r="V40" s="7"/>
      <c r="W40" s="7"/>
      <c r="X40" s="7"/>
      <c r="Y40" s="7"/>
    </row>
    <row r="41">
      <c r="A41" s="4"/>
      <c r="B41" s="8"/>
      <c r="C41" s="8"/>
      <c r="D41" s="5"/>
      <c r="E41" s="6"/>
      <c r="F41" s="6"/>
      <c r="G41" s="6"/>
      <c r="H41" s="4"/>
      <c r="I41" s="4"/>
      <c r="J41" s="4"/>
      <c r="K41" s="4"/>
      <c r="L41" s="7"/>
      <c r="M41" s="7"/>
      <c r="N41" s="7"/>
      <c r="O41" s="7"/>
      <c r="P41" s="7"/>
      <c r="Q41" s="7"/>
      <c r="R41" s="7"/>
      <c r="S41" s="7"/>
      <c r="T41" s="7"/>
      <c r="U41" s="4"/>
      <c r="V41" s="7"/>
      <c r="W41" s="7"/>
      <c r="X41" s="7"/>
      <c r="Y41" s="7"/>
    </row>
    <row r="42">
      <c r="A42" s="4"/>
      <c r="B42" s="8"/>
      <c r="C42" s="8"/>
      <c r="D42" s="5"/>
      <c r="E42" s="6"/>
      <c r="F42" s="6"/>
      <c r="G42" s="6"/>
      <c r="H42" s="4"/>
      <c r="I42" s="4"/>
      <c r="J42" s="4"/>
      <c r="K42" s="4"/>
      <c r="L42" s="7"/>
      <c r="M42" s="7"/>
      <c r="N42" s="7"/>
      <c r="O42" s="7"/>
      <c r="P42" s="7"/>
      <c r="Q42" s="7"/>
      <c r="R42" s="7"/>
      <c r="S42" s="7"/>
      <c r="T42" s="7"/>
      <c r="U42" s="4"/>
      <c r="V42" s="7"/>
      <c r="W42" s="7"/>
      <c r="X42" s="7"/>
      <c r="Y42" s="7"/>
    </row>
    <row r="43">
      <c r="A43" s="4"/>
      <c r="B43" s="4"/>
      <c r="C43" s="8"/>
      <c r="D43" s="5"/>
      <c r="E43" s="6"/>
      <c r="F43" s="6"/>
      <c r="G43" s="6"/>
      <c r="H43" s="4"/>
      <c r="I43" s="4"/>
      <c r="J43" s="4"/>
      <c r="K43" s="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4"/>
      <c r="B44" s="4"/>
      <c r="C44" s="8"/>
      <c r="D44" s="5"/>
      <c r="E44" s="6"/>
      <c r="F44" s="6"/>
      <c r="G44" s="6"/>
      <c r="H44" s="4"/>
      <c r="I44" s="4"/>
      <c r="J44" s="4"/>
      <c r="K44" s="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4"/>
      <c r="B45" s="4"/>
      <c r="C45" s="8"/>
      <c r="D45" s="5"/>
      <c r="E45" s="6"/>
      <c r="F45" s="6"/>
      <c r="G45" s="6"/>
      <c r="H45" s="4"/>
      <c r="I45" s="4"/>
      <c r="J45" s="4"/>
      <c r="K45" s="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4"/>
      <c r="B46" s="4"/>
      <c r="C46" s="8"/>
      <c r="D46" s="5"/>
      <c r="E46" s="6"/>
      <c r="F46" s="6"/>
      <c r="G46" s="6"/>
      <c r="H46" s="4"/>
      <c r="I46" s="4"/>
      <c r="J46" s="4"/>
      <c r="K46" s="4"/>
      <c r="L46" s="7"/>
      <c r="M46" s="7"/>
      <c r="N46" s="7"/>
      <c r="O46" s="4"/>
      <c r="P46" s="4"/>
      <c r="Q46" s="4"/>
      <c r="R46" s="7"/>
      <c r="S46" s="7"/>
      <c r="T46" s="4"/>
      <c r="U46" s="7"/>
      <c r="V46" s="7"/>
      <c r="W46" s="7"/>
      <c r="X46" s="7"/>
      <c r="Y46" s="7"/>
    </row>
    <row r="47">
      <c r="A47" s="4"/>
      <c r="B47" s="4"/>
      <c r="C47" s="8"/>
      <c r="D47" s="5"/>
      <c r="E47" s="6"/>
      <c r="F47" s="6"/>
      <c r="G47" s="6"/>
      <c r="H47" s="4"/>
      <c r="I47" s="4"/>
      <c r="J47" s="4"/>
      <c r="K47" s="4"/>
      <c r="L47" s="4"/>
      <c r="M47" s="7"/>
      <c r="N47" s="7"/>
      <c r="O47" s="7"/>
      <c r="P47" s="7"/>
      <c r="Q47" s="4"/>
      <c r="R47" s="7"/>
      <c r="S47" s="7"/>
      <c r="T47" s="7"/>
      <c r="U47" s="7"/>
      <c r="V47" s="7"/>
      <c r="W47" s="4"/>
      <c r="X47" s="7"/>
      <c r="Y47" s="7"/>
    </row>
    <row r="48">
      <c r="A48" s="4"/>
      <c r="B48" s="4"/>
      <c r="C48" s="8"/>
      <c r="D48" s="5"/>
      <c r="E48" s="6"/>
      <c r="F48" s="6"/>
      <c r="G48" s="6"/>
      <c r="H48" s="4"/>
      <c r="I48" s="4"/>
      <c r="J48" s="4"/>
      <c r="K48" s="4"/>
      <c r="L48" s="7"/>
      <c r="M48" s="7"/>
      <c r="N48" s="7"/>
      <c r="O48" s="4"/>
      <c r="P48" s="7"/>
      <c r="Q48" s="4"/>
      <c r="R48" s="7"/>
      <c r="S48" s="7"/>
      <c r="T48" s="7"/>
      <c r="U48" s="7"/>
      <c r="V48" s="7"/>
      <c r="W48" s="7"/>
      <c r="X48" s="7"/>
      <c r="Y48" s="7"/>
    </row>
    <row r="49">
      <c r="A49" s="4"/>
      <c r="B49" s="4"/>
      <c r="C49" s="8"/>
      <c r="D49" s="5"/>
      <c r="E49" s="6"/>
      <c r="F49" s="6"/>
      <c r="G49" s="6"/>
      <c r="H49" s="4"/>
      <c r="I49" s="4"/>
      <c r="J49" s="4"/>
      <c r="K49" s="4"/>
      <c r="L49" s="7"/>
      <c r="M49" s="7"/>
      <c r="N49" s="7"/>
      <c r="O49" s="4"/>
      <c r="P49" s="7"/>
      <c r="Q49" s="7"/>
      <c r="R49" s="7"/>
      <c r="S49" s="4"/>
      <c r="T49" s="7"/>
      <c r="U49" s="7"/>
      <c r="V49" s="7"/>
      <c r="W49" s="7"/>
      <c r="X49" s="7"/>
      <c r="Y49" s="7"/>
    </row>
    <row r="50">
      <c r="A50" s="4"/>
      <c r="B50" s="4"/>
      <c r="C50" s="8"/>
      <c r="D50" s="5"/>
      <c r="E50" s="6"/>
      <c r="F50" s="6"/>
      <c r="G50" s="6"/>
      <c r="H50" s="4"/>
      <c r="I50" s="4"/>
      <c r="J50" s="4"/>
      <c r="K50" s="4"/>
      <c r="L50" s="7"/>
      <c r="M50" s="7"/>
      <c r="N50" s="7"/>
      <c r="O50" s="4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4"/>
      <c r="B51" s="4"/>
      <c r="C51" s="8"/>
      <c r="D51" s="5"/>
      <c r="E51" s="6"/>
      <c r="F51" s="6"/>
      <c r="G51" s="6"/>
      <c r="H51" s="4"/>
      <c r="I51" s="4"/>
      <c r="J51" s="4"/>
      <c r="K51" s="4"/>
      <c r="L51" s="7"/>
      <c r="M51" s="7"/>
      <c r="N51" s="7"/>
      <c r="O51" s="4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4"/>
      <c r="B52" s="4"/>
      <c r="C52" s="8"/>
      <c r="D52" s="5"/>
      <c r="E52" s="6"/>
      <c r="F52" s="6"/>
      <c r="G52" s="6"/>
      <c r="H52" s="4"/>
      <c r="I52" s="4"/>
      <c r="J52" s="4"/>
      <c r="K52" s="4"/>
      <c r="L52" s="7"/>
      <c r="M52" s="7"/>
      <c r="N52" s="7"/>
      <c r="O52" s="4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4"/>
      <c r="B53" s="4"/>
      <c r="C53" s="8"/>
      <c r="D53" s="5"/>
      <c r="E53" s="6"/>
      <c r="F53" s="6"/>
      <c r="G53" s="6"/>
      <c r="H53" s="4"/>
      <c r="I53" s="4"/>
      <c r="J53" s="4"/>
      <c r="K53" s="4"/>
      <c r="L53" s="4"/>
      <c r="M53" s="7"/>
      <c r="N53" s="7"/>
      <c r="O53" s="7"/>
      <c r="P53" s="7"/>
      <c r="Q53" s="4"/>
      <c r="R53" s="7"/>
      <c r="S53" s="7"/>
      <c r="T53" s="7"/>
      <c r="U53" s="7"/>
      <c r="V53" s="7"/>
      <c r="W53" s="7"/>
      <c r="X53" s="7"/>
      <c r="Y53" s="7"/>
    </row>
    <row r="54">
      <c r="A54" s="4"/>
      <c r="B54" s="4"/>
      <c r="C54" s="8"/>
      <c r="D54" s="5"/>
      <c r="E54" s="6"/>
      <c r="F54" s="6"/>
      <c r="G54" s="6"/>
      <c r="H54" s="4"/>
      <c r="I54" s="4"/>
      <c r="J54" s="4"/>
      <c r="K54" s="4"/>
      <c r="L54" s="7"/>
      <c r="M54" s="7"/>
      <c r="N54" s="7"/>
      <c r="O54" s="4"/>
      <c r="P54" s="4"/>
      <c r="Q54" s="4"/>
      <c r="R54" s="7"/>
      <c r="S54" s="7"/>
      <c r="T54" s="7"/>
      <c r="U54" s="4"/>
      <c r="V54" s="7"/>
      <c r="W54" s="4"/>
      <c r="X54" s="7"/>
      <c r="Y54" s="7"/>
    </row>
    <row r="55">
      <c r="A55" s="4"/>
      <c r="B55" s="4"/>
      <c r="C55" s="8"/>
      <c r="D55" s="5"/>
      <c r="E55" s="6"/>
      <c r="F55" s="6"/>
      <c r="G55" s="6"/>
      <c r="H55" s="4"/>
      <c r="I55" s="4"/>
      <c r="J55" s="4"/>
      <c r="K55" s="4"/>
      <c r="L55" s="7"/>
      <c r="M55" s="7"/>
      <c r="N55" s="7"/>
      <c r="O55" s="4"/>
      <c r="P55" s="4"/>
      <c r="Q55" s="4"/>
      <c r="R55" s="7"/>
      <c r="S55" s="7"/>
      <c r="T55" s="7"/>
      <c r="U55" s="4"/>
      <c r="V55" s="7"/>
      <c r="W55" s="4"/>
      <c r="X55" s="7"/>
      <c r="Y55" s="7"/>
    </row>
    <row r="56">
      <c r="A56" s="4"/>
      <c r="B56" s="4"/>
      <c r="C56" s="8"/>
      <c r="D56" s="5"/>
      <c r="E56" s="6"/>
      <c r="F56" s="6"/>
      <c r="G56" s="6"/>
      <c r="H56" s="4"/>
      <c r="I56" s="4"/>
      <c r="J56" s="4"/>
      <c r="K56" s="4"/>
      <c r="L56" s="7"/>
      <c r="M56" s="7"/>
      <c r="N56" s="7"/>
      <c r="O56" s="7"/>
      <c r="P56" s="4"/>
      <c r="Q56" s="4"/>
      <c r="R56" s="7"/>
      <c r="S56" s="7"/>
      <c r="T56" s="7"/>
      <c r="U56" s="7"/>
      <c r="V56" s="7"/>
      <c r="W56" s="7"/>
      <c r="X56" s="7"/>
      <c r="Y56" s="7"/>
    </row>
    <row r="57">
      <c r="A57" s="4"/>
      <c r="B57" s="4"/>
      <c r="C57" s="8"/>
      <c r="D57" s="5"/>
      <c r="E57" s="6"/>
      <c r="F57" s="6"/>
      <c r="G57" s="6"/>
      <c r="H57" s="4"/>
      <c r="I57" s="4"/>
      <c r="J57" s="4"/>
      <c r="K57" s="4"/>
      <c r="L57" s="7"/>
      <c r="M57" s="7"/>
      <c r="N57" s="7"/>
      <c r="O57" s="7"/>
      <c r="P57" s="4"/>
      <c r="Q57" s="4"/>
      <c r="R57" s="7"/>
      <c r="S57" s="7"/>
      <c r="T57" s="7"/>
      <c r="U57" s="7"/>
      <c r="V57" s="7"/>
      <c r="W57" s="7"/>
      <c r="X57" s="7"/>
      <c r="Y57" s="7"/>
    </row>
    <row r="58">
      <c r="A58" s="4"/>
      <c r="B58" s="4"/>
      <c r="C58" s="8"/>
      <c r="D58" s="5"/>
      <c r="E58" s="6"/>
      <c r="F58" s="6"/>
      <c r="G58" s="6"/>
      <c r="H58" s="4"/>
      <c r="I58" s="4"/>
      <c r="J58" s="4"/>
      <c r="K58" s="4"/>
      <c r="L58" s="4"/>
      <c r="M58" s="7"/>
      <c r="N58" s="7"/>
      <c r="O58" s="4"/>
      <c r="P58" s="4"/>
      <c r="Q58" s="7"/>
      <c r="R58" s="7"/>
      <c r="S58" s="7"/>
      <c r="T58" s="7"/>
      <c r="U58" s="7"/>
      <c r="V58" s="7"/>
      <c r="W58" s="7"/>
      <c r="X58" s="7"/>
      <c r="Y58" s="7"/>
    </row>
    <row r="59">
      <c r="A59" s="4"/>
      <c r="B59" s="4"/>
      <c r="C59" s="8"/>
      <c r="D59" s="5"/>
      <c r="E59" s="6"/>
      <c r="F59" s="6"/>
      <c r="G59" s="6"/>
      <c r="H59" s="4"/>
      <c r="I59" s="4"/>
      <c r="J59" s="4"/>
      <c r="K59" s="4"/>
      <c r="L59" s="4"/>
      <c r="M59" s="7"/>
      <c r="N59" s="7"/>
      <c r="O59" s="7"/>
      <c r="P59" s="7"/>
      <c r="Q59" s="4"/>
      <c r="R59" s="7"/>
      <c r="S59" s="7"/>
      <c r="T59" s="7"/>
      <c r="U59" s="7"/>
      <c r="V59" s="7"/>
      <c r="W59" s="4"/>
      <c r="X59" s="7"/>
      <c r="Y59" s="7"/>
    </row>
    <row r="60">
      <c r="A60" s="4"/>
      <c r="B60" s="4"/>
      <c r="C60" s="8"/>
      <c r="D60" s="5"/>
      <c r="E60" s="6"/>
      <c r="F60" s="6"/>
      <c r="G60" s="6"/>
      <c r="H60" s="4"/>
      <c r="I60" s="4"/>
      <c r="J60" s="4"/>
      <c r="K60" s="4"/>
      <c r="L60" s="4"/>
      <c r="M60" s="7"/>
      <c r="N60" s="7"/>
      <c r="O60" s="4"/>
      <c r="P60" s="4"/>
      <c r="Q60" s="4"/>
      <c r="R60" s="7"/>
      <c r="S60" s="7"/>
      <c r="T60" s="7"/>
      <c r="U60" s="7"/>
      <c r="V60" s="7"/>
      <c r="W60" s="7"/>
      <c r="X60" s="7"/>
      <c r="Y60" s="7"/>
    </row>
    <row r="61">
      <c r="A61" s="4"/>
      <c r="B61" s="4"/>
      <c r="C61" s="8"/>
      <c r="D61" s="5"/>
      <c r="E61" s="6"/>
      <c r="F61" s="6"/>
      <c r="G61" s="6"/>
      <c r="H61" s="4"/>
      <c r="I61" s="4"/>
      <c r="J61" s="4"/>
      <c r="K61" s="4"/>
      <c r="L61" s="4"/>
      <c r="M61" s="7"/>
      <c r="N61" s="7"/>
      <c r="O61" s="7"/>
      <c r="P61" s="4"/>
      <c r="Q61" s="4"/>
      <c r="R61" s="7"/>
      <c r="S61" s="7"/>
      <c r="T61" s="7"/>
      <c r="U61" s="7"/>
      <c r="V61" s="7"/>
      <c r="W61" s="4"/>
      <c r="X61" s="7"/>
      <c r="Y61" s="7"/>
    </row>
    <row r="62">
      <c r="A62" s="4"/>
      <c r="B62" s="4"/>
      <c r="C62" s="8"/>
      <c r="D62" s="5"/>
      <c r="E62" s="6"/>
      <c r="F62" s="6"/>
      <c r="G62" s="6"/>
      <c r="H62" s="4"/>
      <c r="I62" s="4"/>
      <c r="J62" s="4"/>
      <c r="K62" s="4"/>
      <c r="L62" s="7"/>
      <c r="M62" s="7"/>
      <c r="N62" s="7"/>
      <c r="O62" s="4"/>
      <c r="P62" s="7"/>
      <c r="Q62" s="7"/>
      <c r="R62" s="7"/>
      <c r="S62" s="4"/>
      <c r="T62" s="7"/>
      <c r="U62" s="7"/>
      <c r="V62" s="7"/>
      <c r="W62" s="7"/>
      <c r="X62" s="7"/>
      <c r="Y62" s="7"/>
    </row>
    <row r="63">
      <c r="A63" s="4"/>
      <c r="B63" s="4"/>
      <c r="C63" s="8"/>
      <c r="D63" s="5"/>
      <c r="E63" s="6"/>
      <c r="F63" s="6"/>
      <c r="G63" s="6"/>
      <c r="H63" s="4"/>
      <c r="I63" s="4"/>
      <c r="J63" s="4"/>
      <c r="K63" s="4"/>
      <c r="L63" s="4"/>
      <c r="M63" s="7"/>
      <c r="N63" s="7"/>
      <c r="O63" s="7"/>
      <c r="P63" s="7"/>
      <c r="Q63" s="7"/>
      <c r="R63" s="7"/>
      <c r="S63" s="7"/>
      <c r="T63" s="7"/>
      <c r="U63" s="7"/>
      <c r="V63" s="7"/>
      <c r="W63" s="4"/>
      <c r="X63" s="7"/>
      <c r="Y63" s="7"/>
    </row>
    <row r="64">
      <c r="A64" s="4"/>
      <c r="B64" s="4"/>
      <c r="C64" s="8"/>
      <c r="D64" s="5"/>
      <c r="E64" s="6"/>
      <c r="F64" s="6"/>
      <c r="G64" s="6"/>
      <c r="H64" s="4"/>
      <c r="I64" s="4"/>
      <c r="J64" s="4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4"/>
      <c r="B65" s="4"/>
      <c r="C65" s="8"/>
      <c r="D65" s="5"/>
      <c r="E65" s="6"/>
      <c r="F65" s="6"/>
      <c r="G65" s="6"/>
      <c r="H65" s="4"/>
      <c r="I65" s="4"/>
      <c r="J65" s="4"/>
      <c r="K65" s="4"/>
      <c r="L65" s="4"/>
      <c r="M65" s="7"/>
      <c r="N65" s="7"/>
      <c r="O65" s="7"/>
      <c r="P65" s="4"/>
      <c r="Q65" s="4"/>
      <c r="R65" s="7"/>
      <c r="S65" s="7"/>
      <c r="T65" s="7"/>
      <c r="U65" s="7"/>
      <c r="V65" s="7"/>
      <c r="W65" s="7"/>
      <c r="X65" s="7"/>
      <c r="Y65" s="7"/>
    </row>
    <row r="66">
      <c r="A66" s="4"/>
      <c r="B66" s="4"/>
      <c r="C66" s="8"/>
      <c r="D66" s="5"/>
      <c r="E66" s="6"/>
      <c r="F66" s="6"/>
      <c r="G66" s="6"/>
      <c r="H66" s="4"/>
      <c r="I66" s="4"/>
      <c r="J66" s="4"/>
      <c r="K66" s="4"/>
      <c r="L66" s="7"/>
      <c r="M66" s="7"/>
      <c r="N66" s="7"/>
      <c r="O66" s="7"/>
      <c r="P66" s="4"/>
      <c r="Q66" s="7"/>
      <c r="R66" s="7"/>
      <c r="S66" s="7"/>
      <c r="T66" s="7"/>
      <c r="U66" s="7"/>
      <c r="V66" s="7"/>
      <c r="W66" s="7"/>
      <c r="X66" s="7"/>
      <c r="Y66" s="7"/>
    </row>
    <row r="67">
      <c r="A67" s="4"/>
      <c r="B67" s="4"/>
      <c r="C67" s="8"/>
      <c r="D67" s="5"/>
      <c r="E67" s="6"/>
      <c r="F67" s="6"/>
      <c r="G67" s="6"/>
      <c r="H67" s="4"/>
      <c r="I67" s="4"/>
      <c r="J67" s="4"/>
      <c r="K67" s="4"/>
      <c r="L67" s="7"/>
      <c r="M67" s="7"/>
      <c r="N67" s="7"/>
      <c r="O67" s="4"/>
      <c r="P67" s="7"/>
      <c r="Q67" s="7"/>
      <c r="R67" s="7"/>
      <c r="S67" s="7"/>
      <c r="T67" s="4"/>
      <c r="U67" s="7"/>
      <c r="V67" s="7"/>
      <c r="W67" s="4"/>
      <c r="X67" s="7"/>
      <c r="Y67" s="7"/>
    </row>
    <row r="68">
      <c r="A68" s="4"/>
      <c r="B68" s="4"/>
      <c r="C68" s="8"/>
      <c r="D68" s="5"/>
      <c r="E68" s="6"/>
      <c r="F68" s="6"/>
      <c r="G68" s="6"/>
      <c r="H68" s="4"/>
      <c r="I68" s="4"/>
      <c r="J68" s="4"/>
      <c r="K68" s="4"/>
      <c r="L68" s="7"/>
      <c r="M68" s="7"/>
      <c r="N68" s="7"/>
      <c r="O68" s="4"/>
      <c r="P68" s="4"/>
      <c r="Q68" s="4"/>
      <c r="R68" s="7"/>
      <c r="S68" s="7"/>
      <c r="T68" s="7"/>
      <c r="U68" s="4"/>
      <c r="V68" s="7"/>
      <c r="W68" s="7"/>
      <c r="X68" s="7"/>
      <c r="Y68" s="7"/>
    </row>
    <row r="69">
      <c r="A69" s="4"/>
      <c r="B69" s="4"/>
      <c r="C69" s="8"/>
      <c r="D69" s="5"/>
      <c r="E69" s="6"/>
      <c r="F69" s="6"/>
      <c r="G69" s="6"/>
      <c r="H69" s="4"/>
      <c r="I69" s="4"/>
      <c r="J69" s="4"/>
      <c r="K69" s="4"/>
      <c r="L69" s="7"/>
      <c r="M69" s="7"/>
      <c r="N69" s="7"/>
      <c r="O69" s="4"/>
      <c r="P69" s="4"/>
      <c r="Q69" s="4"/>
      <c r="R69" s="7"/>
      <c r="S69" s="7"/>
      <c r="T69" s="7"/>
      <c r="U69" s="4"/>
      <c r="V69" s="7"/>
      <c r="W69" s="7"/>
      <c r="X69" s="7"/>
      <c r="Y69" s="7"/>
    </row>
    <row r="70">
      <c r="A70" s="4"/>
      <c r="B70" s="4"/>
      <c r="C70" s="8"/>
      <c r="D70" s="5"/>
      <c r="E70" s="6"/>
      <c r="F70" s="6"/>
      <c r="G70" s="6"/>
      <c r="H70" s="4"/>
      <c r="I70" s="4"/>
      <c r="J70" s="4"/>
      <c r="K70" s="4"/>
      <c r="L70" s="7"/>
      <c r="M70" s="7"/>
      <c r="N70" s="7"/>
      <c r="O70" s="4"/>
      <c r="P70" s="7"/>
      <c r="Q70" s="7"/>
      <c r="R70" s="7"/>
      <c r="S70" s="7"/>
      <c r="T70" s="4"/>
      <c r="U70" s="7"/>
      <c r="V70" s="7"/>
      <c r="W70" s="7"/>
      <c r="X70" s="7"/>
      <c r="Y70" s="7"/>
    </row>
    <row r="71">
      <c r="A71" s="4"/>
      <c r="B71" s="4"/>
      <c r="C71" s="8"/>
      <c r="D71" s="5"/>
      <c r="E71" s="6"/>
      <c r="F71" s="6"/>
      <c r="G71" s="6"/>
      <c r="H71" s="4"/>
      <c r="I71" s="4"/>
      <c r="J71" s="4"/>
      <c r="K71" s="4"/>
      <c r="L71" s="7"/>
      <c r="M71" s="7"/>
      <c r="N71" s="7"/>
      <c r="O71" s="7"/>
      <c r="P71" s="7"/>
      <c r="Q71" s="7"/>
      <c r="R71" s="7"/>
      <c r="S71" s="7"/>
      <c r="T71" s="4"/>
      <c r="U71" s="7"/>
      <c r="V71" s="7"/>
      <c r="W71" s="4"/>
      <c r="X71" s="7"/>
      <c r="Y71" s="7"/>
    </row>
    <row r="72">
      <c r="A72" s="4"/>
      <c r="B72" s="4"/>
      <c r="C72" s="8"/>
      <c r="D72" s="5"/>
      <c r="E72" s="6"/>
      <c r="F72" s="6"/>
      <c r="G72" s="6"/>
      <c r="H72" s="4"/>
      <c r="I72" s="4"/>
      <c r="J72" s="4"/>
      <c r="K72" s="4"/>
      <c r="L72" s="7"/>
      <c r="M72" s="7"/>
      <c r="N72" s="7"/>
      <c r="O72" s="7"/>
      <c r="P72" s="7"/>
      <c r="Q72" s="4"/>
      <c r="R72" s="7"/>
      <c r="S72" s="7"/>
      <c r="T72" s="7"/>
      <c r="U72" s="7"/>
      <c r="V72" s="7"/>
      <c r="W72" s="7"/>
      <c r="X72" s="7"/>
      <c r="Y72" s="7"/>
    </row>
    <row r="73">
      <c r="A73" s="4"/>
      <c r="B73" s="4"/>
      <c r="C73" s="8"/>
      <c r="D73" s="5"/>
      <c r="E73" s="6"/>
      <c r="F73" s="6"/>
      <c r="G73" s="6"/>
      <c r="H73" s="4"/>
      <c r="I73" s="4"/>
      <c r="J73" s="4"/>
      <c r="K73" s="4"/>
      <c r="L73" s="4"/>
      <c r="M73" s="7"/>
      <c r="N73" s="7"/>
      <c r="O73" s="7"/>
      <c r="P73" s="4"/>
      <c r="Q73" s="4"/>
      <c r="R73" s="7"/>
      <c r="S73" s="7"/>
      <c r="T73" s="7"/>
      <c r="U73" s="7"/>
      <c r="V73" s="7"/>
      <c r="W73" s="7"/>
      <c r="X73" s="7"/>
      <c r="Y73" s="7"/>
    </row>
    <row r="74">
      <c r="A74" s="4"/>
      <c r="B74" s="4"/>
      <c r="C74" s="8"/>
      <c r="D74" s="5"/>
      <c r="E74" s="6"/>
      <c r="F74" s="6"/>
      <c r="G74" s="6"/>
      <c r="H74" s="4"/>
      <c r="I74" s="4"/>
      <c r="J74" s="4"/>
      <c r="K74" s="4"/>
      <c r="L74" s="7"/>
      <c r="M74" s="7"/>
      <c r="N74" s="7"/>
      <c r="O74" s="4"/>
      <c r="P74" s="7"/>
      <c r="Q74" s="7"/>
      <c r="R74" s="7"/>
      <c r="S74" s="7"/>
      <c r="T74" s="4"/>
      <c r="U74" s="7"/>
      <c r="V74" s="7"/>
      <c r="W74" s="7"/>
      <c r="X74" s="7"/>
      <c r="Y74" s="7"/>
    </row>
    <row r="75">
      <c r="A75" s="4"/>
      <c r="B75" s="4"/>
      <c r="C75" s="8"/>
      <c r="D75" s="5"/>
      <c r="E75" s="6"/>
      <c r="F75" s="6"/>
      <c r="G75" s="6"/>
      <c r="H75" s="4"/>
      <c r="I75" s="4"/>
      <c r="J75" s="4"/>
      <c r="K75" s="4"/>
      <c r="L75" s="7"/>
      <c r="M75" s="7"/>
      <c r="N75" s="7"/>
      <c r="O75" s="7"/>
      <c r="P75" s="4"/>
      <c r="Q75" s="4"/>
      <c r="R75" s="4"/>
      <c r="S75" s="7"/>
      <c r="T75" s="4"/>
      <c r="U75" s="4"/>
      <c r="V75" s="7"/>
      <c r="W75" s="4"/>
      <c r="X75" s="4"/>
      <c r="Y75" s="4"/>
    </row>
    <row r="76">
      <c r="A76" s="4"/>
      <c r="B76" s="4"/>
      <c r="C76" s="8"/>
      <c r="D76" s="5"/>
      <c r="E76" s="6"/>
      <c r="F76" s="6"/>
      <c r="G76" s="6"/>
      <c r="H76" s="4"/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4"/>
      <c r="B77" s="4"/>
      <c r="C77" s="8"/>
      <c r="D77" s="5"/>
      <c r="E77" s="6"/>
      <c r="F77" s="6"/>
      <c r="G77" s="6"/>
      <c r="H77" s="4"/>
      <c r="I77" s="4"/>
      <c r="J77" s="4"/>
      <c r="K77" s="4"/>
      <c r="L77" s="7"/>
      <c r="M77" s="4"/>
      <c r="N77" s="7"/>
      <c r="O77" s="7"/>
      <c r="P77" s="7"/>
      <c r="Q77" s="4"/>
      <c r="R77" s="7"/>
      <c r="S77" s="7"/>
      <c r="T77" s="7"/>
      <c r="U77" s="7"/>
      <c r="V77" s="7"/>
      <c r="W77" s="7"/>
      <c r="X77" s="7"/>
      <c r="Y77" s="7"/>
    </row>
    <row r="78">
      <c r="A78" s="4"/>
      <c r="B78" s="4"/>
      <c r="C78" s="8"/>
      <c r="D78" s="5"/>
      <c r="E78" s="6"/>
      <c r="F78" s="6"/>
      <c r="G78" s="6"/>
      <c r="H78" s="4"/>
      <c r="I78" s="4"/>
      <c r="J78" s="4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"/>
      <c r="X78" s="7"/>
      <c r="Y78" s="7"/>
    </row>
    <row r="79">
      <c r="A79" s="4"/>
      <c r="B79" s="4"/>
      <c r="C79" s="8"/>
      <c r="D79" s="5"/>
      <c r="E79" s="6"/>
      <c r="F79" s="6"/>
      <c r="G79" s="6"/>
      <c r="H79" s="4"/>
      <c r="I79" s="4"/>
      <c r="J79" s="4"/>
      <c r="K79" s="4"/>
      <c r="L79" s="7"/>
      <c r="M79" s="7"/>
      <c r="N79" s="7"/>
      <c r="O79" s="4"/>
      <c r="P79" s="7"/>
      <c r="Q79" s="4"/>
      <c r="R79" s="4"/>
      <c r="S79" s="7"/>
      <c r="T79" s="7"/>
      <c r="U79" s="4"/>
      <c r="V79" s="7"/>
      <c r="W79" s="7"/>
      <c r="X79" s="7"/>
      <c r="Y79" s="7"/>
    </row>
    <row r="80">
      <c r="A80" s="4"/>
      <c r="B80" s="4"/>
      <c r="C80" s="8"/>
      <c r="D80" s="5"/>
      <c r="E80" s="6"/>
      <c r="F80" s="6"/>
      <c r="G80" s="6"/>
      <c r="H80" s="4"/>
      <c r="I80" s="4"/>
      <c r="J80" s="4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4"/>
      <c r="B81" s="4"/>
      <c r="C81" s="8"/>
      <c r="D81" s="5"/>
      <c r="E81" s="6"/>
      <c r="F81" s="6"/>
      <c r="G81" s="6"/>
      <c r="H81" s="4"/>
      <c r="I81" s="4"/>
      <c r="J81" s="4"/>
      <c r="K81" s="4"/>
      <c r="L81" s="7"/>
      <c r="M81" s="7"/>
      <c r="N81" s="7"/>
      <c r="O81" s="7"/>
      <c r="P81" s="4"/>
      <c r="Q81" s="4"/>
      <c r="R81" s="7"/>
      <c r="S81" s="7"/>
      <c r="T81" s="7"/>
      <c r="U81" s="7"/>
      <c r="V81" s="7"/>
      <c r="W81" s="4"/>
      <c r="X81" s="7"/>
      <c r="Y81" s="7"/>
    </row>
    <row r="82">
      <c r="A82" s="4"/>
      <c r="B82" s="4"/>
      <c r="C82" s="8"/>
      <c r="D82" s="5"/>
      <c r="E82" s="6"/>
      <c r="F82" s="6"/>
      <c r="G82" s="6"/>
      <c r="H82" s="4"/>
      <c r="I82" s="4"/>
      <c r="J82" s="4"/>
      <c r="K82" s="4"/>
      <c r="L82" s="7"/>
      <c r="M82" s="7"/>
      <c r="N82" s="7"/>
      <c r="O82" s="7"/>
      <c r="P82" s="4"/>
      <c r="Q82" s="4"/>
      <c r="R82" s="4"/>
      <c r="S82" s="7"/>
      <c r="T82" s="7"/>
      <c r="U82" s="7"/>
      <c r="V82" s="7"/>
      <c r="W82" s="7"/>
      <c r="X82" s="7"/>
      <c r="Y82" s="7"/>
    </row>
    <row r="83">
      <c r="A83" s="4"/>
      <c r="B83" s="4"/>
      <c r="C83" s="8"/>
      <c r="D83" s="5"/>
      <c r="E83" s="6"/>
      <c r="F83" s="6"/>
      <c r="G83" s="6"/>
      <c r="H83" s="4"/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4"/>
      <c r="B84" s="4"/>
      <c r="C84" s="8"/>
      <c r="D84" s="5"/>
      <c r="E84" s="6"/>
      <c r="F84" s="6"/>
      <c r="G84" s="6"/>
      <c r="H84" s="4"/>
      <c r="I84" s="4"/>
      <c r="J84" s="4"/>
      <c r="K84" s="4"/>
      <c r="L84" s="7"/>
      <c r="M84" s="7"/>
      <c r="N84" s="7"/>
      <c r="O84" s="7"/>
      <c r="P84" s="4"/>
      <c r="Q84" s="4"/>
      <c r="R84" s="7"/>
      <c r="S84" s="7"/>
      <c r="T84" s="7"/>
      <c r="U84" s="7"/>
      <c r="V84" s="7"/>
      <c r="W84" s="7"/>
      <c r="X84" s="7"/>
      <c r="Y84" s="7"/>
    </row>
    <row r="85">
      <c r="A85" s="4"/>
      <c r="B85" s="4"/>
      <c r="C85" s="8"/>
      <c r="D85" s="5"/>
      <c r="E85" s="6"/>
      <c r="F85" s="6"/>
      <c r="G85" s="6"/>
      <c r="H85" s="4"/>
      <c r="I85" s="4"/>
      <c r="J85" s="4"/>
      <c r="K85" s="4"/>
      <c r="L85" s="7"/>
      <c r="M85" s="7"/>
      <c r="N85" s="7"/>
      <c r="O85" s="7"/>
      <c r="P85" s="7"/>
      <c r="Q85" s="4"/>
      <c r="R85" s="7"/>
      <c r="S85" s="7"/>
      <c r="T85" s="7"/>
      <c r="U85" s="7"/>
      <c r="V85" s="7"/>
      <c r="W85" s="7"/>
      <c r="X85" s="7"/>
      <c r="Y85" s="7"/>
    </row>
    <row r="86">
      <c r="A86" s="4"/>
      <c r="B86" s="4"/>
      <c r="C86" s="8"/>
      <c r="D86" s="5"/>
      <c r="E86" s="6"/>
      <c r="F86" s="6"/>
      <c r="G86" s="6"/>
      <c r="H86" s="4"/>
      <c r="I86" s="4"/>
      <c r="J86" s="4"/>
      <c r="K86" s="4"/>
      <c r="L86" s="7"/>
      <c r="M86" s="7"/>
      <c r="N86" s="7"/>
      <c r="O86" s="7"/>
      <c r="P86" s="7"/>
      <c r="Q86" s="7"/>
      <c r="R86" s="7"/>
      <c r="S86" s="7"/>
      <c r="T86" s="7"/>
      <c r="U86" s="4"/>
      <c r="V86" s="7"/>
      <c r="W86" s="7"/>
      <c r="X86" s="7"/>
      <c r="Y86" s="7"/>
    </row>
    <row r="87">
      <c r="A87" s="4"/>
      <c r="B87" s="4"/>
      <c r="C87" s="8"/>
      <c r="D87" s="5"/>
      <c r="E87" s="6"/>
      <c r="F87" s="6"/>
      <c r="G87" s="6"/>
      <c r="H87" s="4"/>
      <c r="I87" s="4"/>
      <c r="J87" s="4"/>
      <c r="K87" s="4"/>
      <c r="L87" s="7"/>
      <c r="M87" s="7"/>
      <c r="N87" s="7"/>
      <c r="O87" s="7"/>
      <c r="P87" s="7"/>
      <c r="Q87" s="7"/>
      <c r="R87" s="7"/>
      <c r="S87" s="7"/>
      <c r="T87" s="7"/>
      <c r="U87" s="4"/>
      <c r="V87" s="7"/>
      <c r="W87" s="7"/>
      <c r="X87" s="7"/>
      <c r="Y87" s="7"/>
    </row>
    <row r="88">
      <c r="A88" s="4"/>
      <c r="B88" s="4"/>
      <c r="C88" s="8"/>
      <c r="D88" s="5"/>
      <c r="E88" s="6"/>
      <c r="F88" s="6"/>
      <c r="G88" s="6"/>
      <c r="H88" s="4"/>
      <c r="I88" s="4"/>
      <c r="J88" s="4"/>
      <c r="K88" s="4"/>
      <c r="L88" s="4"/>
      <c r="M88" s="7"/>
      <c r="N88" s="7"/>
      <c r="O88" s="7"/>
      <c r="P88" s="7"/>
      <c r="Q88" s="7"/>
      <c r="R88" s="7"/>
      <c r="S88" s="7"/>
      <c r="T88" s="7"/>
      <c r="U88" s="7"/>
      <c r="V88" s="7"/>
      <c r="W88" s="4"/>
      <c r="X88" s="7"/>
      <c r="Y88" s="7"/>
    </row>
    <row r="89">
      <c r="A89" s="4"/>
      <c r="B89" s="4"/>
      <c r="C89" s="8"/>
      <c r="D89" s="5"/>
      <c r="E89" s="6"/>
      <c r="F89" s="6"/>
      <c r="G89" s="6"/>
      <c r="H89" s="4"/>
      <c r="I89" s="4"/>
      <c r="J89" s="4"/>
      <c r="K89" s="4"/>
      <c r="L89" s="7"/>
      <c r="M89" s="7"/>
      <c r="N89" s="7"/>
      <c r="O89" s="7"/>
      <c r="P89" s="7"/>
      <c r="Q89" s="4"/>
      <c r="R89" s="7"/>
      <c r="S89" s="7"/>
      <c r="T89" s="7"/>
      <c r="U89" s="7"/>
      <c r="V89" s="7"/>
      <c r="W89" s="7"/>
      <c r="X89" s="7"/>
      <c r="Y89" s="7"/>
    </row>
    <row r="90">
      <c r="A90" s="4"/>
      <c r="B90" s="4"/>
      <c r="C90" s="8"/>
      <c r="D90" s="5"/>
      <c r="E90" s="6"/>
      <c r="F90" s="6"/>
      <c r="G90" s="6"/>
      <c r="H90" s="4"/>
      <c r="I90" s="4"/>
      <c r="J90" s="4"/>
      <c r="K90" s="4"/>
      <c r="L90" s="7"/>
      <c r="M90" s="7"/>
      <c r="N90" s="7"/>
      <c r="O90" s="7"/>
      <c r="P90" s="4"/>
      <c r="Q90" s="7"/>
      <c r="R90" s="7"/>
      <c r="S90" s="7"/>
      <c r="T90" s="7"/>
      <c r="U90" s="7"/>
      <c r="V90" s="7"/>
      <c r="W90" s="7"/>
      <c r="X90" s="7"/>
      <c r="Y90" s="7"/>
    </row>
    <row r="91">
      <c r="A91" s="4"/>
      <c r="B91" s="4"/>
      <c r="C91" s="8"/>
      <c r="D91" s="5"/>
      <c r="E91" s="6"/>
      <c r="F91" s="6"/>
      <c r="G91" s="6"/>
      <c r="H91" s="4"/>
      <c r="I91" s="4"/>
      <c r="J91" s="4"/>
      <c r="K91" s="4"/>
      <c r="L91" s="7"/>
      <c r="M91" s="7"/>
      <c r="N91" s="7"/>
      <c r="O91" s="7"/>
      <c r="P91" s="7"/>
      <c r="Q91" s="4"/>
      <c r="R91" s="4"/>
      <c r="S91" s="7"/>
      <c r="T91" s="7"/>
      <c r="U91" s="7"/>
      <c r="V91" s="7"/>
      <c r="W91" s="7"/>
      <c r="X91" s="7"/>
      <c r="Y91" s="7"/>
    </row>
    <row r="92">
      <c r="A92" s="4"/>
      <c r="B92" s="4"/>
      <c r="C92" s="8"/>
      <c r="D92" s="5"/>
      <c r="E92" s="6"/>
      <c r="F92" s="6"/>
      <c r="G92" s="6"/>
      <c r="H92" s="4"/>
      <c r="I92" s="4"/>
      <c r="J92" s="4"/>
      <c r="K92" s="4"/>
      <c r="L92" s="7"/>
      <c r="M92" s="7"/>
      <c r="N92" s="7"/>
      <c r="O92" s="7"/>
      <c r="P92" s="7"/>
      <c r="Q92" s="4"/>
      <c r="R92" s="7"/>
      <c r="S92" s="7"/>
      <c r="T92" s="7"/>
      <c r="U92" s="7"/>
      <c r="V92" s="7"/>
      <c r="W92" s="7"/>
      <c r="X92" s="7"/>
      <c r="Y92" s="7"/>
    </row>
    <row r="93">
      <c r="A93" s="4"/>
      <c r="B93" s="4"/>
      <c r="C93" s="8"/>
      <c r="D93" s="5"/>
      <c r="E93" s="6"/>
      <c r="F93" s="6"/>
      <c r="G93" s="6"/>
      <c r="H93" s="4"/>
      <c r="I93" s="4"/>
      <c r="J93" s="4"/>
      <c r="K93" s="4"/>
      <c r="L93" s="7"/>
      <c r="M93" s="7"/>
      <c r="N93" s="7"/>
      <c r="O93" s="4"/>
      <c r="P93" s="7"/>
      <c r="Q93" s="4"/>
      <c r="R93" s="7"/>
      <c r="S93" s="7"/>
      <c r="T93" s="7"/>
      <c r="U93" s="7"/>
      <c r="V93" s="7"/>
      <c r="W93" s="7"/>
      <c r="X93" s="7"/>
      <c r="Y93" s="7"/>
    </row>
    <row r="94">
      <c r="A94" s="4"/>
      <c r="B94" s="4"/>
      <c r="C94" s="8"/>
      <c r="D94" s="5"/>
      <c r="E94" s="6"/>
      <c r="F94" s="6"/>
      <c r="G94" s="6"/>
      <c r="H94" s="4"/>
      <c r="I94" s="4"/>
      <c r="J94" s="4"/>
      <c r="K94" s="4"/>
      <c r="L94" s="7"/>
      <c r="M94" s="7"/>
      <c r="N94" s="7"/>
      <c r="O94" s="4"/>
      <c r="P94" s="4"/>
      <c r="Q94" s="4"/>
      <c r="R94" s="7"/>
      <c r="S94" s="7"/>
      <c r="T94" s="4"/>
      <c r="U94" s="4"/>
      <c r="V94" s="7"/>
      <c r="W94" s="4"/>
      <c r="X94" s="7"/>
      <c r="Y94" s="7"/>
    </row>
    <row r="95">
      <c r="A95" s="4"/>
      <c r="B95" s="4"/>
      <c r="C95" s="8"/>
      <c r="D95" s="5"/>
      <c r="E95" s="6"/>
      <c r="F95" s="6"/>
      <c r="G95" s="6"/>
      <c r="H95" s="4"/>
      <c r="I95" s="4"/>
      <c r="J95" s="4"/>
      <c r="K95" s="4"/>
      <c r="L95" s="7"/>
      <c r="M95" s="7"/>
      <c r="N95" s="4"/>
      <c r="O95" s="4"/>
      <c r="P95" s="7"/>
      <c r="Q95" s="4"/>
      <c r="R95" s="7"/>
      <c r="S95" s="7"/>
      <c r="T95" s="7"/>
      <c r="U95" s="7"/>
      <c r="V95" s="7"/>
      <c r="W95" s="7"/>
      <c r="X95" s="7"/>
      <c r="Y95" s="7"/>
    </row>
    <row r="96">
      <c r="A96" s="4"/>
      <c r="B96" s="4"/>
      <c r="C96" s="8"/>
      <c r="D96" s="5"/>
      <c r="E96" s="6"/>
      <c r="F96" s="6"/>
      <c r="G96" s="6"/>
      <c r="H96" s="4"/>
      <c r="I96" s="4"/>
      <c r="J96" s="4"/>
      <c r="K96" s="4"/>
      <c r="L96" s="7"/>
      <c r="M96" s="7"/>
      <c r="N96" s="7"/>
      <c r="O96" s="7"/>
      <c r="P96" s="7"/>
      <c r="Q96" s="4"/>
      <c r="R96" s="7"/>
      <c r="S96" s="7"/>
      <c r="T96" s="7"/>
      <c r="U96" s="7"/>
      <c r="V96" s="7"/>
      <c r="W96" s="7"/>
      <c r="X96" s="7"/>
      <c r="Y96" s="7"/>
    </row>
    <row r="97">
      <c r="A97" s="4"/>
      <c r="B97" s="4"/>
      <c r="C97" s="8"/>
      <c r="D97" s="5"/>
      <c r="E97" s="6"/>
      <c r="F97" s="6"/>
      <c r="G97" s="6"/>
      <c r="H97" s="4"/>
      <c r="I97" s="4"/>
      <c r="J97" s="4"/>
      <c r="K97" s="4"/>
      <c r="L97" s="4"/>
      <c r="M97" s="7"/>
      <c r="N97" s="7"/>
      <c r="O97" s="7"/>
      <c r="P97" s="7"/>
      <c r="Q97" s="4"/>
      <c r="R97" s="7"/>
      <c r="S97" s="7"/>
      <c r="T97" s="7"/>
      <c r="U97" s="7"/>
      <c r="V97" s="7"/>
      <c r="W97" s="4"/>
      <c r="X97" s="7"/>
      <c r="Y97" s="7"/>
    </row>
    <row r="98">
      <c r="A98" s="4"/>
      <c r="B98" s="4"/>
      <c r="C98" s="8"/>
      <c r="D98" s="5"/>
      <c r="E98" s="6"/>
      <c r="F98" s="6"/>
      <c r="G98" s="6"/>
      <c r="H98" s="4"/>
      <c r="I98" s="4"/>
      <c r="J98" s="4"/>
      <c r="K98" s="4"/>
      <c r="L98" s="7"/>
      <c r="M98" s="7"/>
      <c r="N98" s="7"/>
      <c r="O98" s="7"/>
      <c r="P98" s="7"/>
      <c r="Q98" s="4"/>
      <c r="R98" s="7"/>
      <c r="S98" s="7"/>
      <c r="T98" s="7"/>
      <c r="U98" s="7"/>
      <c r="V98" s="7"/>
      <c r="W98" s="7"/>
      <c r="X98" s="7"/>
      <c r="Y98" s="7"/>
    </row>
    <row r="99">
      <c r="A99" s="4"/>
      <c r="B99" s="4"/>
      <c r="C99" s="8"/>
      <c r="D99" s="5"/>
      <c r="E99" s="6"/>
      <c r="F99" s="6"/>
      <c r="G99" s="6"/>
      <c r="H99" s="4"/>
      <c r="I99" s="4"/>
      <c r="J99" s="4"/>
      <c r="K99" s="4"/>
      <c r="L99" s="4"/>
      <c r="M99" s="7"/>
      <c r="N99" s="7"/>
      <c r="O99" s="7"/>
      <c r="P99" s="7"/>
      <c r="Q99" s="4"/>
      <c r="R99" s="7"/>
      <c r="S99" s="7"/>
      <c r="T99" s="7"/>
      <c r="U99" s="7"/>
      <c r="V99" s="7"/>
      <c r="W99" s="7"/>
      <c r="X99" s="7"/>
      <c r="Y99" s="7"/>
    </row>
    <row r="100">
      <c r="A100" s="4"/>
      <c r="B100" s="4"/>
      <c r="C100" s="8"/>
      <c r="D100" s="5"/>
      <c r="E100" s="6"/>
      <c r="F100" s="6"/>
      <c r="G100" s="6"/>
      <c r="H100" s="4"/>
      <c r="I100" s="4"/>
      <c r="J100" s="4"/>
      <c r="K100" s="4"/>
      <c r="L100" s="4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4"/>
      <c r="B101" s="4"/>
      <c r="C101" s="8"/>
      <c r="D101" s="5"/>
      <c r="E101" s="6"/>
      <c r="F101" s="6"/>
      <c r="G101" s="6"/>
      <c r="H101" s="4"/>
      <c r="I101" s="4"/>
      <c r="J101" s="4"/>
      <c r="K101" s="4"/>
      <c r="L101" s="4"/>
      <c r="M101" s="7"/>
      <c r="N101" s="7"/>
      <c r="O101" s="7"/>
      <c r="P101" s="7"/>
      <c r="Q101" s="4"/>
      <c r="R101" s="7"/>
      <c r="S101" s="7"/>
      <c r="T101" s="7"/>
      <c r="U101" s="7"/>
      <c r="V101" s="7"/>
      <c r="W101" s="7"/>
      <c r="X101" s="7"/>
      <c r="Y101" s="7"/>
    </row>
    <row r="102">
      <c r="A102" s="4"/>
      <c r="B102" s="4"/>
      <c r="C102" s="8"/>
      <c r="D102" s="5"/>
      <c r="E102" s="6"/>
      <c r="F102" s="6"/>
      <c r="G102" s="6"/>
      <c r="H102" s="4"/>
      <c r="I102" s="4"/>
      <c r="J102" s="4"/>
      <c r="K102" s="4"/>
      <c r="L102" s="4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4"/>
      <c r="B103" s="4"/>
      <c r="C103" s="8"/>
      <c r="D103" s="5"/>
      <c r="E103" s="6"/>
      <c r="F103" s="6"/>
      <c r="G103" s="6"/>
      <c r="H103" s="4"/>
      <c r="I103" s="4"/>
      <c r="J103" s="4"/>
      <c r="K103" s="4"/>
      <c r="L103" s="7"/>
      <c r="M103" s="7"/>
      <c r="N103" s="7"/>
      <c r="O103" s="7"/>
      <c r="P103" s="7"/>
      <c r="Q103" s="4"/>
      <c r="R103" s="7"/>
      <c r="S103" s="7"/>
      <c r="T103" s="7"/>
      <c r="U103" s="4"/>
      <c r="V103" s="7"/>
      <c r="W103" s="7"/>
      <c r="X103" s="7"/>
      <c r="Y103" s="7"/>
    </row>
    <row r="104">
      <c r="A104" s="4"/>
      <c r="B104" s="4"/>
      <c r="C104" s="8"/>
      <c r="D104" s="5"/>
      <c r="E104" s="6"/>
      <c r="F104" s="6"/>
      <c r="G104" s="6"/>
      <c r="H104" s="4"/>
      <c r="I104" s="4"/>
      <c r="J104" s="4"/>
      <c r="K104" s="4"/>
      <c r="L104" s="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4"/>
      <c r="B105" s="4"/>
      <c r="C105" s="8"/>
      <c r="D105" s="5"/>
      <c r="E105" s="6"/>
      <c r="F105" s="6"/>
      <c r="G105" s="6"/>
      <c r="H105" s="4"/>
      <c r="I105" s="4"/>
      <c r="J105" s="4"/>
      <c r="K105" s="4"/>
      <c r="L105" s="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4"/>
      <c r="B106" s="4"/>
      <c r="C106" s="8"/>
      <c r="D106" s="5"/>
      <c r="E106" s="6"/>
      <c r="F106" s="6"/>
      <c r="G106" s="6"/>
      <c r="H106" s="4"/>
      <c r="I106" s="4"/>
      <c r="J106" s="4"/>
      <c r="K106" s="4"/>
      <c r="L106" s="4"/>
      <c r="M106" s="7"/>
      <c r="N106" s="7"/>
      <c r="O106" s="7"/>
      <c r="P106" s="7"/>
      <c r="Q106" s="4"/>
      <c r="R106" s="7"/>
      <c r="S106" s="7"/>
      <c r="T106" s="7"/>
      <c r="U106" s="7"/>
      <c r="V106" s="7"/>
      <c r="W106" s="4"/>
      <c r="X106" s="7"/>
      <c r="Y106" s="7"/>
    </row>
    <row r="107">
      <c r="A107" s="4"/>
      <c r="B107" s="4"/>
      <c r="C107" s="8"/>
      <c r="D107" s="5"/>
      <c r="E107" s="6"/>
      <c r="F107" s="6"/>
      <c r="G107" s="6"/>
      <c r="H107" s="4"/>
      <c r="I107" s="4"/>
      <c r="J107" s="4"/>
      <c r="K107" s="4"/>
      <c r="L107" s="7"/>
      <c r="M107" s="4"/>
      <c r="N107" s="7"/>
      <c r="O107" s="7"/>
      <c r="P107" s="7"/>
      <c r="Q107" s="4"/>
      <c r="R107" s="7"/>
      <c r="S107" s="7"/>
      <c r="T107" s="7"/>
      <c r="U107" s="7"/>
      <c r="V107" s="7"/>
      <c r="W107" s="4"/>
      <c r="X107" s="7"/>
      <c r="Y107" s="7"/>
    </row>
    <row r="108">
      <c r="A108" s="4"/>
      <c r="B108" s="4"/>
      <c r="C108" s="8"/>
      <c r="D108" s="5"/>
      <c r="E108" s="6"/>
      <c r="F108" s="6"/>
      <c r="G108" s="6"/>
      <c r="H108" s="4"/>
      <c r="I108" s="4"/>
      <c r="J108" s="4"/>
      <c r="K108" s="4"/>
      <c r="L108" s="7"/>
      <c r="M108" s="4"/>
      <c r="N108" s="7"/>
      <c r="O108" s="7"/>
      <c r="P108" s="7"/>
      <c r="Q108" s="4"/>
      <c r="R108" s="7"/>
      <c r="S108" s="7"/>
      <c r="T108" s="7"/>
      <c r="U108" s="7"/>
      <c r="V108" s="7"/>
      <c r="W108" s="4"/>
      <c r="X108" s="7"/>
      <c r="Y108" s="7"/>
    </row>
    <row r="109">
      <c r="A109" s="4"/>
      <c r="B109" s="4"/>
      <c r="C109" s="8"/>
      <c r="D109" s="5"/>
      <c r="E109" s="6"/>
      <c r="F109" s="6"/>
      <c r="G109" s="6"/>
      <c r="H109" s="4"/>
      <c r="I109" s="4"/>
      <c r="J109" s="4"/>
      <c r="K109" s="4"/>
      <c r="L109" s="7"/>
      <c r="M109" s="7"/>
      <c r="N109" s="4"/>
      <c r="O109" s="7"/>
      <c r="P109" s="7"/>
      <c r="Q109" s="4"/>
      <c r="R109" s="7"/>
      <c r="S109" s="7"/>
      <c r="T109" s="7"/>
      <c r="U109" s="7"/>
      <c r="V109" s="7"/>
      <c r="W109" s="7"/>
      <c r="X109" s="7"/>
      <c r="Y109" s="7"/>
    </row>
    <row r="110">
      <c r="A110" s="4"/>
      <c r="B110" s="4"/>
      <c r="C110" s="8"/>
      <c r="D110" s="5"/>
      <c r="E110" s="6"/>
      <c r="F110" s="6"/>
      <c r="G110" s="6"/>
      <c r="H110" s="4"/>
      <c r="I110" s="4"/>
      <c r="J110" s="4"/>
      <c r="K110" s="4"/>
      <c r="L110" s="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4"/>
      <c r="B111" s="4"/>
      <c r="C111" s="8"/>
      <c r="D111" s="5"/>
      <c r="E111" s="6"/>
      <c r="F111" s="6"/>
      <c r="G111" s="6"/>
      <c r="H111" s="4"/>
      <c r="I111" s="4"/>
      <c r="J111" s="4"/>
      <c r="K111" s="4"/>
      <c r="L111" s="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4"/>
      <c r="B112" s="4"/>
      <c r="C112" s="8"/>
      <c r="D112" s="5"/>
      <c r="E112" s="6"/>
      <c r="F112" s="6"/>
      <c r="G112" s="6"/>
      <c r="H112" s="4"/>
      <c r="I112" s="4"/>
      <c r="J112" s="4"/>
      <c r="K112" s="4"/>
      <c r="L112" s="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4"/>
      <c r="B113" s="4"/>
      <c r="C113" s="8"/>
      <c r="D113" s="5"/>
      <c r="E113" s="6"/>
      <c r="F113" s="6"/>
      <c r="G113" s="6"/>
      <c r="H113" s="4"/>
      <c r="I113" s="4"/>
      <c r="J113" s="4"/>
      <c r="K113" s="4"/>
      <c r="L113" s="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4"/>
      <c r="B114" s="4"/>
      <c r="C114" s="8"/>
      <c r="D114" s="5"/>
      <c r="E114" s="6"/>
      <c r="F114" s="6"/>
      <c r="G114" s="6"/>
      <c r="H114" s="4"/>
      <c r="I114" s="4"/>
      <c r="J114" s="4"/>
      <c r="K114" s="4"/>
      <c r="L114" s="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4"/>
      <c r="B115" s="4"/>
      <c r="C115" s="8"/>
      <c r="D115" s="5"/>
      <c r="E115" s="6"/>
      <c r="F115" s="6"/>
      <c r="G115" s="6"/>
      <c r="H115" s="4"/>
      <c r="I115" s="4"/>
      <c r="J115" s="4"/>
      <c r="K115" s="4"/>
      <c r="L115" s="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4"/>
      <c r="B116" s="4"/>
      <c r="C116" s="8"/>
      <c r="D116" s="5"/>
      <c r="E116" s="6"/>
      <c r="F116" s="6"/>
      <c r="G116" s="6"/>
      <c r="H116" s="4"/>
      <c r="I116" s="4"/>
      <c r="J116" s="4"/>
      <c r="K116" s="4"/>
      <c r="L116" s="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4"/>
      <c r="B117" s="4"/>
      <c r="C117" s="8"/>
      <c r="D117" s="5"/>
      <c r="E117" s="6"/>
      <c r="F117" s="6"/>
      <c r="G117" s="6"/>
      <c r="H117" s="4"/>
      <c r="I117" s="4"/>
      <c r="J117" s="4"/>
      <c r="K117" s="4"/>
      <c r="L117" s="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4"/>
      <c r="B118" s="4"/>
      <c r="C118" s="8"/>
      <c r="D118" s="5"/>
      <c r="E118" s="6"/>
      <c r="F118" s="6"/>
      <c r="G118" s="6"/>
      <c r="H118" s="4"/>
      <c r="I118" s="4"/>
      <c r="J118" s="4"/>
      <c r="K118" s="4"/>
      <c r="L118" s="4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4"/>
      <c r="B119" s="4"/>
      <c r="C119" s="8"/>
      <c r="D119" s="5"/>
      <c r="E119" s="6"/>
      <c r="F119" s="6"/>
      <c r="G119" s="6"/>
      <c r="H119" s="4"/>
      <c r="I119" s="4"/>
      <c r="J119" s="4"/>
      <c r="K119" s="4"/>
      <c r="L119" s="4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4"/>
      <c r="B120" s="4"/>
      <c r="C120" s="8"/>
      <c r="D120" s="5"/>
      <c r="E120" s="6"/>
      <c r="F120" s="6"/>
      <c r="G120" s="6"/>
      <c r="H120" s="4"/>
      <c r="I120" s="4"/>
      <c r="J120" s="4"/>
      <c r="K120" s="4"/>
      <c r="L120" s="4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4"/>
      <c r="B121" s="4"/>
      <c r="C121" s="8"/>
      <c r="D121" s="5"/>
      <c r="E121" s="6"/>
      <c r="F121" s="6"/>
      <c r="G121" s="6"/>
      <c r="H121" s="4"/>
      <c r="I121" s="4"/>
      <c r="J121" s="4"/>
      <c r="K121" s="4"/>
      <c r="L121" s="4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"/>
      <c r="X121" s="7"/>
      <c r="Y121" s="7"/>
    </row>
    <row r="122">
      <c r="A122" s="4"/>
      <c r="B122" s="4"/>
      <c r="C122" s="8"/>
      <c r="D122" s="5"/>
      <c r="E122" s="6"/>
      <c r="F122" s="6"/>
      <c r="G122" s="6"/>
      <c r="H122" s="4"/>
      <c r="I122" s="4"/>
      <c r="J122" s="4"/>
      <c r="K122" s="4"/>
      <c r="L122" s="4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4"/>
      <c r="B123" s="4"/>
      <c r="C123" s="8"/>
      <c r="D123" s="5"/>
      <c r="E123" s="6"/>
      <c r="F123" s="6"/>
      <c r="G123" s="6"/>
      <c r="H123" s="4"/>
      <c r="I123" s="4"/>
      <c r="J123" s="4"/>
      <c r="K123" s="4"/>
      <c r="L123" s="4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"/>
      <c r="X123" s="7"/>
      <c r="Y123" s="7"/>
    </row>
    <row r="124">
      <c r="A124" s="4"/>
      <c r="B124" s="4"/>
      <c r="C124" s="8"/>
      <c r="D124" s="5"/>
      <c r="E124" s="6"/>
      <c r="F124" s="6"/>
      <c r="G124" s="6"/>
      <c r="H124" s="4"/>
      <c r="I124" s="4"/>
      <c r="J124" s="4"/>
      <c r="K124" s="4"/>
      <c r="L124" s="4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4"/>
      <c r="B125" s="4"/>
      <c r="C125" s="8"/>
      <c r="D125" s="5"/>
      <c r="E125" s="6"/>
      <c r="F125" s="6"/>
      <c r="G125" s="6"/>
      <c r="H125" s="4"/>
      <c r="I125" s="4"/>
      <c r="J125" s="4"/>
      <c r="K125" s="4"/>
      <c r="L125" s="4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4"/>
      <c r="B126" s="4"/>
      <c r="C126" s="8"/>
      <c r="D126" s="5"/>
      <c r="E126" s="6"/>
      <c r="F126" s="6"/>
      <c r="G126" s="6"/>
      <c r="H126" s="4"/>
      <c r="I126" s="4"/>
      <c r="J126" s="4"/>
      <c r="K126" s="4"/>
      <c r="L126" s="4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4"/>
      <c r="B127" s="4"/>
      <c r="C127" s="8"/>
      <c r="D127" s="5"/>
      <c r="E127" s="6"/>
      <c r="F127" s="6"/>
      <c r="G127" s="6"/>
      <c r="H127" s="4"/>
      <c r="I127" s="4"/>
      <c r="J127" s="4"/>
      <c r="K127" s="4"/>
      <c r="L127" s="7"/>
      <c r="M127" s="7"/>
      <c r="N127" s="7"/>
      <c r="O127" s="7"/>
      <c r="P127" s="7"/>
      <c r="Q127" s="4"/>
      <c r="R127" s="7"/>
      <c r="S127" s="7"/>
      <c r="T127" s="7"/>
      <c r="U127" s="7"/>
      <c r="V127" s="7"/>
      <c r="W127" s="7"/>
      <c r="X127" s="7"/>
      <c r="Y127" s="7"/>
    </row>
    <row r="128">
      <c r="A128" s="4"/>
      <c r="B128" s="4"/>
      <c r="C128" s="8"/>
      <c r="D128" s="5"/>
      <c r="E128" s="6"/>
      <c r="F128" s="6"/>
      <c r="G128" s="6"/>
      <c r="H128" s="4"/>
      <c r="I128" s="4"/>
      <c r="J128" s="4"/>
      <c r="K128" s="4"/>
      <c r="L128" s="7"/>
      <c r="M128" s="7"/>
      <c r="N128" s="7"/>
      <c r="O128" s="7"/>
      <c r="P128" s="7"/>
      <c r="Q128" s="4"/>
      <c r="R128" s="7"/>
      <c r="S128" s="7"/>
      <c r="T128" s="7"/>
      <c r="U128" s="7"/>
      <c r="V128" s="7"/>
      <c r="W128" s="4"/>
      <c r="X128" s="7"/>
      <c r="Y128" s="7"/>
    </row>
    <row r="129">
      <c r="A129" s="4"/>
      <c r="B129" s="4"/>
      <c r="C129" s="8"/>
      <c r="D129" s="5"/>
      <c r="E129" s="6"/>
      <c r="F129" s="6"/>
      <c r="G129" s="6"/>
      <c r="H129" s="4"/>
      <c r="I129" s="4"/>
      <c r="J129" s="4"/>
      <c r="K129" s="4"/>
      <c r="L129" s="7"/>
      <c r="M129" s="4"/>
      <c r="N129" s="7"/>
      <c r="O129" s="7"/>
      <c r="P129" s="7"/>
      <c r="Q129" s="4"/>
      <c r="R129" s="7"/>
      <c r="S129" s="7"/>
      <c r="T129" s="7"/>
      <c r="U129" s="7"/>
      <c r="V129" s="7"/>
      <c r="W129" s="4"/>
      <c r="X129" s="7"/>
      <c r="Y129" s="7"/>
    </row>
    <row r="130">
      <c r="A130" s="4"/>
      <c r="B130" s="4"/>
      <c r="C130" s="8"/>
      <c r="D130" s="5"/>
      <c r="E130" s="6"/>
      <c r="F130" s="6"/>
      <c r="G130" s="6"/>
      <c r="H130" s="4"/>
      <c r="I130" s="4"/>
      <c r="J130" s="4"/>
      <c r="K130" s="4"/>
      <c r="L130" s="7"/>
      <c r="M130" s="4"/>
      <c r="N130" s="7"/>
      <c r="O130" s="7"/>
      <c r="P130" s="7"/>
      <c r="Q130" s="4"/>
      <c r="R130" s="7"/>
      <c r="S130" s="7"/>
      <c r="T130" s="7"/>
      <c r="U130" s="7"/>
      <c r="V130" s="7"/>
      <c r="W130" s="4"/>
      <c r="X130" s="7"/>
      <c r="Y130" s="7"/>
    </row>
    <row r="131">
      <c r="A131" s="4"/>
      <c r="B131" s="4"/>
      <c r="C131" s="8"/>
      <c r="D131" s="5"/>
      <c r="E131" s="6"/>
      <c r="F131" s="6"/>
      <c r="G131" s="6"/>
      <c r="H131" s="4"/>
      <c r="I131" s="4"/>
      <c r="J131" s="4"/>
      <c r="K131" s="4"/>
      <c r="L131" s="7"/>
      <c r="M131" s="4"/>
      <c r="N131" s="7"/>
      <c r="O131" s="7"/>
      <c r="P131" s="7"/>
      <c r="Q131" s="4"/>
      <c r="R131" s="7"/>
      <c r="S131" s="7"/>
      <c r="T131" s="7"/>
      <c r="U131" s="7"/>
      <c r="V131" s="7"/>
      <c r="W131" s="4"/>
      <c r="X131" s="7"/>
      <c r="Y131" s="7"/>
    </row>
    <row r="132">
      <c r="A132" s="4"/>
      <c r="B132" s="4"/>
      <c r="C132" s="8"/>
      <c r="D132" s="5"/>
      <c r="E132" s="6"/>
      <c r="F132" s="6"/>
      <c r="G132" s="6"/>
      <c r="H132" s="4"/>
      <c r="I132" s="4"/>
      <c r="J132" s="4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"/>
      <c r="X132" s="4"/>
      <c r="Y132" s="4"/>
    </row>
    <row r="133">
      <c r="A133" s="4"/>
      <c r="B133" s="4"/>
      <c r="C133" s="8"/>
      <c r="D133" s="5"/>
      <c r="E133" s="6"/>
      <c r="F133" s="6"/>
      <c r="G133" s="6"/>
      <c r="H133" s="4"/>
      <c r="I133" s="4"/>
      <c r="J133" s="4"/>
      <c r="K133" s="4"/>
      <c r="L133" s="7"/>
      <c r="M133" s="7"/>
      <c r="N133" s="7"/>
      <c r="O133" s="7"/>
      <c r="P133" s="7"/>
      <c r="Q133" s="4"/>
      <c r="R133" s="7"/>
      <c r="S133" s="7"/>
      <c r="T133" s="7"/>
      <c r="U133" s="7"/>
      <c r="V133" s="7"/>
      <c r="W133" s="4"/>
      <c r="X133" s="4"/>
      <c r="Y133" s="4"/>
    </row>
    <row r="134">
      <c r="A134" s="4"/>
      <c r="B134" s="4"/>
      <c r="C134" s="8"/>
      <c r="D134" s="5"/>
      <c r="E134" s="6"/>
      <c r="F134" s="6"/>
      <c r="G134" s="6"/>
      <c r="H134" s="4"/>
      <c r="I134" s="4"/>
      <c r="J134" s="4"/>
      <c r="K134" s="4"/>
      <c r="L134" s="7"/>
      <c r="M134" s="7"/>
      <c r="N134" s="7"/>
      <c r="O134" s="7"/>
      <c r="P134" s="7"/>
      <c r="Q134" s="4"/>
      <c r="R134" s="7"/>
      <c r="S134" s="7"/>
      <c r="T134" s="7"/>
      <c r="U134" s="7"/>
      <c r="V134" s="7"/>
      <c r="W134" s="4"/>
      <c r="X134" s="7"/>
      <c r="Y134" s="7"/>
    </row>
    <row r="135">
      <c r="A135" s="4"/>
      <c r="B135" s="4"/>
      <c r="C135" s="8"/>
      <c r="D135" s="5"/>
      <c r="E135" s="6"/>
      <c r="F135" s="6"/>
      <c r="G135" s="6"/>
      <c r="H135" s="4"/>
      <c r="I135" s="4"/>
      <c r="J135" s="4"/>
      <c r="K135" s="4"/>
      <c r="L135" s="7"/>
      <c r="M135" s="7"/>
      <c r="N135" s="4"/>
      <c r="O135" s="7"/>
      <c r="P135" s="7"/>
      <c r="Q135" s="4"/>
      <c r="R135" s="7"/>
      <c r="S135" s="7"/>
      <c r="T135" s="7"/>
      <c r="U135" s="7"/>
      <c r="V135" s="7"/>
      <c r="W135" s="4"/>
      <c r="X135" s="7"/>
      <c r="Y135" s="7"/>
    </row>
    <row r="136">
      <c r="A136" s="4"/>
      <c r="B136" s="4"/>
      <c r="C136" s="8"/>
      <c r="D136" s="5"/>
      <c r="E136" s="6"/>
      <c r="F136" s="6"/>
      <c r="G136" s="6"/>
      <c r="H136" s="4"/>
      <c r="I136" s="4"/>
      <c r="J136" s="4"/>
      <c r="K136" s="4"/>
      <c r="L136" s="7"/>
      <c r="M136" s="7"/>
      <c r="N136" s="4"/>
      <c r="O136" s="7"/>
      <c r="P136" s="7"/>
      <c r="Q136" s="4"/>
      <c r="R136" s="7"/>
      <c r="S136" s="7"/>
      <c r="T136" s="7"/>
      <c r="U136" s="7"/>
      <c r="V136" s="7"/>
      <c r="W136" s="4"/>
      <c r="X136" s="7"/>
      <c r="Y136" s="7"/>
    </row>
    <row r="137">
      <c r="A137" s="4"/>
      <c r="B137" s="4"/>
      <c r="C137" s="8"/>
      <c r="D137" s="5"/>
      <c r="E137" s="6"/>
      <c r="F137" s="6"/>
      <c r="G137" s="6"/>
      <c r="H137" s="4"/>
      <c r="I137" s="4"/>
      <c r="J137" s="4"/>
      <c r="K137" s="4"/>
      <c r="L137" s="7"/>
      <c r="M137" s="7"/>
      <c r="N137" s="4"/>
      <c r="O137" s="7"/>
      <c r="P137" s="7"/>
      <c r="Q137" s="4"/>
      <c r="R137" s="7"/>
      <c r="S137" s="7"/>
      <c r="T137" s="7"/>
      <c r="U137" s="7"/>
      <c r="V137" s="7"/>
      <c r="W137" s="7"/>
      <c r="X137" s="7"/>
      <c r="Y137" s="7"/>
    </row>
    <row r="138">
      <c r="A138" s="4"/>
      <c r="B138" s="4"/>
      <c r="C138" s="8"/>
      <c r="D138" s="5"/>
      <c r="E138" s="6"/>
      <c r="F138" s="6"/>
      <c r="G138" s="6"/>
      <c r="H138" s="4"/>
      <c r="I138" s="4"/>
      <c r="J138" s="4"/>
      <c r="K138" s="4"/>
      <c r="L138" s="4"/>
      <c r="M138" s="7"/>
      <c r="N138" s="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4"/>
      <c r="B139" s="4"/>
      <c r="C139" s="8"/>
      <c r="D139" s="5"/>
      <c r="E139" s="6"/>
      <c r="F139" s="6"/>
      <c r="G139" s="6"/>
      <c r="H139" s="4"/>
      <c r="I139" s="4"/>
      <c r="J139" s="4"/>
      <c r="K139" s="4"/>
      <c r="L139" s="4"/>
      <c r="M139" s="7"/>
      <c r="N139" s="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4"/>
      <c r="B140" s="4"/>
      <c r="C140" s="8"/>
      <c r="D140" s="5"/>
      <c r="E140" s="6"/>
      <c r="F140" s="6"/>
      <c r="G140" s="6"/>
      <c r="H140" s="4"/>
      <c r="I140" s="4"/>
      <c r="J140" s="4"/>
      <c r="K140" s="4"/>
      <c r="L140" s="4"/>
      <c r="M140" s="7"/>
      <c r="N140" s="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4"/>
      <c r="B141" s="4"/>
      <c r="C141" s="8"/>
      <c r="D141" s="5"/>
      <c r="E141" s="6"/>
      <c r="F141" s="6"/>
      <c r="G141" s="6"/>
      <c r="H141" s="4"/>
      <c r="I141" s="4"/>
      <c r="J141" s="4"/>
      <c r="K141" s="4"/>
      <c r="L141" s="4"/>
      <c r="M141" s="7"/>
      <c r="N141" s="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4"/>
      <c r="B142" s="4"/>
      <c r="C142" s="8"/>
      <c r="D142" s="5"/>
      <c r="E142" s="6"/>
      <c r="F142" s="6"/>
      <c r="G142" s="6"/>
      <c r="H142" s="4"/>
      <c r="I142" s="4"/>
      <c r="J142" s="4"/>
      <c r="K142" s="4"/>
      <c r="L142" s="4"/>
      <c r="M142" s="7"/>
      <c r="N142" s="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4"/>
      <c r="B143" s="4"/>
      <c r="C143" s="8"/>
      <c r="D143" s="5"/>
      <c r="E143" s="6"/>
      <c r="F143" s="6"/>
      <c r="G143" s="6"/>
      <c r="H143" s="4"/>
      <c r="I143" s="4"/>
      <c r="J143" s="4"/>
      <c r="K143" s="4"/>
      <c r="L143" s="4"/>
      <c r="M143" s="7"/>
      <c r="N143" s="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4"/>
      <c r="B144" s="4"/>
      <c r="C144" s="8"/>
      <c r="D144" s="5"/>
      <c r="E144" s="6"/>
      <c r="F144" s="6"/>
      <c r="G144" s="6"/>
      <c r="H144" s="4"/>
      <c r="I144" s="4"/>
      <c r="J144" s="4"/>
      <c r="K144" s="4"/>
      <c r="L144" s="4"/>
      <c r="M144" s="7"/>
      <c r="N144" s="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4"/>
      <c r="B145" s="4"/>
      <c r="C145" s="8"/>
      <c r="D145" s="5"/>
      <c r="E145" s="6"/>
      <c r="F145" s="6"/>
      <c r="G145" s="6"/>
      <c r="H145" s="4"/>
      <c r="I145" s="4"/>
      <c r="J145" s="4"/>
      <c r="K145" s="4"/>
      <c r="L145" s="4"/>
      <c r="M145" s="7"/>
      <c r="N145" s="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4"/>
      <c r="B146" s="4"/>
      <c r="C146" s="4"/>
      <c r="D146" s="5"/>
      <c r="E146" s="6"/>
      <c r="F146" s="6"/>
      <c r="G146" s="6"/>
      <c r="H146" s="4"/>
      <c r="I146" s="4"/>
      <c r="J146" s="4"/>
      <c r="K146" s="4"/>
      <c r="L146" s="7"/>
      <c r="M146" s="7"/>
      <c r="N146" s="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4"/>
      <c r="B147" s="4"/>
      <c r="C147" s="8"/>
      <c r="D147" s="5"/>
      <c r="E147" s="6"/>
      <c r="F147" s="6"/>
      <c r="G147" s="6"/>
      <c r="H147" s="4"/>
      <c r="I147" s="4"/>
      <c r="J147" s="4"/>
      <c r="K147" s="4"/>
      <c r="L147" s="7"/>
      <c r="M147" s="7"/>
      <c r="N147" s="7"/>
      <c r="O147" s="7"/>
      <c r="P147" s="7"/>
      <c r="Q147" s="7"/>
      <c r="R147" s="7"/>
      <c r="S147" s="7"/>
      <c r="T147" s="4"/>
      <c r="U147" s="4"/>
      <c r="V147" s="7"/>
      <c r="W147" s="7"/>
      <c r="X147" s="7"/>
      <c r="Y147" s="7"/>
    </row>
    <row r="148">
      <c r="A148" s="4"/>
      <c r="B148" s="4"/>
      <c r="C148" s="8"/>
      <c r="D148" s="5"/>
      <c r="E148" s="6"/>
      <c r="F148" s="6"/>
      <c r="G148" s="6"/>
      <c r="H148" s="4"/>
      <c r="I148" s="4"/>
      <c r="J148" s="4"/>
      <c r="K148" s="4"/>
      <c r="L148" s="7"/>
      <c r="M148" s="7"/>
      <c r="N148" s="7"/>
      <c r="O148" s="7"/>
      <c r="P148" s="7"/>
      <c r="Q148" s="7"/>
      <c r="R148" s="7"/>
      <c r="S148" s="7"/>
      <c r="T148" s="4"/>
      <c r="U148" s="7"/>
      <c r="V148" s="7"/>
      <c r="W148" s="7"/>
      <c r="X148" s="7"/>
      <c r="Y148" s="7"/>
    </row>
    <row r="149">
      <c r="A149" s="4"/>
      <c r="B149" s="4"/>
      <c r="C149" s="8"/>
      <c r="D149" s="5"/>
      <c r="E149" s="6"/>
      <c r="F149" s="6"/>
      <c r="G149" s="6"/>
      <c r="H149" s="4"/>
      <c r="I149" s="4"/>
      <c r="J149" s="4"/>
      <c r="K149" s="4"/>
      <c r="L149" s="7"/>
      <c r="M149" s="7"/>
      <c r="N149" s="7"/>
      <c r="O149" s="4"/>
      <c r="P149" s="7"/>
      <c r="Q149" s="7"/>
      <c r="R149" s="7"/>
      <c r="S149" s="7"/>
      <c r="T149" s="7"/>
      <c r="U149" s="4"/>
      <c r="V149" s="7"/>
      <c r="W149" s="7"/>
      <c r="X149" s="7"/>
      <c r="Y149" s="7"/>
    </row>
    <row r="150">
      <c r="A150" s="4"/>
      <c r="B150" s="4"/>
      <c r="C150" s="8"/>
      <c r="D150" s="5"/>
      <c r="E150" s="6"/>
      <c r="F150" s="6"/>
      <c r="G150" s="6"/>
      <c r="H150" s="4"/>
      <c r="I150" s="4"/>
      <c r="J150" s="4"/>
      <c r="K150" s="4"/>
      <c r="L150" s="4"/>
      <c r="M150" s="7"/>
      <c r="N150" s="7"/>
      <c r="O150" s="7"/>
      <c r="P150" s="4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4"/>
      <c r="B151" s="4"/>
      <c r="C151" s="8"/>
      <c r="D151" s="5"/>
      <c r="E151" s="6"/>
      <c r="F151" s="6"/>
      <c r="G151" s="6"/>
      <c r="H151" s="4"/>
      <c r="I151" s="4"/>
      <c r="J151" s="4"/>
      <c r="K151" s="4"/>
      <c r="L151" s="7"/>
      <c r="M151" s="7"/>
      <c r="N151" s="7"/>
      <c r="O151" s="7"/>
      <c r="P151" s="7"/>
      <c r="Q151" s="4"/>
      <c r="R151" s="7"/>
      <c r="S151" s="7"/>
      <c r="T151" s="7"/>
      <c r="U151" s="7"/>
      <c r="V151" s="7"/>
      <c r="W151" s="7"/>
      <c r="X151" s="7"/>
      <c r="Y151" s="7"/>
    </row>
    <row r="152">
      <c r="A152" s="4"/>
      <c r="B152" s="4"/>
      <c r="C152" s="8"/>
      <c r="D152" s="5"/>
      <c r="E152" s="6"/>
      <c r="F152" s="6"/>
      <c r="G152" s="6"/>
      <c r="H152" s="4"/>
      <c r="I152" s="4"/>
      <c r="J152" s="4"/>
      <c r="K152" s="4"/>
      <c r="L152" s="7"/>
      <c r="M152" s="7"/>
      <c r="N152" s="4"/>
      <c r="O152" s="7"/>
      <c r="P152" s="4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4"/>
      <c r="B153" s="4"/>
      <c r="C153" s="8"/>
      <c r="D153" s="5"/>
      <c r="E153" s="6"/>
      <c r="F153" s="6"/>
      <c r="G153" s="6"/>
      <c r="H153" s="4"/>
      <c r="I153" s="4"/>
      <c r="J153" s="4"/>
      <c r="K153" s="4"/>
      <c r="L153" s="7"/>
      <c r="M153" s="7"/>
      <c r="N153" s="7"/>
      <c r="O153" s="7"/>
      <c r="P153" s="4"/>
      <c r="Q153" s="7"/>
      <c r="R153" s="7"/>
      <c r="S153" s="7"/>
      <c r="T153" s="4"/>
      <c r="U153" s="7"/>
      <c r="V153" s="7"/>
      <c r="W153" s="7"/>
      <c r="X153" s="7"/>
      <c r="Y153" s="7"/>
    </row>
    <row r="154">
      <c r="A154" s="4"/>
      <c r="B154" s="4"/>
      <c r="C154" s="8"/>
      <c r="D154" s="5"/>
      <c r="E154" s="6"/>
      <c r="F154" s="6"/>
      <c r="G154" s="6"/>
      <c r="H154" s="4"/>
      <c r="I154" s="4"/>
      <c r="J154" s="4"/>
      <c r="K154" s="4"/>
      <c r="L154" s="7"/>
      <c r="M154" s="7"/>
      <c r="N154" s="7"/>
      <c r="O154" s="7"/>
      <c r="P154" s="4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4"/>
      <c r="B155" s="4"/>
      <c r="C155" s="8"/>
      <c r="D155" s="5"/>
      <c r="E155" s="6"/>
      <c r="F155" s="6"/>
      <c r="G155" s="6"/>
      <c r="H155" s="4"/>
      <c r="I155" s="4"/>
      <c r="J155" s="4"/>
      <c r="K155" s="4"/>
      <c r="L155" s="7"/>
      <c r="M155" s="7"/>
      <c r="N155" s="7"/>
      <c r="O155" s="7"/>
      <c r="P155" s="7"/>
      <c r="Q155" s="4"/>
      <c r="R155" s="7"/>
      <c r="S155" s="4"/>
      <c r="T155" s="7"/>
      <c r="U155" s="7"/>
      <c r="V155" s="7"/>
      <c r="W155" s="7"/>
      <c r="X155" s="7"/>
      <c r="Y155" s="7"/>
    </row>
    <row r="156">
      <c r="A156" s="4"/>
      <c r="B156" s="4"/>
      <c r="C156" s="8"/>
      <c r="D156" s="5"/>
      <c r="E156" s="6"/>
      <c r="F156" s="6"/>
      <c r="G156" s="6"/>
      <c r="H156" s="4"/>
      <c r="I156" s="4"/>
      <c r="J156" s="4"/>
      <c r="K156" s="4"/>
      <c r="L156" s="7"/>
      <c r="M156" s="7"/>
      <c r="N156" s="4"/>
      <c r="O156" s="7"/>
      <c r="P156" s="4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4"/>
      <c r="B157" s="4"/>
      <c r="C157" s="8"/>
      <c r="D157" s="5"/>
      <c r="E157" s="6"/>
      <c r="F157" s="6"/>
      <c r="G157" s="6"/>
      <c r="H157" s="4"/>
      <c r="I157" s="4"/>
      <c r="J157" s="4"/>
      <c r="K157" s="4"/>
      <c r="L157" s="4"/>
      <c r="M157" s="7"/>
      <c r="N157" s="7"/>
      <c r="O157" s="7"/>
      <c r="P157" s="4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4"/>
      <c r="B158" s="4"/>
      <c r="C158" s="8"/>
      <c r="D158" s="5"/>
      <c r="E158" s="6"/>
      <c r="F158" s="6"/>
      <c r="G158" s="6"/>
      <c r="H158" s="4"/>
      <c r="I158" s="4"/>
      <c r="J158" s="4"/>
      <c r="K158" s="4"/>
      <c r="L158" s="7"/>
      <c r="M158" s="7"/>
      <c r="N158" s="7"/>
      <c r="O158" s="7"/>
      <c r="P158" s="4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4"/>
      <c r="B159" s="4"/>
      <c r="C159" s="8"/>
      <c r="D159" s="5"/>
      <c r="E159" s="6"/>
      <c r="F159" s="6"/>
      <c r="G159" s="6"/>
      <c r="H159" s="4"/>
      <c r="I159" s="4"/>
      <c r="J159" s="4"/>
      <c r="K159" s="4"/>
      <c r="L159" s="7"/>
      <c r="M159" s="7"/>
      <c r="N159" s="7"/>
      <c r="O159" s="7"/>
      <c r="P159" s="4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4"/>
      <c r="B160" s="4"/>
      <c r="C160" s="8"/>
      <c r="D160" s="5"/>
      <c r="E160" s="6"/>
      <c r="F160" s="6"/>
      <c r="G160" s="6"/>
      <c r="H160" s="4"/>
      <c r="I160" s="4"/>
      <c r="J160" s="4"/>
      <c r="K160" s="4"/>
      <c r="L160" s="4"/>
      <c r="M160" s="7"/>
      <c r="N160" s="7"/>
      <c r="O160" s="7"/>
      <c r="P160" s="4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4"/>
      <c r="B161" s="4"/>
      <c r="C161" s="8"/>
      <c r="D161" s="5"/>
      <c r="E161" s="6"/>
      <c r="F161" s="6"/>
      <c r="G161" s="6"/>
      <c r="H161" s="4"/>
      <c r="I161" s="4"/>
      <c r="J161" s="4"/>
      <c r="K161" s="4"/>
      <c r="L161" s="4"/>
      <c r="M161" s="7"/>
      <c r="N161" s="7"/>
      <c r="O161" s="7"/>
      <c r="P161" s="7"/>
      <c r="Q161" s="4"/>
      <c r="R161" s="7"/>
      <c r="S161" s="7"/>
      <c r="T161" s="7"/>
      <c r="U161" s="7"/>
      <c r="V161" s="7"/>
      <c r="W161" s="7"/>
      <c r="X161" s="7"/>
      <c r="Y161" s="7"/>
    </row>
    <row r="162">
      <c r="A162" s="4"/>
      <c r="B162" s="4"/>
      <c r="C162" s="8"/>
      <c r="D162" s="5"/>
      <c r="E162" s="6"/>
      <c r="F162" s="6"/>
      <c r="G162" s="6"/>
      <c r="H162" s="4"/>
      <c r="I162" s="4"/>
      <c r="J162" s="4"/>
      <c r="K162" s="4"/>
      <c r="L162" s="7"/>
      <c r="M162" s="7"/>
      <c r="N162" s="7"/>
      <c r="O162" s="7"/>
      <c r="P162" s="4"/>
      <c r="Q162" s="7"/>
      <c r="R162" s="4"/>
      <c r="S162" s="7"/>
      <c r="T162" s="7"/>
      <c r="U162" s="7"/>
      <c r="V162" s="7"/>
      <c r="W162" s="7"/>
      <c r="X162" s="7"/>
      <c r="Y162" s="7"/>
    </row>
    <row r="163">
      <c r="A163" s="4"/>
      <c r="B163" s="4"/>
      <c r="C163" s="8"/>
      <c r="D163" s="5"/>
      <c r="E163" s="6"/>
      <c r="F163" s="6"/>
      <c r="G163" s="6"/>
      <c r="H163" s="4"/>
      <c r="I163" s="4"/>
      <c r="J163" s="4"/>
      <c r="K163" s="4"/>
      <c r="L163" s="7"/>
      <c r="M163" s="7"/>
      <c r="N163" s="7"/>
      <c r="O163" s="7"/>
      <c r="P163" s="4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4"/>
      <c r="B164" s="4"/>
      <c r="C164" s="8"/>
      <c r="D164" s="5"/>
      <c r="E164" s="6"/>
      <c r="F164" s="6"/>
      <c r="G164" s="6"/>
      <c r="H164" s="4"/>
      <c r="I164" s="4"/>
      <c r="J164" s="4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"/>
      <c r="X164" s="7"/>
      <c r="Y164" s="7"/>
    </row>
    <row r="165">
      <c r="A165" s="4"/>
      <c r="B165" s="4"/>
      <c r="C165" s="8"/>
      <c r="D165" s="5"/>
      <c r="E165" s="6"/>
      <c r="F165" s="6"/>
      <c r="G165" s="6"/>
      <c r="H165" s="4"/>
      <c r="I165" s="4"/>
      <c r="J165" s="4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"/>
      <c r="X165" s="7"/>
      <c r="Y165" s="7"/>
    </row>
    <row r="166">
      <c r="A166" s="4"/>
      <c r="B166" s="8"/>
      <c r="C166" s="4"/>
      <c r="D166" s="5"/>
      <c r="E166" s="6"/>
      <c r="F166" s="6"/>
      <c r="G166" s="6"/>
      <c r="H166" s="4"/>
      <c r="I166" s="4"/>
      <c r="J166" s="4"/>
      <c r="K166" s="4"/>
      <c r="L166" s="7"/>
      <c r="M166" s="7"/>
      <c r="N166" s="7"/>
      <c r="O166" s="7"/>
      <c r="P166" s="4"/>
      <c r="Q166" s="7"/>
      <c r="R166" s="7"/>
      <c r="S166" s="7"/>
      <c r="T166" s="7"/>
      <c r="U166" s="7"/>
      <c r="V166" s="7"/>
      <c r="W166" s="4"/>
      <c r="X166" s="7"/>
      <c r="Y166" s="7"/>
    </row>
    <row r="167">
      <c r="A167" s="4"/>
      <c r="B167" s="8"/>
      <c r="C167" s="8"/>
      <c r="D167" s="5"/>
      <c r="E167" s="6"/>
      <c r="F167" s="6"/>
      <c r="G167" s="6"/>
      <c r="H167" s="4"/>
      <c r="I167" s="4"/>
      <c r="J167" s="4"/>
      <c r="K167" s="4"/>
      <c r="L167" s="7"/>
      <c r="M167" s="7"/>
      <c r="N167" s="7"/>
      <c r="O167" s="7"/>
      <c r="P167" s="4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4"/>
      <c r="B168" s="8"/>
      <c r="C168" s="8"/>
      <c r="D168" s="5"/>
      <c r="E168" s="6"/>
      <c r="F168" s="6"/>
      <c r="G168" s="6"/>
      <c r="H168" s="4"/>
      <c r="I168" s="4"/>
      <c r="J168" s="4"/>
      <c r="K168" s="4"/>
      <c r="L168" s="7"/>
      <c r="M168" s="7"/>
      <c r="N168" s="7"/>
      <c r="O168" s="7"/>
      <c r="P168" s="4"/>
      <c r="Q168" s="7"/>
      <c r="R168" s="7"/>
      <c r="S168" s="7"/>
      <c r="T168" s="7"/>
      <c r="U168" s="7"/>
      <c r="V168" s="7"/>
      <c r="W168" s="4"/>
      <c r="X168" s="7"/>
      <c r="Y168" s="7"/>
    </row>
    <row r="169">
      <c r="A169" s="4"/>
      <c r="B169" s="8"/>
      <c r="C169" s="8"/>
      <c r="D169" s="5"/>
      <c r="E169" s="6"/>
      <c r="F169" s="6"/>
      <c r="G169" s="6"/>
      <c r="H169" s="4"/>
      <c r="I169" s="4"/>
      <c r="J169" s="4"/>
      <c r="K169" s="4"/>
      <c r="L169" s="7"/>
      <c r="M169" s="7"/>
      <c r="N169" s="7"/>
      <c r="O169" s="7"/>
      <c r="P169" s="4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4"/>
      <c r="B170" s="4"/>
      <c r="C170" s="8"/>
      <c r="D170" s="5"/>
      <c r="E170" s="6"/>
      <c r="F170" s="6"/>
      <c r="G170" s="6"/>
      <c r="H170" s="4"/>
      <c r="I170" s="4"/>
      <c r="J170" s="4"/>
      <c r="K170" s="4"/>
      <c r="L170" s="7"/>
      <c r="M170" s="7"/>
      <c r="N170" s="7"/>
      <c r="O170" s="4"/>
      <c r="P170" s="7"/>
      <c r="Q170" s="4"/>
      <c r="R170" s="7"/>
      <c r="S170" s="7"/>
      <c r="T170" s="7"/>
      <c r="U170" s="7"/>
      <c r="V170" s="7"/>
      <c r="W170" s="7"/>
      <c r="X170" s="7"/>
      <c r="Y170" s="7"/>
    </row>
    <row r="171">
      <c r="A171" s="4"/>
      <c r="B171" s="4"/>
      <c r="C171" s="8"/>
      <c r="D171" s="5"/>
      <c r="E171" s="6"/>
      <c r="F171" s="6"/>
      <c r="G171" s="6"/>
      <c r="H171" s="4"/>
      <c r="I171" s="4"/>
      <c r="J171" s="4"/>
      <c r="K171" s="4"/>
      <c r="L171" s="7"/>
      <c r="M171" s="7"/>
      <c r="N171" s="4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7"/>
    </row>
    <row r="172">
      <c r="A172" s="4"/>
      <c r="B172" s="4"/>
      <c r="C172" s="8"/>
      <c r="D172" s="5"/>
      <c r="E172" s="6"/>
      <c r="F172" s="6"/>
      <c r="G172" s="6"/>
      <c r="H172" s="4"/>
      <c r="I172" s="4"/>
      <c r="J172" s="4"/>
      <c r="K172" s="4"/>
      <c r="L172" s="7"/>
      <c r="M172" s="7"/>
      <c r="N172" s="4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7"/>
    </row>
    <row r="173">
      <c r="A173" s="4"/>
      <c r="B173" s="4"/>
      <c r="C173" s="8"/>
      <c r="D173" s="5"/>
      <c r="E173" s="6"/>
      <c r="F173" s="6"/>
      <c r="G173" s="6"/>
      <c r="H173" s="4"/>
      <c r="I173" s="4"/>
      <c r="J173" s="4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7"/>
    </row>
    <row r="174">
      <c r="A174" s="4"/>
      <c r="B174" s="4"/>
      <c r="C174" s="8"/>
      <c r="D174" s="5"/>
      <c r="E174" s="6"/>
      <c r="F174" s="6"/>
      <c r="G174" s="6"/>
      <c r="H174" s="4"/>
      <c r="I174" s="4"/>
      <c r="J174" s="4"/>
      <c r="K174" s="4"/>
      <c r="L174" s="7"/>
      <c r="M174" s="7"/>
      <c r="N174" s="7"/>
      <c r="O174" s="4"/>
      <c r="P174" s="7"/>
      <c r="Q174" s="7"/>
      <c r="R174" s="7"/>
      <c r="S174" s="7"/>
      <c r="T174" s="7"/>
      <c r="U174" s="7"/>
      <c r="V174" s="7"/>
      <c r="W174" s="7"/>
      <c r="X174" s="4"/>
      <c r="Y174" s="7"/>
    </row>
    <row r="175">
      <c r="A175" s="4"/>
      <c r="B175" s="4"/>
      <c r="C175" s="8"/>
      <c r="D175" s="5"/>
      <c r="E175" s="6"/>
      <c r="F175" s="6"/>
      <c r="G175" s="6"/>
      <c r="H175" s="4"/>
      <c r="I175" s="4"/>
      <c r="J175" s="4"/>
      <c r="K175" s="4"/>
      <c r="L175" s="7"/>
      <c r="M175" s="7"/>
      <c r="N175" s="7"/>
      <c r="O175" s="4"/>
      <c r="P175" s="7"/>
      <c r="Q175" s="7"/>
      <c r="R175" s="7"/>
      <c r="S175" s="7"/>
      <c r="T175" s="7"/>
      <c r="U175" s="7"/>
      <c r="V175" s="7"/>
      <c r="W175" s="7"/>
      <c r="X175" s="4"/>
      <c r="Y175" s="7"/>
    </row>
    <row r="176">
      <c r="A176" s="4"/>
      <c r="B176" s="4"/>
      <c r="C176" s="8"/>
      <c r="D176" s="5"/>
      <c r="E176" s="6"/>
      <c r="F176" s="6"/>
      <c r="G176" s="6"/>
      <c r="H176" s="4"/>
      <c r="I176" s="4"/>
      <c r="J176" s="4"/>
      <c r="K176" s="4"/>
      <c r="L176" s="7"/>
      <c r="M176" s="7"/>
      <c r="N176" s="7"/>
      <c r="O176" s="4"/>
      <c r="P176" s="7"/>
      <c r="Q176" s="7"/>
      <c r="R176" s="7"/>
      <c r="S176" s="7"/>
      <c r="T176" s="7"/>
      <c r="U176" s="7"/>
      <c r="V176" s="7"/>
      <c r="W176" s="7"/>
      <c r="X176" s="4"/>
      <c r="Y176" s="7"/>
    </row>
    <row r="177">
      <c r="A177" s="4"/>
      <c r="B177" s="4"/>
      <c r="C177" s="8"/>
      <c r="D177" s="5"/>
      <c r="E177" s="6"/>
      <c r="F177" s="6"/>
      <c r="G177" s="6"/>
      <c r="H177" s="4"/>
      <c r="I177" s="4"/>
      <c r="J177" s="4"/>
      <c r="K177" s="4"/>
      <c r="L177" s="7"/>
      <c r="M177" s="7"/>
      <c r="N177" s="7"/>
      <c r="O177" s="4"/>
      <c r="P177" s="7"/>
      <c r="Q177" s="7"/>
      <c r="R177" s="7"/>
      <c r="S177" s="7"/>
      <c r="T177" s="7"/>
      <c r="U177" s="7"/>
      <c r="V177" s="7"/>
      <c r="W177" s="7"/>
      <c r="X177" s="4"/>
      <c r="Y177" s="7"/>
    </row>
    <row r="178">
      <c r="A178" s="4"/>
      <c r="B178" s="4"/>
      <c r="C178" s="8"/>
      <c r="D178" s="5"/>
      <c r="E178" s="6"/>
      <c r="F178" s="6"/>
      <c r="G178" s="6"/>
      <c r="H178" s="4"/>
      <c r="I178" s="4"/>
      <c r="J178" s="4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7"/>
    </row>
    <row r="179">
      <c r="A179" s="4"/>
      <c r="B179" s="4"/>
      <c r="C179" s="8"/>
      <c r="D179" s="5"/>
      <c r="E179" s="6"/>
      <c r="F179" s="6"/>
      <c r="G179" s="6"/>
      <c r="H179" s="4"/>
      <c r="I179" s="4"/>
      <c r="J179" s="4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7"/>
    </row>
    <row r="180">
      <c r="A180" s="4"/>
      <c r="B180" s="4"/>
      <c r="C180" s="8"/>
      <c r="D180" s="5"/>
      <c r="E180" s="6"/>
      <c r="F180" s="6"/>
      <c r="G180" s="6"/>
      <c r="H180" s="4"/>
      <c r="I180" s="4"/>
      <c r="J180" s="4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7"/>
    </row>
    <row r="181">
      <c r="A181" s="4"/>
      <c r="B181" s="4"/>
      <c r="C181" s="8"/>
      <c r="D181" s="5"/>
      <c r="E181" s="6"/>
      <c r="F181" s="6"/>
      <c r="G181" s="6"/>
      <c r="H181" s="4"/>
      <c r="I181" s="4"/>
      <c r="J181" s="4"/>
      <c r="K181" s="4"/>
      <c r="L181" s="7"/>
      <c r="M181" s="7"/>
      <c r="N181" s="7"/>
      <c r="O181" s="7"/>
      <c r="P181" s="7"/>
      <c r="Q181" s="4"/>
      <c r="R181" s="7"/>
      <c r="S181" s="7"/>
      <c r="T181" s="7"/>
      <c r="U181" s="7"/>
      <c r="V181" s="7"/>
      <c r="W181" s="4"/>
      <c r="X181" s="7"/>
      <c r="Y181" s="7"/>
    </row>
    <row r="182">
      <c r="A182" s="4"/>
      <c r="B182" s="4"/>
      <c r="C182" s="8"/>
      <c r="D182" s="5"/>
      <c r="E182" s="6"/>
      <c r="F182" s="6"/>
      <c r="G182" s="6"/>
      <c r="H182" s="4"/>
      <c r="I182" s="4"/>
      <c r="J182" s="4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"/>
      <c r="X182" s="7"/>
      <c r="Y182" s="7"/>
    </row>
    <row r="183">
      <c r="A183" s="4"/>
      <c r="B183" s="4"/>
      <c r="C183" s="8"/>
      <c r="D183" s="5"/>
      <c r="E183" s="6"/>
      <c r="F183" s="6"/>
      <c r="G183" s="6"/>
      <c r="H183" s="4"/>
      <c r="I183" s="4"/>
      <c r="J183" s="4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"/>
      <c r="X183" s="7"/>
      <c r="Y183" s="7"/>
    </row>
    <row r="184">
      <c r="A184" s="4"/>
      <c r="B184" s="4"/>
      <c r="C184" s="8"/>
      <c r="D184" s="5"/>
      <c r="E184" s="6"/>
      <c r="F184" s="6"/>
      <c r="G184" s="6"/>
      <c r="H184" s="4"/>
      <c r="I184" s="4"/>
      <c r="J184" s="4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4"/>
      <c r="W184" s="7"/>
      <c r="X184" s="7"/>
      <c r="Y184" s="7"/>
    </row>
    <row r="185">
      <c r="A185" s="4"/>
      <c r="B185" s="4"/>
      <c r="C185" s="8"/>
      <c r="D185" s="5"/>
      <c r="E185" s="6"/>
      <c r="F185" s="6"/>
      <c r="G185" s="6"/>
      <c r="H185" s="4"/>
      <c r="I185" s="4"/>
      <c r="J185" s="4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4"/>
      <c r="W185" s="7"/>
      <c r="X185" s="7"/>
      <c r="Y185" s="7"/>
    </row>
    <row r="186">
      <c r="A186" s="4"/>
      <c r="B186" s="4"/>
      <c r="C186" s="8"/>
      <c r="D186" s="5"/>
      <c r="E186" s="6"/>
      <c r="F186" s="6"/>
      <c r="G186" s="6"/>
      <c r="H186" s="4"/>
      <c r="I186" s="4"/>
      <c r="J186" s="4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4"/>
      <c r="W186" s="7"/>
      <c r="X186" s="7"/>
      <c r="Y186" s="7"/>
    </row>
    <row r="187">
      <c r="A187" s="4"/>
      <c r="B187" s="4"/>
      <c r="C187" s="8"/>
      <c r="D187" s="5"/>
      <c r="E187" s="6"/>
      <c r="F187" s="6"/>
      <c r="G187" s="6"/>
      <c r="H187" s="4"/>
      <c r="I187" s="4"/>
      <c r="J187" s="4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4"/>
      <c r="W187" s="7"/>
      <c r="X187" s="7"/>
      <c r="Y187" s="7"/>
    </row>
    <row r="188">
      <c r="A188" s="4"/>
      <c r="B188" s="4"/>
      <c r="C188" s="8"/>
      <c r="D188" s="5"/>
      <c r="E188" s="6"/>
      <c r="F188" s="6"/>
      <c r="G188" s="6"/>
      <c r="H188" s="4"/>
      <c r="I188" s="4"/>
      <c r="J188" s="4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4"/>
      <c r="W188" s="7"/>
      <c r="X188" s="7"/>
      <c r="Y188" s="7"/>
    </row>
    <row r="189">
      <c r="A189" s="4"/>
      <c r="B189" s="4"/>
      <c r="C189" s="8"/>
      <c r="D189" s="5"/>
      <c r="E189" s="6"/>
      <c r="F189" s="6"/>
      <c r="G189" s="6"/>
      <c r="H189" s="4"/>
      <c r="I189" s="4"/>
      <c r="J189" s="4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4"/>
      <c r="W189" s="7"/>
      <c r="X189" s="7"/>
      <c r="Y189" s="7"/>
    </row>
    <row r="190">
      <c r="A190" s="4"/>
      <c r="B190" s="4"/>
      <c r="C190" s="8"/>
      <c r="D190" s="5"/>
      <c r="E190" s="6"/>
      <c r="F190" s="6"/>
      <c r="G190" s="6"/>
      <c r="H190" s="4"/>
      <c r="I190" s="4"/>
      <c r="J190" s="4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4"/>
      <c r="W190" s="7"/>
      <c r="X190" s="7"/>
      <c r="Y190" s="7"/>
    </row>
    <row r="191">
      <c r="A191" s="4"/>
      <c r="B191" s="4"/>
      <c r="C191" s="8"/>
      <c r="D191" s="5"/>
      <c r="E191" s="6"/>
      <c r="F191" s="6"/>
      <c r="G191" s="6"/>
      <c r="H191" s="4"/>
      <c r="I191" s="4"/>
      <c r="J191" s="4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4"/>
      <c r="W191" s="7"/>
      <c r="X191" s="7"/>
      <c r="Y191" s="7"/>
    </row>
    <row r="192">
      <c r="A192" s="4"/>
      <c r="B192" s="4"/>
      <c r="C192" s="8"/>
      <c r="D192" s="5"/>
      <c r="E192" s="6"/>
      <c r="F192" s="6"/>
      <c r="G192" s="6"/>
      <c r="H192" s="4"/>
      <c r="I192" s="4"/>
      <c r="J192" s="4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4"/>
      <c r="W192" s="7"/>
      <c r="X192" s="7"/>
      <c r="Y192" s="7"/>
    </row>
    <row r="193">
      <c r="A193" s="4"/>
      <c r="B193" s="4"/>
      <c r="C193" s="8"/>
      <c r="D193" s="5"/>
      <c r="E193" s="6"/>
      <c r="F193" s="6"/>
      <c r="G193" s="6"/>
      <c r="H193" s="4"/>
      <c r="I193" s="4"/>
      <c r="J193" s="4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4"/>
      <c r="W193" s="7"/>
      <c r="X193" s="7"/>
      <c r="Y193" s="7"/>
    </row>
    <row r="194">
      <c r="A194" s="4"/>
      <c r="B194" s="4"/>
      <c r="C194" s="8"/>
      <c r="D194" s="5"/>
      <c r="E194" s="6"/>
      <c r="F194" s="6"/>
      <c r="G194" s="6"/>
      <c r="H194" s="4"/>
      <c r="I194" s="4"/>
      <c r="J194" s="4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4"/>
      <c r="W194" s="7"/>
      <c r="X194" s="7"/>
      <c r="Y194" s="7"/>
    </row>
    <row r="195">
      <c r="A195" s="4"/>
      <c r="B195" s="4"/>
      <c r="C195" s="8"/>
      <c r="D195" s="5"/>
      <c r="E195" s="6"/>
      <c r="F195" s="6"/>
      <c r="G195" s="6"/>
      <c r="H195" s="4"/>
      <c r="I195" s="4"/>
      <c r="J195" s="4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4"/>
      <c r="W195" s="7"/>
      <c r="X195" s="7"/>
      <c r="Y195" s="7"/>
    </row>
    <row r="196">
      <c r="A196" s="4"/>
      <c r="B196" s="4"/>
      <c r="C196" s="8"/>
      <c r="D196" s="5"/>
      <c r="E196" s="6"/>
      <c r="F196" s="6"/>
      <c r="G196" s="6"/>
      <c r="H196" s="4"/>
      <c r="I196" s="4"/>
      <c r="J196" s="4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4"/>
      <c r="W196" s="7"/>
      <c r="X196" s="7"/>
      <c r="Y196" s="7"/>
    </row>
    <row r="197">
      <c r="A197" s="4"/>
      <c r="B197" s="4"/>
      <c r="C197" s="8"/>
      <c r="D197" s="5"/>
      <c r="E197" s="6"/>
      <c r="F197" s="6"/>
      <c r="G197" s="6"/>
      <c r="H197" s="4"/>
      <c r="I197" s="4"/>
      <c r="J197" s="4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4"/>
      <c r="W197" s="7"/>
      <c r="X197" s="7"/>
      <c r="Y197" s="7"/>
    </row>
    <row r="198">
      <c r="A198" s="4"/>
      <c r="B198" s="4"/>
      <c r="C198" s="8"/>
      <c r="D198" s="5"/>
      <c r="E198" s="6"/>
      <c r="F198" s="6"/>
      <c r="G198" s="6"/>
      <c r="H198" s="4"/>
      <c r="I198" s="4"/>
      <c r="J198" s="4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4"/>
      <c r="W198" s="7"/>
      <c r="X198" s="7"/>
      <c r="Y198" s="7"/>
    </row>
    <row r="199">
      <c r="A199" s="4"/>
      <c r="B199" s="4"/>
      <c r="C199" s="8"/>
      <c r="D199" s="5"/>
      <c r="E199" s="6"/>
      <c r="F199" s="6"/>
      <c r="G199" s="6"/>
      <c r="H199" s="4"/>
      <c r="I199" s="4"/>
      <c r="J199" s="4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4"/>
      <c r="W199" s="7"/>
      <c r="X199" s="7"/>
      <c r="Y199" s="7"/>
    </row>
    <row r="200">
      <c r="A200" s="4"/>
      <c r="B200" s="4"/>
      <c r="C200" s="8"/>
      <c r="D200" s="5"/>
      <c r="E200" s="6"/>
      <c r="F200" s="6"/>
      <c r="G200" s="6"/>
      <c r="H200" s="4"/>
      <c r="I200" s="4"/>
      <c r="J200" s="4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4"/>
      <c r="W200" s="7"/>
      <c r="X200" s="7"/>
      <c r="Y200" s="7"/>
    </row>
    <row r="201">
      <c r="A201" s="4"/>
      <c r="B201" s="4"/>
      <c r="C201" s="8"/>
      <c r="D201" s="5"/>
      <c r="E201" s="6"/>
      <c r="F201" s="6"/>
      <c r="G201" s="6"/>
      <c r="H201" s="4"/>
      <c r="I201" s="4"/>
      <c r="J201" s="4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4"/>
      <c r="B202" s="4"/>
      <c r="C202" s="8"/>
      <c r="D202" s="5"/>
      <c r="E202" s="6"/>
      <c r="F202" s="6"/>
      <c r="G202" s="6"/>
      <c r="H202" s="4"/>
      <c r="I202" s="4"/>
      <c r="J202" s="4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4"/>
      <c r="B203" s="4"/>
      <c r="C203" s="8"/>
      <c r="D203" s="5"/>
      <c r="E203" s="6"/>
      <c r="F203" s="6"/>
      <c r="G203" s="6"/>
      <c r="H203" s="4"/>
      <c r="I203" s="4"/>
      <c r="J203" s="4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4"/>
      <c r="B204" s="4"/>
      <c r="C204" s="8"/>
      <c r="D204" s="5"/>
      <c r="E204" s="6"/>
      <c r="F204" s="6"/>
      <c r="G204" s="6"/>
      <c r="H204" s="4"/>
      <c r="I204" s="4"/>
      <c r="J204" s="4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4"/>
      <c r="B205" s="4"/>
      <c r="C205" s="8"/>
      <c r="D205" s="5"/>
      <c r="E205" s="6"/>
      <c r="F205" s="6"/>
      <c r="G205" s="6"/>
      <c r="H205" s="4"/>
      <c r="I205" s="4"/>
      <c r="J205" s="4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4"/>
      <c r="B206" s="4"/>
      <c r="C206" s="8"/>
      <c r="D206" s="5"/>
      <c r="E206" s="6"/>
      <c r="F206" s="6"/>
      <c r="G206" s="6"/>
      <c r="H206" s="4"/>
      <c r="I206" s="4"/>
      <c r="J206" s="4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4"/>
      <c r="B207" s="4"/>
      <c r="C207" s="8"/>
      <c r="D207" s="5"/>
      <c r="E207" s="6"/>
      <c r="F207" s="6"/>
      <c r="G207" s="6"/>
      <c r="H207" s="4"/>
      <c r="I207" s="4"/>
      <c r="J207" s="4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4"/>
      <c r="B208" s="4"/>
      <c r="C208" s="8"/>
      <c r="D208" s="5"/>
      <c r="E208" s="6"/>
      <c r="F208" s="6"/>
      <c r="G208" s="6"/>
      <c r="H208" s="4"/>
      <c r="I208" s="4"/>
      <c r="J208" s="4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4"/>
      <c r="B209" s="4"/>
      <c r="C209" s="8"/>
      <c r="D209" s="5"/>
      <c r="E209" s="6"/>
      <c r="F209" s="6"/>
      <c r="G209" s="6"/>
      <c r="H209" s="4"/>
      <c r="I209" s="4"/>
      <c r="J209" s="4"/>
      <c r="K209" s="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4"/>
      <c r="B210" s="4"/>
      <c r="C210" s="8"/>
      <c r="D210" s="5"/>
      <c r="E210" s="6"/>
      <c r="F210" s="6"/>
      <c r="G210" s="6"/>
      <c r="H210" s="4"/>
      <c r="I210" s="4"/>
      <c r="J210" s="4"/>
      <c r="K210" s="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4"/>
      <c r="B211" s="4"/>
      <c r="C211" s="8"/>
      <c r="D211" s="5"/>
      <c r="E211" s="6"/>
      <c r="F211" s="6"/>
      <c r="G211" s="6"/>
      <c r="H211" s="4"/>
      <c r="I211" s="4"/>
      <c r="J211" s="4"/>
      <c r="K211" s="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4"/>
      <c r="B212" s="4"/>
      <c r="C212" s="8"/>
      <c r="D212" s="5"/>
      <c r="E212" s="6"/>
      <c r="F212" s="6"/>
      <c r="G212" s="6"/>
      <c r="H212" s="4"/>
      <c r="I212" s="4"/>
      <c r="J212" s="4"/>
      <c r="K212" s="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4"/>
      <c r="B213" s="4"/>
      <c r="C213" s="8"/>
      <c r="D213" s="5"/>
      <c r="E213" s="6"/>
      <c r="F213" s="6"/>
      <c r="G213" s="6"/>
      <c r="H213" s="4"/>
      <c r="I213" s="4"/>
      <c r="J213" s="4"/>
      <c r="K213" s="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4"/>
      <c r="B214" s="4"/>
      <c r="C214" s="8"/>
      <c r="D214" s="5"/>
      <c r="E214" s="6"/>
      <c r="F214" s="6"/>
      <c r="G214" s="6"/>
      <c r="H214" s="4"/>
      <c r="I214" s="4"/>
      <c r="J214" s="4"/>
      <c r="K214" s="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4"/>
      <c r="B215" s="4"/>
      <c r="C215" s="8"/>
      <c r="D215" s="5"/>
      <c r="E215" s="6"/>
      <c r="F215" s="6"/>
      <c r="G215" s="6"/>
      <c r="H215" s="4"/>
      <c r="I215" s="4"/>
      <c r="J215" s="4"/>
      <c r="K215" s="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4"/>
      <c r="B216" s="4"/>
      <c r="C216" s="8"/>
      <c r="D216" s="5"/>
      <c r="E216" s="6"/>
      <c r="F216" s="6"/>
      <c r="G216" s="6"/>
      <c r="H216" s="4"/>
      <c r="I216" s="4"/>
      <c r="J216" s="4"/>
      <c r="K216" s="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4"/>
      <c r="B217" s="4"/>
      <c r="C217" s="8"/>
      <c r="D217" s="5"/>
      <c r="E217" s="6"/>
      <c r="F217" s="6"/>
      <c r="G217" s="6"/>
      <c r="H217" s="4"/>
      <c r="I217" s="4"/>
      <c r="J217" s="4"/>
      <c r="K217" s="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4"/>
      <c r="B218" s="4"/>
      <c r="C218" s="8"/>
      <c r="D218" s="5"/>
      <c r="E218" s="6"/>
      <c r="F218" s="6"/>
      <c r="G218" s="6"/>
      <c r="H218" s="4"/>
      <c r="I218" s="4"/>
      <c r="J218" s="4"/>
      <c r="K218" s="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4"/>
      <c r="B219" s="4"/>
      <c r="C219" s="8"/>
      <c r="D219" s="5"/>
      <c r="E219" s="6"/>
      <c r="F219" s="6"/>
      <c r="G219" s="6"/>
      <c r="H219" s="4"/>
      <c r="I219" s="4"/>
      <c r="J219" s="4"/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4"/>
      <c r="B220" s="4"/>
      <c r="C220" s="8"/>
      <c r="D220" s="5"/>
      <c r="E220" s="6"/>
      <c r="F220" s="6"/>
      <c r="G220" s="6"/>
      <c r="H220" s="4"/>
      <c r="I220" s="4"/>
      <c r="J220" s="4"/>
      <c r="K220" s="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4"/>
      <c r="B221" s="4"/>
      <c r="C221" s="8"/>
      <c r="D221" s="5"/>
      <c r="E221" s="6"/>
      <c r="F221" s="6"/>
      <c r="G221" s="6"/>
      <c r="H221" s="4"/>
      <c r="I221" s="4"/>
      <c r="J221" s="4"/>
      <c r="K221" s="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4"/>
      <c r="B222" s="4"/>
      <c r="C222" s="8"/>
      <c r="D222" s="5"/>
      <c r="E222" s="6"/>
      <c r="F222" s="6"/>
      <c r="G222" s="6"/>
      <c r="H222" s="4"/>
      <c r="I222" s="4"/>
      <c r="J222" s="4"/>
      <c r="K222" s="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4"/>
      <c r="B223" s="4"/>
      <c r="C223" s="8"/>
      <c r="D223" s="5"/>
      <c r="E223" s="6"/>
      <c r="F223" s="6"/>
      <c r="G223" s="6"/>
      <c r="H223" s="4"/>
      <c r="I223" s="4"/>
      <c r="J223" s="4"/>
      <c r="K223" s="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4"/>
      <c r="B224" s="4"/>
      <c r="C224" s="8"/>
      <c r="D224" s="5"/>
      <c r="E224" s="6"/>
      <c r="F224" s="6"/>
      <c r="G224" s="6"/>
      <c r="H224" s="4"/>
      <c r="I224" s="4"/>
      <c r="J224" s="4"/>
      <c r="K224" s="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4"/>
      <c r="B225" s="4"/>
      <c r="C225" s="8"/>
      <c r="D225" s="5"/>
      <c r="E225" s="6"/>
      <c r="F225" s="6"/>
      <c r="G225" s="6"/>
      <c r="H225" s="4"/>
      <c r="I225" s="4"/>
      <c r="J225" s="4"/>
      <c r="K225" s="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4"/>
      <c r="B226" s="4"/>
      <c r="C226" s="8"/>
      <c r="D226" s="5"/>
      <c r="E226" s="6"/>
      <c r="F226" s="6"/>
      <c r="G226" s="6"/>
      <c r="H226" s="4"/>
      <c r="I226" s="4"/>
      <c r="J226" s="4"/>
      <c r="K226" s="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4"/>
      <c r="B227" s="4"/>
      <c r="C227" s="8"/>
      <c r="D227" s="5"/>
      <c r="E227" s="6"/>
      <c r="F227" s="6"/>
      <c r="G227" s="6"/>
      <c r="H227" s="4"/>
      <c r="I227" s="4"/>
      <c r="J227" s="4"/>
      <c r="K227" s="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4"/>
      <c r="B228" s="4"/>
      <c r="C228" s="8"/>
      <c r="D228" s="5"/>
      <c r="E228" s="6"/>
      <c r="F228" s="6"/>
      <c r="G228" s="6"/>
      <c r="H228" s="4"/>
      <c r="I228" s="4"/>
      <c r="J228" s="4"/>
      <c r="K228" s="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4"/>
      <c r="B229" s="4"/>
      <c r="C229" s="8"/>
      <c r="D229" s="5"/>
      <c r="E229" s="6"/>
      <c r="F229" s="6"/>
      <c r="G229" s="6"/>
      <c r="H229" s="4"/>
      <c r="I229" s="4"/>
      <c r="J229" s="4"/>
      <c r="K229" s="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4"/>
      <c r="B230" s="4"/>
      <c r="C230" s="4"/>
      <c r="D230" s="5"/>
      <c r="E230" s="6"/>
      <c r="F230" s="6"/>
      <c r="G230" s="6"/>
      <c r="H230" s="4"/>
      <c r="I230" s="4"/>
      <c r="J230" s="4"/>
      <c r="K230" s="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4"/>
      <c r="B231" s="4"/>
      <c r="C231" s="4"/>
      <c r="D231" s="5"/>
      <c r="E231" s="6"/>
      <c r="F231" s="6"/>
      <c r="G231" s="6"/>
      <c r="H231" s="4"/>
      <c r="I231" s="4"/>
      <c r="J231" s="4"/>
      <c r="K231" s="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4"/>
      <c r="B232" s="4"/>
      <c r="C232" s="4"/>
      <c r="D232" s="5"/>
      <c r="E232" s="6"/>
      <c r="F232" s="6"/>
      <c r="G232" s="6"/>
      <c r="H232" s="4"/>
      <c r="I232" s="4"/>
      <c r="J232" s="4"/>
      <c r="K232" s="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4"/>
      <c r="B233" s="4"/>
      <c r="C233" s="8"/>
      <c r="D233" s="5"/>
      <c r="E233" s="6"/>
      <c r="F233" s="6"/>
      <c r="G233" s="6"/>
      <c r="H233" s="4"/>
      <c r="I233" s="4"/>
      <c r="J233" s="4"/>
      <c r="K233" s="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4"/>
      <c r="B234" s="4"/>
      <c r="C234" s="8"/>
      <c r="D234" s="5"/>
      <c r="E234" s="6"/>
      <c r="F234" s="6"/>
      <c r="G234" s="6"/>
      <c r="H234" s="4"/>
      <c r="I234" s="4"/>
      <c r="J234" s="4"/>
      <c r="K234" s="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4"/>
      <c r="B235" s="4"/>
      <c r="C235" s="8"/>
      <c r="D235" s="5"/>
      <c r="E235" s="6"/>
      <c r="F235" s="6"/>
      <c r="G235" s="6"/>
      <c r="H235" s="4"/>
      <c r="I235" s="4"/>
      <c r="J235" s="4"/>
      <c r="K235" s="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4"/>
      <c r="B236" s="4"/>
      <c r="C236" s="8"/>
      <c r="D236" s="5"/>
      <c r="E236" s="6"/>
      <c r="F236" s="6"/>
      <c r="G236" s="6"/>
      <c r="H236" s="4"/>
      <c r="I236" s="4"/>
      <c r="J236" s="4"/>
      <c r="K236" s="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4"/>
      <c r="B237" s="4"/>
      <c r="C237" s="8"/>
      <c r="D237" s="5"/>
      <c r="E237" s="6"/>
      <c r="F237" s="6"/>
      <c r="G237" s="6"/>
      <c r="H237" s="4"/>
      <c r="I237" s="4"/>
      <c r="J237" s="4"/>
      <c r="K237" s="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4"/>
      <c r="B238" s="4"/>
      <c r="C238" s="8"/>
      <c r="D238" s="5"/>
      <c r="E238" s="6"/>
      <c r="F238" s="6"/>
      <c r="G238" s="6"/>
      <c r="H238" s="4"/>
      <c r="I238" s="4"/>
      <c r="J238" s="4"/>
      <c r="K238" s="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4"/>
      <c r="B239" s="4"/>
      <c r="C239" s="8"/>
      <c r="D239" s="5"/>
      <c r="E239" s="6"/>
      <c r="F239" s="6"/>
      <c r="G239" s="6"/>
      <c r="H239" s="4"/>
      <c r="I239" s="4"/>
      <c r="J239" s="4"/>
      <c r="K239" s="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4"/>
      <c r="B240" s="4"/>
      <c r="C240" s="8"/>
      <c r="D240" s="9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11"/>
      <c r="D241" s="9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11"/>
      <c r="D242" s="9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11"/>
      <c r="D243" s="9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11"/>
      <c r="D244" s="9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11"/>
      <c r="D245" s="9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11"/>
      <c r="D246" s="9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11"/>
      <c r="D247" s="9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11"/>
      <c r="D248" s="9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11"/>
      <c r="D249" s="9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11"/>
      <c r="D250" s="9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11"/>
      <c r="D251" s="9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11"/>
      <c r="D252" s="9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11"/>
      <c r="D253" s="9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11"/>
      <c r="D254" s="9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11"/>
      <c r="D255" s="9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11"/>
      <c r="D256" s="9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11"/>
      <c r="D257" s="9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11"/>
      <c r="D258" s="9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11"/>
      <c r="D259" s="9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11"/>
      <c r="D260" s="9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11"/>
      <c r="D261" s="9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11"/>
      <c r="D262" s="9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11"/>
      <c r="D263" s="9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11"/>
      <c r="D264" s="9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11"/>
      <c r="D265" s="9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11"/>
      <c r="D266" s="9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11"/>
      <c r="D267" s="9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11"/>
      <c r="D268" s="9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11"/>
      <c r="D269" s="9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11"/>
      <c r="D270" s="9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11"/>
      <c r="D271" s="9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11"/>
      <c r="D272" s="9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11"/>
      <c r="D273" s="9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11"/>
      <c r="D274" s="9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11"/>
      <c r="D275" s="9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11"/>
      <c r="D276" s="9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11"/>
      <c r="D277" s="9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11"/>
      <c r="D278" s="9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11"/>
      <c r="D279" s="9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11"/>
      <c r="D280" s="9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11"/>
      <c r="D281" s="9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11"/>
      <c r="D282" s="9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11"/>
      <c r="D283" s="9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11"/>
      <c r="D284" s="9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11"/>
      <c r="D285" s="9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11"/>
      <c r="D286" s="9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11"/>
      <c r="D287" s="9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11"/>
      <c r="D288" s="9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11"/>
      <c r="D289" s="9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11"/>
      <c r="D290" s="9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11"/>
      <c r="D291" s="9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11"/>
      <c r="D292" s="9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11"/>
      <c r="D293" s="9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11"/>
      <c r="D294" s="9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11"/>
      <c r="D295" s="9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11"/>
      <c r="D296" s="9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11"/>
      <c r="D297" s="9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11"/>
      <c r="D298" s="9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11"/>
      <c r="D299" s="9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11"/>
      <c r="D300" s="9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11"/>
      <c r="D301" s="9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11"/>
      <c r="D302" s="9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11"/>
      <c r="D303" s="9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11"/>
      <c r="D304" s="9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11"/>
      <c r="D305" s="9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11"/>
      <c r="D306" s="9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11"/>
      <c r="D307" s="9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11"/>
      <c r="D308" s="9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11"/>
      <c r="D309" s="9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11"/>
      <c r="D310" s="9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11"/>
      <c r="D311" s="9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11"/>
      <c r="D312" s="9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11"/>
      <c r="D313" s="9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11"/>
      <c r="D314" s="9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11"/>
      <c r="D315" s="9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11"/>
      <c r="D316" s="9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11"/>
      <c r="D317" s="9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11"/>
      <c r="D318" s="9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11"/>
      <c r="D319" s="9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11"/>
      <c r="D320" s="9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11"/>
      <c r="D321" s="9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11"/>
      <c r="D322" s="9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11"/>
      <c r="D323" s="9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11"/>
      <c r="D324" s="9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11"/>
      <c r="D325" s="9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11"/>
      <c r="D326" s="9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11"/>
      <c r="D327" s="9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11"/>
      <c r="D328" s="9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11"/>
      <c r="D329" s="9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11"/>
      <c r="D330" s="9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11"/>
      <c r="D331" s="9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11"/>
      <c r="D332" s="9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11"/>
      <c r="D333" s="9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11"/>
      <c r="D334" s="9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11"/>
      <c r="D335" s="9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11"/>
      <c r="D336" s="9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11"/>
      <c r="D337" s="9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11"/>
      <c r="D338" s="9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11"/>
      <c r="D339" s="9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11"/>
      <c r="D340" s="9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11"/>
      <c r="D341" s="9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11"/>
      <c r="D342" s="9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11"/>
      <c r="D343" s="9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11"/>
      <c r="D344" s="9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11"/>
      <c r="D345" s="9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11"/>
      <c r="D346" s="9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11"/>
      <c r="D347" s="9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11"/>
      <c r="D348" s="9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11"/>
      <c r="D349" s="9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11"/>
      <c r="D350" s="9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11"/>
      <c r="D351" s="9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11"/>
      <c r="D352" s="9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11"/>
      <c r="D353" s="9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11"/>
      <c r="D354" s="9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11"/>
      <c r="D355" s="9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11"/>
      <c r="D356" s="9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11"/>
      <c r="D357" s="9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11"/>
      <c r="D358" s="9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11"/>
      <c r="D359" s="9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11"/>
      <c r="D360" s="9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11"/>
      <c r="D361" s="9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11"/>
      <c r="D362" s="9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11"/>
      <c r="D363" s="9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11"/>
      <c r="D364" s="9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11"/>
      <c r="D365" s="9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11"/>
      <c r="D366" s="9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11"/>
      <c r="D367" s="9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11"/>
      <c r="D368" s="9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11"/>
      <c r="D369" s="9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11"/>
      <c r="D370" s="9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11"/>
      <c r="D371" s="9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11"/>
      <c r="D372" s="9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11"/>
      <c r="D373" s="9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11"/>
      <c r="D374" s="9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11"/>
      <c r="D375" s="9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11"/>
      <c r="D376" s="9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11"/>
      <c r="D377" s="9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11"/>
      <c r="D378" s="9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11"/>
      <c r="D379" s="9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11"/>
      <c r="D380" s="9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11"/>
      <c r="D381" s="9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11"/>
      <c r="D382" s="9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11"/>
      <c r="D383" s="9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11"/>
      <c r="D384" s="9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11"/>
      <c r="D385" s="9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11"/>
      <c r="D386" s="9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11"/>
      <c r="D387" s="9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11"/>
      <c r="D388" s="9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11"/>
      <c r="D389" s="9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11"/>
      <c r="D390" s="9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11"/>
      <c r="D391" s="9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11"/>
      <c r="D392" s="9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11"/>
      <c r="D393" s="9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11"/>
      <c r="D394" s="9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11"/>
      <c r="D395" s="9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11"/>
      <c r="D396" s="9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11"/>
      <c r="D397" s="9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11"/>
      <c r="D398" s="9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11"/>
      <c r="D399" s="9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11"/>
      <c r="D400" s="9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11"/>
      <c r="D401" s="9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11"/>
      <c r="D402" s="9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11"/>
      <c r="D403" s="9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11"/>
      <c r="D404" s="9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11"/>
      <c r="D405" s="9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11"/>
      <c r="D406" s="9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11"/>
      <c r="D407" s="9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11"/>
      <c r="D408" s="9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11"/>
      <c r="D409" s="9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11"/>
      <c r="D410" s="9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11"/>
      <c r="D411" s="9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11"/>
      <c r="D412" s="9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11"/>
      <c r="D413" s="9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11"/>
      <c r="D414" s="9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11"/>
      <c r="D415" s="9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11"/>
      <c r="D416" s="9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11"/>
      <c r="D417" s="9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11"/>
      <c r="D418" s="9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11"/>
      <c r="D419" s="9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11"/>
      <c r="D420" s="9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11"/>
      <c r="D421" s="9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11"/>
      <c r="D422" s="9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11"/>
      <c r="D423" s="9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11"/>
      <c r="D424" s="9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11"/>
      <c r="D425" s="9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11"/>
      <c r="D426" s="9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11"/>
      <c r="D427" s="9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11"/>
      <c r="D428" s="9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11"/>
      <c r="D429" s="9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11"/>
      <c r="D430" s="9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11"/>
      <c r="D431" s="9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11"/>
      <c r="D432" s="9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11"/>
      <c r="D433" s="9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11"/>
      <c r="D434" s="9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11"/>
      <c r="D435" s="9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11"/>
      <c r="D436" s="9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11"/>
      <c r="D437" s="9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11"/>
      <c r="D438" s="9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11"/>
      <c r="D439" s="9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11"/>
      <c r="D440" s="9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11"/>
      <c r="D441" s="9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11"/>
      <c r="D442" s="9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11"/>
      <c r="D443" s="9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11"/>
      <c r="D444" s="9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11"/>
      <c r="D445" s="9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11"/>
      <c r="D446" s="9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11"/>
      <c r="D447" s="9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11"/>
      <c r="D448" s="9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11"/>
      <c r="D449" s="9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11"/>
      <c r="D450" s="9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11"/>
      <c r="D451" s="9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11"/>
      <c r="D452" s="9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11"/>
      <c r="D453" s="9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11"/>
      <c r="D454" s="9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11"/>
      <c r="D455" s="9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11"/>
      <c r="D456" s="9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11"/>
      <c r="D457" s="9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11"/>
      <c r="D458" s="9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11"/>
      <c r="D459" s="9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11"/>
      <c r="D460" s="9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11"/>
      <c r="D461" s="9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11"/>
      <c r="D462" s="9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11"/>
      <c r="D463" s="9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11"/>
      <c r="D464" s="9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11"/>
      <c r="D465" s="9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11"/>
      <c r="D466" s="9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11"/>
      <c r="D467" s="9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11"/>
      <c r="D468" s="9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11"/>
      <c r="D469" s="9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11"/>
      <c r="D470" s="9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11"/>
      <c r="D471" s="9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11"/>
      <c r="D472" s="9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11"/>
      <c r="D473" s="9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11"/>
      <c r="D474" s="9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11"/>
      <c r="D475" s="9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11"/>
      <c r="D476" s="9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11"/>
      <c r="D477" s="9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11"/>
      <c r="D478" s="9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11"/>
      <c r="D479" s="9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11"/>
      <c r="D480" s="9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11"/>
      <c r="D481" s="9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11"/>
      <c r="D482" s="9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11"/>
      <c r="D483" s="9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11"/>
      <c r="D484" s="9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11"/>
      <c r="D485" s="9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11"/>
      <c r="D486" s="9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11"/>
      <c r="D487" s="9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11"/>
      <c r="D488" s="9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11"/>
      <c r="D489" s="9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11"/>
      <c r="D490" s="9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11"/>
      <c r="D491" s="9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11"/>
      <c r="D492" s="9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11"/>
      <c r="D493" s="9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11"/>
      <c r="D494" s="9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11"/>
      <c r="D495" s="9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11"/>
      <c r="D496" s="9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11"/>
      <c r="D497" s="9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11"/>
      <c r="D498" s="9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11"/>
      <c r="D499" s="9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11"/>
      <c r="D500" s="9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11"/>
      <c r="D501" s="9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11"/>
      <c r="D502" s="9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11"/>
      <c r="D503" s="9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11"/>
      <c r="D504" s="9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11"/>
      <c r="D505" s="9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11"/>
      <c r="D506" s="9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11"/>
      <c r="D507" s="9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11"/>
      <c r="D508" s="9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11"/>
      <c r="D509" s="9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11"/>
      <c r="D510" s="9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11"/>
      <c r="D511" s="9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11"/>
      <c r="D512" s="9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11"/>
      <c r="D513" s="9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11"/>
      <c r="D514" s="9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11"/>
      <c r="D515" s="9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11"/>
      <c r="D516" s="9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11"/>
      <c r="D517" s="9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11"/>
      <c r="D518" s="9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11"/>
      <c r="D519" s="9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11"/>
      <c r="D520" s="9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11"/>
      <c r="D521" s="9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11"/>
      <c r="D522" s="9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11"/>
      <c r="D523" s="9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11"/>
      <c r="D524" s="9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11"/>
      <c r="D525" s="9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11"/>
      <c r="D526" s="9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11"/>
      <c r="D527" s="9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11"/>
      <c r="D528" s="9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11"/>
      <c r="D529" s="9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11"/>
      <c r="D530" s="9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11"/>
      <c r="D531" s="9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11"/>
      <c r="D532" s="9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11"/>
      <c r="D533" s="9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11"/>
      <c r="D534" s="9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11"/>
      <c r="D535" s="9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11"/>
      <c r="D536" s="9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11"/>
      <c r="D537" s="9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11"/>
      <c r="D538" s="9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11"/>
      <c r="D539" s="9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11"/>
      <c r="D540" s="9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11"/>
      <c r="D541" s="9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11"/>
      <c r="D542" s="9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11"/>
      <c r="D543" s="9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11"/>
      <c r="D544" s="9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11"/>
      <c r="D545" s="9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11"/>
      <c r="D546" s="9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11"/>
      <c r="D547" s="9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11"/>
      <c r="D548" s="9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11"/>
      <c r="D549" s="9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11"/>
      <c r="D550" s="9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11"/>
      <c r="D551" s="9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11"/>
      <c r="D552" s="9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11"/>
      <c r="D553" s="9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11"/>
      <c r="D554" s="9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11"/>
      <c r="D555" s="9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11"/>
      <c r="D556" s="9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11"/>
      <c r="D557" s="9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11"/>
      <c r="D558" s="9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11"/>
      <c r="D559" s="9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11"/>
      <c r="D560" s="9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11"/>
      <c r="D561" s="9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11"/>
      <c r="D562" s="9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11"/>
      <c r="D563" s="9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11"/>
      <c r="D564" s="9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11"/>
      <c r="D565" s="9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11"/>
      <c r="D566" s="9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11"/>
      <c r="D567" s="9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11"/>
      <c r="D568" s="9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11"/>
      <c r="D569" s="9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11"/>
      <c r="D570" s="9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11"/>
      <c r="D571" s="9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11"/>
      <c r="D572" s="9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11"/>
      <c r="D573" s="9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11"/>
      <c r="D574" s="9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11"/>
      <c r="D575" s="9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11"/>
      <c r="D576" s="9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11"/>
      <c r="D577" s="9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11"/>
      <c r="D578" s="9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11"/>
      <c r="D579" s="9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11"/>
      <c r="D580" s="9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11"/>
      <c r="D581" s="9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11"/>
      <c r="D582" s="9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11"/>
      <c r="D583" s="9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11"/>
      <c r="D584" s="9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11"/>
      <c r="D585" s="9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11"/>
      <c r="D586" s="9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11"/>
      <c r="D587" s="9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11"/>
      <c r="D588" s="9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11"/>
      <c r="D589" s="9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11"/>
      <c r="D590" s="9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11"/>
      <c r="D591" s="9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11"/>
      <c r="D592" s="9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11"/>
      <c r="D593" s="9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11"/>
      <c r="D594" s="9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11"/>
      <c r="D595" s="9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11"/>
      <c r="D596" s="9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11"/>
      <c r="D597" s="9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11"/>
      <c r="D598" s="9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11"/>
      <c r="D599" s="9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11"/>
      <c r="D600" s="9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11"/>
      <c r="D601" s="9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11"/>
      <c r="D602" s="9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11"/>
      <c r="D603" s="9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11"/>
      <c r="D604" s="9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11"/>
      <c r="D605" s="9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11"/>
      <c r="D606" s="9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11"/>
      <c r="D607" s="9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11"/>
      <c r="D608" s="9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11"/>
      <c r="D609" s="9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11"/>
      <c r="D610" s="9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11"/>
      <c r="D611" s="9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11"/>
      <c r="D612" s="9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11"/>
      <c r="D613" s="9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11"/>
      <c r="D614" s="9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11"/>
      <c r="D615" s="9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11"/>
      <c r="D616" s="9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11"/>
      <c r="D617" s="9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11"/>
      <c r="D618" s="9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11"/>
      <c r="D619" s="9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11"/>
      <c r="D620" s="9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11"/>
      <c r="D621" s="9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11"/>
      <c r="D622" s="9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11"/>
      <c r="D623" s="9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11"/>
      <c r="D624" s="9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11"/>
      <c r="D625" s="9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11"/>
      <c r="D626" s="9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11"/>
      <c r="D627" s="9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11"/>
      <c r="D628" s="9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11"/>
      <c r="D629" s="9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11"/>
      <c r="D630" s="9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11"/>
      <c r="D631" s="9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11"/>
      <c r="D632" s="9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11"/>
      <c r="D633" s="9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11"/>
      <c r="D634" s="9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11"/>
      <c r="D635" s="9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11"/>
      <c r="D636" s="9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11"/>
      <c r="D637" s="9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11"/>
      <c r="D638" s="9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11"/>
      <c r="D639" s="9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11"/>
      <c r="D640" s="9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11"/>
      <c r="D641" s="9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11"/>
      <c r="D642" s="9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11"/>
      <c r="D643" s="9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11"/>
      <c r="D644" s="9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11"/>
      <c r="D645" s="9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11"/>
      <c r="D646" s="9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11"/>
      <c r="D647" s="9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11"/>
      <c r="D648" s="9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11"/>
      <c r="D649" s="9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11"/>
      <c r="D650" s="9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11"/>
      <c r="D651" s="9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11"/>
      <c r="D652" s="9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11"/>
      <c r="D653" s="9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11"/>
      <c r="D654" s="9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11"/>
      <c r="D655" s="9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11"/>
      <c r="D656" s="9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11"/>
      <c r="D657" s="9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11"/>
      <c r="D658" s="9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11"/>
      <c r="D659" s="9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11"/>
      <c r="D660" s="9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11"/>
      <c r="D661" s="9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11"/>
      <c r="D662" s="9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11"/>
      <c r="D663" s="9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11"/>
      <c r="D664" s="9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11"/>
      <c r="D665" s="9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11"/>
      <c r="D666" s="9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11"/>
      <c r="D667" s="9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11"/>
      <c r="D668" s="9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11"/>
      <c r="D669" s="9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11"/>
      <c r="D670" s="9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11"/>
      <c r="D671" s="9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11"/>
      <c r="D672" s="9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11"/>
      <c r="D673" s="9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11"/>
      <c r="D674" s="9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11"/>
      <c r="D675" s="9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11"/>
      <c r="D676" s="9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11"/>
      <c r="D677" s="9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11"/>
      <c r="D678" s="9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11"/>
      <c r="D679" s="9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11"/>
      <c r="D680" s="9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11"/>
      <c r="D681" s="9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11"/>
      <c r="D682" s="9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11"/>
      <c r="D683" s="9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11"/>
      <c r="D684" s="9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11"/>
      <c r="D685" s="9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11"/>
      <c r="D686" s="9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11"/>
      <c r="D687" s="9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11"/>
      <c r="D688" s="9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11"/>
      <c r="D689" s="9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11"/>
      <c r="D690" s="9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11"/>
      <c r="D691" s="9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11"/>
      <c r="D692" s="9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11"/>
      <c r="D693" s="9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11"/>
      <c r="D694" s="9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11"/>
      <c r="D695" s="9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11"/>
      <c r="D696" s="9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11"/>
      <c r="D697" s="9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11"/>
      <c r="D698" s="9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11"/>
      <c r="D699" s="9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11"/>
      <c r="D700" s="9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11"/>
      <c r="D701" s="9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11"/>
      <c r="D702" s="9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11"/>
      <c r="D703" s="9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11"/>
      <c r="D704" s="9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11"/>
      <c r="D705" s="9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11"/>
      <c r="D706" s="9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11"/>
      <c r="D707" s="9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11"/>
      <c r="D708" s="9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11"/>
      <c r="D709" s="9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11"/>
      <c r="D710" s="9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11"/>
      <c r="D711" s="9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11"/>
      <c r="D712" s="9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11"/>
      <c r="D713" s="9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11"/>
      <c r="D714" s="9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11"/>
      <c r="D715" s="9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11"/>
      <c r="D716" s="9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11"/>
      <c r="D717" s="9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11"/>
      <c r="D718" s="9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11"/>
      <c r="D719" s="9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11"/>
      <c r="D720" s="9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11"/>
      <c r="D721" s="9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11"/>
      <c r="D722" s="9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11"/>
      <c r="D723" s="9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11"/>
      <c r="D724" s="9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11"/>
      <c r="D725" s="9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11"/>
      <c r="D726" s="9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11"/>
      <c r="D727" s="9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11"/>
      <c r="D728" s="9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11"/>
      <c r="D729" s="9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11"/>
      <c r="D730" s="9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11"/>
      <c r="D731" s="9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11"/>
      <c r="D732" s="9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11"/>
      <c r="D733" s="9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11"/>
      <c r="D734" s="9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11"/>
      <c r="D735" s="9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11"/>
      <c r="D736" s="9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11"/>
      <c r="D737" s="9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11"/>
      <c r="D738" s="9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11"/>
      <c r="D739" s="9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11"/>
      <c r="D740" s="9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11"/>
      <c r="D741" s="9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11"/>
      <c r="D742" s="9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11"/>
      <c r="D743" s="9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11"/>
      <c r="D744" s="9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11"/>
      <c r="D745" s="9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11"/>
      <c r="D746" s="9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11"/>
      <c r="D747" s="9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11"/>
      <c r="D748" s="9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11"/>
      <c r="D749" s="9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11"/>
      <c r="D750" s="9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11"/>
      <c r="D751" s="9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11"/>
      <c r="D752" s="9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11"/>
      <c r="D753" s="9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11"/>
      <c r="D754" s="9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11"/>
      <c r="D755" s="9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11"/>
      <c r="D756" s="9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11"/>
      <c r="D757" s="9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11"/>
      <c r="D758" s="9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11"/>
      <c r="D759" s="9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11"/>
      <c r="D760" s="9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11"/>
      <c r="D761" s="9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11"/>
      <c r="D762" s="9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11"/>
      <c r="D763" s="9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11"/>
      <c r="D764" s="9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11"/>
      <c r="D765" s="9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11"/>
      <c r="D766" s="9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11"/>
      <c r="D767" s="9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11"/>
      <c r="D768" s="9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11"/>
      <c r="D769" s="9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11"/>
      <c r="D770" s="9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11"/>
      <c r="D771" s="9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11"/>
      <c r="D772" s="9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11"/>
      <c r="D773" s="9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11"/>
      <c r="D774" s="9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11"/>
      <c r="D775" s="9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11"/>
      <c r="D776" s="9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11"/>
      <c r="D777" s="9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11"/>
      <c r="D778" s="9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11"/>
      <c r="D779" s="9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11"/>
      <c r="D780" s="9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11"/>
      <c r="D781" s="9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11"/>
      <c r="D782" s="9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11"/>
      <c r="D783" s="9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11"/>
      <c r="D784" s="9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11"/>
      <c r="D785" s="9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11"/>
      <c r="D786" s="9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11"/>
      <c r="D787" s="9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11"/>
      <c r="D788" s="9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11"/>
      <c r="D789" s="9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11"/>
      <c r="D790" s="9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11"/>
      <c r="D791" s="9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11"/>
      <c r="D792" s="9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11"/>
      <c r="D793" s="9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11"/>
      <c r="D794" s="9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11"/>
      <c r="D795" s="9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11"/>
      <c r="D796" s="9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11"/>
      <c r="D797" s="9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11"/>
      <c r="D798" s="9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11"/>
      <c r="D799" s="9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11"/>
      <c r="D800" s="9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11"/>
      <c r="D801" s="9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11"/>
      <c r="D802" s="9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11"/>
      <c r="D803" s="9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11"/>
      <c r="D804" s="9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11"/>
      <c r="D805" s="9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11"/>
      <c r="D806" s="9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11"/>
      <c r="D807" s="9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11"/>
      <c r="D808" s="9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11"/>
      <c r="D809" s="9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11"/>
      <c r="D810" s="9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11"/>
      <c r="D811" s="9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11"/>
      <c r="D812" s="9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11"/>
      <c r="D813" s="9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11"/>
      <c r="D814" s="9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11"/>
      <c r="D815" s="9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11"/>
      <c r="D816" s="9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11"/>
      <c r="D817" s="9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11"/>
      <c r="D818" s="9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11"/>
      <c r="D819" s="9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11"/>
      <c r="D820" s="9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11"/>
      <c r="D821" s="9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11"/>
      <c r="D822" s="9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11"/>
      <c r="D823" s="9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11"/>
      <c r="D824" s="9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11"/>
      <c r="D825" s="9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11"/>
      <c r="D826" s="9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11"/>
      <c r="D827" s="9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11"/>
      <c r="D828" s="9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11"/>
      <c r="D829" s="9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11"/>
      <c r="D830" s="9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11"/>
      <c r="D831" s="9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11"/>
      <c r="D832" s="9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11"/>
      <c r="D833" s="9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11"/>
      <c r="D834" s="9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11"/>
      <c r="D835" s="9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11"/>
      <c r="D836" s="9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11"/>
      <c r="D837" s="9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11"/>
      <c r="D838" s="9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11"/>
      <c r="D839" s="9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11"/>
      <c r="D840" s="9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11"/>
      <c r="D841" s="9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11"/>
      <c r="D842" s="9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11"/>
      <c r="D843" s="9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11"/>
      <c r="D844" s="9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11"/>
      <c r="D845" s="9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11"/>
      <c r="D846" s="9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11"/>
      <c r="D847" s="9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11"/>
      <c r="D848" s="9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11"/>
      <c r="D849" s="9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11"/>
      <c r="D850" s="9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11"/>
      <c r="D851" s="9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11"/>
      <c r="D852" s="9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11"/>
      <c r="D853" s="9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11"/>
      <c r="D854" s="9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11"/>
      <c r="D855" s="9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11"/>
      <c r="D856" s="9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11"/>
      <c r="D857" s="9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11"/>
      <c r="D858" s="9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11"/>
      <c r="D859" s="9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11"/>
      <c r="D860" s="9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11"/>
      <c r="D861" s="9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11"/>
      <c r="D862" s="9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11"/>
      <c r="D863" s="9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11"/>
      <c r="D864" s="9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11"/>
      <c r="D865" s="9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11"/>
      <c r="D866" s="9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11"/>
      <c r="D867" s="9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11"/>
      <c r="D868" s="9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11"/>
      <c r="D869" s="9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11"/>
      <c r="D870" s="9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11"/>
      <c r="D871" s="9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11"/>
      <c r="D872" s="9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11"/>
      <c r="D873" s="9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11"/>
      <c r="D874" s="9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11"/>
      <c r="D875" s="9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11"/>
      <c r="D876" s="9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11"/>
      <c r="D877" s="9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11"/>
      <c r="D878" s="9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11"/>
      <c r="D879" s="9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11"/>
      <c r="D880" s="9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11"/>
      <c r="D881" s="9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11"/>
      <c r="D882" s="9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11"/>
      <c r="D883" s="9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11"/>
      <c r="D884" s="9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11"/>
      <c r="D885" s="9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11"/>
      <c r="D886" s="9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11"/>
      <c r="D887" s="9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11"/>
      <c r="D888" s="9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11"/>
      <c r="D889" s="9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11"/>
      <c r="D890" s="9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11"/>
      <c r="D891" s="9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11"/>
      <c r="D892" s="9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11"/>
      <c r="D893" s="9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11"/>
      <c r="D894" s="9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11"/>
      <c r="D895" s="9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11"/>
      <c r="D896" s="9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11"/>
      <c r="D897" s="9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11"/>
      <c r="D898" s="9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11"/>
      <c r="D899" s="9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11"/>
      <c r="D900" s="9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11"/>
      <c r="D901" s="9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11"/>
      <c r="D902" s="9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11"/>
      <c r="D903" s="9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11"/>
      <c r="D904" s="9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11"/>
      <c r="D905" s="9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11"/>
      <c r="D906" s="9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11"/>
      <c r="D907" s="9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11"/>
      <c r="D908" s="9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11"/>
      <c r="D909" s="9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11"/>
      <c r="D910" s="9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11"/>
      <c r="D911" s="9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11"/>
      <c r="D912" s="9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11"/>
      <c r="D913" s="9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11"/>
      <c r="D914" s="9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11"/>
      <c r="D915" s="9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11"/>
      <c r="D916" s="9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11"/>
      <c r="D917" s="9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11"/>
      <c r="D918" s="9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11"/>
      <c r="D919" s="9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11"/>
      <c r="D920" s="9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11"/>
      <c r="D921" s="9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11"/>
      <c r="D922" s="9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11"/>
      <c r="D923" s="9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11"/>
      <c r="D924" s="9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11"/>
      <c r="D925" s="9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11"/>
      <c r="D926" s="9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11"/>
      <c r="D927" s="9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11"/>
      <c r="D928" s="9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11"/>
      <c r="D929" s="9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11"/>
      <c r="D930" s="9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11"/>
      <c r="D931" s="9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11"/>
      <c r="D932" s="9"/>
      <c r="E932" s="10"/>
      <c r="F932" s="10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11"/>
      <c r="D933" s="9"/>
      <c r="E933" s="10"/>
      <c r="F933" s="10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11"/>
      <c r="D934" s="9"/>
      <c r="E934" s="10"/>
      <c r="F934" s="10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11"/>
      <c r="D935" s="9"/>
      <c r="E935" s="10"/>
      <c r="F935" s="10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11"/>
      <c r="D936" s="9"/>
      <c r="E936" s="10"/>
      <c r="F936" s="10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11"/>
      <c r="D937" s="9"/>
      <c r="E937" s="10"/>
      <c r="F937" s="10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11"/>
      <c r="D938" s="9"/>
      <c r="E938" s="10"/>
      <c r="F938" s="10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11"/>
      <c r="D939" s="9"/>
      <c r="E939" s="10"/>
      <c r="F939" s="10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11"/>
      <c r="D940" s="9"/>
      <c r="E940" s="10"/>
      <c r="F940" s="10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11"/>
      <c r="D941" s="9"/>
      <c r="E941" s="10"/>
      <c r="F941" s="10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11"/>
      <c r="D942" s="9"/>
      <c r="E942" s="10"/>
      <c r="F942" s="10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11"/>
      <c r="D943" s="9"/>
      <c r="E943" s="10"/>
      <c r="F943" s="10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11"/>
      <c r="D944" s="9"/>
      <c r="E944" s="10"/>
      <c r="F944" s="10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11"/>
      <c r="D945" s="9"/>
      <c r="E945" s="10"/>
      <c r="F945" s="10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11"/>
      <c r="D946" s="9"/>
      <c r="E946" s="10"/>
      <c r="F946" s="10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11"/>
      <c r="D947" s="9"/>
      <c r="E947" s="10"/>
      <c r="F947" s="10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11"/>
      <c r="D948" s="9"/>
      <c r="E948" s="10"/>
      <c r="F948" s="10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11"/>
      <c r="D949" s="9"/>
      <c r="E949" s="10"/>
      <c r="F949" s="10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11"/>
      <c r="D950" s="9"/>
      <c r="E950" s="10"/>
      <c r="F950" s="10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11"/>
      <c r="D951" s="9"/>
      <c r="E951" s="10"/>
      <c r="F951" s="10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11"/>
      <c r="D952" s="9"/>
      <c r="E952" s="10"/>
      <c r="F952" s="10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11"/>
      <c r="D953" s="9"/>
      <c r="E953" s="10"/>
      <c r="F953" s="10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11"/>
      <c r="D954" s="9"/>
      <c r="E954" s="10"/>
      <c r="F954" s="10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11"/>
      <c r="D955" s="9"/>
      <c r="E955" s="10"/>
      <c r="F955" s="10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11"/>
      <c r="D956" s="9"/>
      <c r="E956" s="10"/>
      <c r="F956" s="10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11"/>
      <c r="D957" s="9"/>
      <c r="E957" s="10"/>
      <c r="F957" s="10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11"/>
      <c r="D958" s="9"/>
      <c r="E958" s="10"/>
      <c r="F958" s="10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11"/>
      <c r="D959" s="9"/>
      <c r="E959" s="10"/>
      <c r="F959" s="10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11"/>
      <c r="D960" s="9"/>
      <c r="E960" s="10"/>
      <c r="F960" s="10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11"/>
      <c r="D961" s="9"/>
      <c r="E961" s="10"/>
      <c r="F961" s="10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11"/>
      <c r="D962" s="9"/>
      <c r="E962" s="10"/>
      <c r="F962" s="10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11"/>
      <c r="D963" s="9"/>
      <c r="E963" s="10"/>
      <c r="F963" s="10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11"/>
      <c r="D964" s="9"/>
      <c r="E964" s="10"/>
      <c r="F964" s="10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11"/>
      <c r="D965" s="9"/>
      <c r="E965" s="10"/>
      <c r="F965" s="10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11"/>
      <c r="D966" s="9"/>
      <c r="E966" s="10"/>
      <c r="F966" s="10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11"/>
      <c r="D967" s="9"/>
      <c r="E967" s="10"/>
      <c r="F967" s="10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11"/>
      <c r="D968" s="9"/>
      <c r="E968" s="10"/>
      <c r="F968" s="10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11"/>
      <c r="D969" s="9"/>
      <c r="E969" s="10"/>
      <c r="F969" s="10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11"/>
      <c r="D970" s="9"/>
      <c r="E970" s="10"/>
      <c r="F970" s="10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11"/>
      <c r="D971" s="9"/>
      <c r="E971" s="10"/>
      <c r="F971" s="10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11"/>
      <c r="D972" s="9"/>
      <c r="E972" s="10"/>
      <c r="F972" s="10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11"/>
      <c r="D973" s="9"/>
      <c r="E973" s="10"/>
      <c r="F973" s="10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11"/>
      <c r="D974" s="9"/>
      <c r="E974" s="10"/>
      <c r="F974" s="10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11"/>
      <c r="D975" s="9"/>
      <c r="E975" s="10"/>
      <c r="F975" s="10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11"/>
      <c r="D976" s="9"/>
      <c r="E976" s="10"/>
      <c r="F976" s="10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11"/>
      <c r="D977" s="9"/>
      <c r="E977" s="10"/>
      <c r="F977" s="10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11"/>
      <c r="D978" s="9"/>
      <c r="E978" s="10"/>
      <c r="F978" s="10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11"/>
      <c r="D979" s="9"/>
      <c r="E979" s="10"/>
      <c r="F979" s="10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11"/>
      <c r="D980" s="9"/>
      <c r="E980" s="10"/>
      <c r="F980" s="10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11"/>
      <c r="D981" s="9"/>
      <c r="E981" s="10"/>
      <c r="F981" s="10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11"/>
      <c r="D982" s="9"/>
      <c r="E982" s="10"/>
      <c r="F982" s="10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11"/>
      <c r="D983" s="9"/>
      <c r="E983" s="10"/>
      <c r="F983" s="10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11"/>
      <c r="D984" s="9"/>
      <c r="E984" s="10"/>
      <c r="F984" s="10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11"/>
      <c r="D985" s="9"/>
      <c r="E985" s="10"/>
      <c r="F985" s="10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11"/>
      <c r="D986" s="9"/>
      <c r="E986" s="10"/>
      <c r="F986" s="10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11"/>
      <c r="D987" s="9"/>
      <c r="E987" s="10"/>
      <c r="F987" s="10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11"/>
      <c r="D988" s="9"/>
      <c r="E988" s="10"/>
      <c r="F988" s="10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11"/>
      <c r="D989" s="9"/>
      <c r="E989" s="10"/>
      <c r="F989" s="10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11"/>
      <c r="D990" s="9"/>
      <c r="E990" s="10"/>
      <c r="F990" s="10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11"/>
      <c r="D991" s="9"/>
      <c r="E991" s="10"/>
      <c r="F991" s="10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11"/>
      <c r="D992" s="9"/>
      <c r="E992" s="10"/>
      <c r="F992" s="10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11"/>
      <c r="D993" s="9"/>
      <c r="E993" s="10"/>
      <c r="F993" s="10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11"/>
      <c r="D994" s="9"/>
      <c r="E994" s="10"/>
      <c r="F994" s="10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11"/>
      <c r="D995" s="9"/>
      <c r="E995" s="10"/>
      <c r="F995" s="10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11"/>
      <c r="D996" s="9"/>
      <c r="E996" s="10"/>
      <c r="F996" s="10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11"/>
      <c r="D997" s="9"/>
      <c r="E997" s="10"/>
      <c r="F997" s="10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11"/>
      <c r="D998" s="9"/>
      <c r="E998" s="10"/>
      <c r="F998" s="10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11"/>
      <c r="D999" s="9"/>
      <c r="E999" s="10"/>
      <c r="F999" s="10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11"/>
      <c r="D1000" s="9"/>
      <c r="E1000" s="10"/>
      <c r="F1000" s="10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11"/>
      <c r="D1001" s="9"/>
      <c r="E1001" s="10"/>
      <c r="F1001" s="10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8.25"/>
    <col customWidth="1" min="3" max="3" width="28.88"/>
    <col customWidth="1" hidden="1" min="4" max="4" width="7.75"/>
    <col customWidth="1" min="5" max="7" width="11.88"/>
    <col customWidth="1" hidden="1" min="8" max="8" width="8.38"/>
    <col customWidth="1" min="9" max="11" width="8.38"/>
    <col customWidth="1" hidden="1" min="12" max="12" width="9.63"/>
    <col customWidth="1" hidden="1" min="13" max="13" width="7.5"/>
    <col customWidth="1" hidden="1" min="14" max="14" width="12.63"/>
    <col customWidth="1" hidden="1" min="15" max="15" width="6.88"/>
    <col customWidth="1" hidden="1" min="16" max="16" width="12.13"/>
    <col customWidth="1" hidden="1" min="17" max="17" width="10.63"/>
    <col customWidth="1" hidden="1" min="18" max="18" width="5.5"/>
    <col customWidth="1" hidden="1" min="19" max="19" width="7.38"/>
    <col customWidth="1" hidden="1" min="20" max="20" width="6.13"/>
    <col customWidth="1" hidden="1" min="21" max="21" width="6.63"/>
    <col customWidth="1" hidden="1" min="22" max="22" width="3.5"/>
    <col customWidth="1" hidden="1" min="23" max="23" width="7.13"/>
    <col customWidth="1" hidden="1" min="24" max="24" width="7.0"/>
    <col customWidth="1" hidden="1" min="25" max="25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tr">
        <f>IFERROR(__xludf.DUMMYFUNCTION("FILTER(Master!A:Z, Master!N:N = ""X"")"),"Adventuring Gear")</f>
        <v>Adventuring Gear</v>
      </c>
      <c r="B2" s="4" t="str">
        <f>IFERROR(__xludf.DUMMYFUNCTION("""COMPUTED_VALUE"""),"-")</f>
        <v>-</v>
      </c>
      <c r="C2" s="8" t="str">
        <f>IFERROR(__xludf.DUMMYFUNCTION("""COMPUTED_VALUE"""),"Waterskin")</f>
        <v>Waterskin</v>
      </c>
      <c r="D2" s="5">
        <f>IFERROR(__xludf.DUMMYFUNCTION("""COMPUTED_VALUE"""),5.0)</f>
        <v>5</v>
      </c>
      <c r="E2" s="6">
        <f>IFERROR(__xludf.DUMMYFUNCTION("""COMPUTED_VALUE"""),0.2)</f>
        <v>0.2</v>
      </c>
      <c r="F2" s="6">
        <f>IFERROR(__xludf.DUMMYFUNCTION("""COMPUTED_VALUE"""),0.15000000000000002)</f>
        <v>0.15</v>
      </c>
      <c r="G2" s="6">
        <f>IFERROR(__xludf.DUMMYFUNCTION("""COMPUTED_VALUE"""),0.30000000000000004)</f>
        <v>0.3</v>
      </c>
      <c r="H2" s="4" t="str">
        <f>IFERROR(__xludf.DUMMYFUNCTION("""COMPUTED_VALUE"""),"PHB 2024")</f>
        <v>PHB 2024</v>
      </c>
      <c r="I2" s="4" t="str">
        <f>IFERROR(__xludf.DUMMYFUNCTION("""COMPUTED_VALUE"""),"x")</f>
        <v>x</v>
      </c>
      <c r="J2" s="4" t="str">
        <f>IFERROR(__xludf.DUMMYFUNCTION("""COMPUTED_VALUE"""),"x")</f>
        <v>x</v>
      </c>
      <c r="K2" s="4" t="str">
        <f>IFERROR(__xludf.DUMMYFUNCTION("""COMPUTED_VALUE"""),"x")</f>
        <v>x</v>
      </c>
      <c r="L2" s="7"/>
      <c r="M2" s="7"/>
      <c r="N2" s="7" t="str">
        <f>IFERROR(__xludf.DUMMYFUNCTION("""COMPUTED_VALUE"""),"x")</f>
        <v>x</v>
      </c>
      <c r="O2" s="7" t="str">
        <f>IFERROR(__xludf.DUMMYFUNCTION("""COMPUTED_VALUE"""),"x")</f>
        <v>x</v>
      </c>
      <c r="P2" s="7"/>
      <c r="Q2" s="7" t="str">
        <f>IFERROR(__xludf.DUMMYFUNCTION("""COMPUTED_VALUE"""),"x")</f>
        <v>x</v>
      </c>
      <c r="R2" s="7"/>
      <c r="S2" s="7"/>
      <c r="T2" s="4"/>
      <c r="U2" s="7"/>
      <c r="V2" s="7"/>
      <c r="W2" s="7"/>
      <c r="X2" s="7"/>
      <c r="Y2" s="7"/>
    </row>
    <row r="3">
      <c r="A3" s="4" t="str">
        <f>IFERROR(__xludf.DUMMYFUNCTION("""COMPUTED_VALUE"""),"Armor")</f>
        <v>Armor</v>
      </c>
      <c r="B3" s="4" t="str">
        <f>IFERROR(__xludf.DUMMYFUNCTION("""COMPUTED_VALUE"""),"Light Armor")</f>
        <v>Light Armor</v>
      </c>
      <c r="C3" s="8" t="str">
        <f>IFERROR(__xludf.DUMMYFUNCTION("""COMPUTED_VALUE"""),"Leather Armor")</f>
        <v>Leather Armor</v>
      </c>
      <c r="D3" s="5">
        <f>IFERROR(__xludf.DUMMYFUNCTION("""COMPUTED_VALUE"""),10.0)</f>
        <v>10</v>
      </c>
      <c r="E3" s="6">
        <f>IFERROR(__xludf.DUMMYFUNCTION("""COMPUTED_VALUE"""),10.0)</f>
        <v>10</v>
      </c>
      <c r="F3" s="6">
        <f>IFERROR(__xludf.DUMMYFUNCTION("""COMPUTED_VALUE"""),7.5)</f>
        <v>7.5</v>
      </c>
      <c r="G3" s="6">
        <f>IFERROR(__xludf.DUMMYFUNCTION("""COMPUTED_VALUE"""),15.0)</f>
        <v>15</v>
      </c>
      <c r="H3" s="4" t="str">
        <f>IFERROR(__xludf.DUMMYFUNCTION("""COMPUTED_VALUE"""),"PHB 2024")</f>
        <v>PHB 2024</v>
      </c>
      <c r="I3" s="4" t="str">
        <f>IFERROR(__xludf.DUMMYFUNCTION("""COMPUTED_VALUE"""),"x")</f>
        <v>x</v>
      </c>
      <c r="J3" s="4" t="str">
        <f>IFERROR(__xludf.DUMMYFUNCTION("""COMPUTED_VALUE"""),"x")</f>
        <v>x</v>
      </c>
      <c r="K3" s="4" t="str">
        <f>IFERROR(__xludf.DUMMYFUNCTION("""COMPUTED_VALUE"""),"x")</f>
        <v>x</v>
      </c>
      <c r="L3" s="7"/>
      <c r="M3" s="7"/>
      <c r="N3" s="7" t="str">
        <f>IFERROR(__xludf.DUMMYFUNCTION("""COMPUTED_VALUE"""),"x")</f>
        <v>x</v>
      </c>
      <c r="O3" s="7"/>
      <c r="P3" s="7"/>
      <c r="Q3" s="7" t="str">
        <f>IFERROR(__xludf.DUMMYFUNCTION("""COMPUTED_VALUE"""),"x")</f>
        <v>x</v>
      </c>
      <c r="R3" s="7"/>
      <c r="S3" s="7"/>
      <c r="T3" s="4"/>
      <c r="U3" s="7"/>
      <c r="V3" s="7"/>
      <c r="W3" s="7" t="str">
        <f>IFERROR(__xludf.DUMMYFUNCTION("""COMPUTED_VALUE"""),"x")</f>
        <v>x</v>
      </c>
      <c r="X3" s="7"/>
      <c r="Y3" s="7"/>
    </row>
    <row r="4">
      <c r="A4" s="4" t="str">
        <f>IFERROR(__xludf.DUMMYFUNCTION("""COMPUTED_VALUE"""),"Armor")</f>
        <v>Armor</v>
      </c>
      <c r="B4" s="4" t="str">
        <f>IFERROR(__xludf.DUMMYFUNCTION("""COMPUTED_VALUE"""),"Light Armor")</f>
        <v>Light Armor</v>
      </c>
      <c r="C4" s="8" t="str">
        <f>IFERROR(__xludf.DUMMYFUNCTION("""COMPUTED_VALUE"""),"Studded Leather Armor")</f>
        <v>Studded Leather Armor</v>
      </c>
      <c r="D4" s="5">
        <f>IFERROR(__xludf.DUMMYFUNCTION("""COMPUTED_VALUE"""),13.0)</f>
        <v>13</v>
      </c>
      <c r="E4" s="6">
        <f>IFERROR(__xludf.DUMMYFUNCTION("""COMPUTED_VALUE"""),45.0)</f>
        <v>45</v>
      </c>
      <c r="F4" s="6">
        <f>IFERROR(__xludf.DUMMYFUNCTION("""COMPUTED_VALUE"""),33.75)</f>
        <v>33.75</v>
      </c>
      <c r="G4" s="6">
        <f>IFERROR(__xludf.DUMMYFUNCTION("""COMPUTED_VALUE"""),67.5)</f>
        <v>67.5</v>
      </c>
      <c r="H4" s="4" t="str">
        <f>IFERROR(__xludf.DUMMYFUNCTION("""COMPUTED_VALUE"""),"PHB 2024")</f>
        <v>PHB 2024</v>
      </c>
      <c r="I4" s="4"/>
      <c r="J4" s="4" t="str">
        <f>IFERROR(__xludf.DUMMYFUNCTION("""COMPUTED_VALUE"""),"x")</f>
        <v>x</v>
      </c>
      <c r="K4" s="4" t="str">
        <f>IFERROR(__xludf.DUMMYFUNCTION("""COMPUTED_VALUE"""),"x")</f>
        <v>x</v>
      </c>
      <c r="L4" s="7"/>
      <c r="M4" s="4"/>
      <c r="N4" s="7" t="str">
        <f>IFERROR(__xludf.DUMMYFUNCTION("""COMPUTED_VALUE"""),"x")</f>
        <v>x</v>
      </c>
      <c r="O4" s="7"/>
      <c r="P4" s="7"/>
      <c r="Q4" s="4" t="str">
        <f>IFERROR(__xludf.DUMMYFUNCTION("""COMPUTED_VALUE"""),"x")</f>
        <v>x</v>
      </c>
      <c r="R4" s="7"/>
      <c r="S4" s="7"/>
      <c r="T4" s="7"/>
      <c r="U4" s="7"/>
      <c r="V4" s="7"/>
      <c r="W4" s="7" t="str">
        <f>IFERROR(__xludf.DUMMYFUNCTION("""COMPUTED_VALUE"""),"x")</f>
        <v>x</v>
      </c>
      <c r="X4" s="7"/>
      <c r="Y4" s="7"/>
    </row>
    <row r="5">
      <c r="A5" s="4" t="str">
        <f>IFERROR(__xludf.DUMMYFUNCTION("""COMPUTED_VALUE"""),"Armor")</f>
        <v>Armor</v>
      </c>
      <c r="B5" s="4" t="str">
        <f>IFERROR(__xludf.DUMMYFUNCTION("""COMPUTED_VALUE"""),"Medium Armor")</f>
        <v>Medium Armor</v>
      </c>
      <c r="C5" s="8" t="str">
        <f>IFERROR(__xludf.DUMMYFUNCTION("""COMPUTED_VALUE"""),"Hide Armor")</f>
        <v>Hide Armor</v>
      </c>
      <c r="D5" s="5">
        <f>IFERROR(__xludf.DUMMYFUNCTION("""COMPUTED_VALUE"""),12.0)</f>
        <v>12</v>
      </c>
      <c r="E5" s="6">
        <f>IFERROR(__xludf.DUMMYFUNCTION("""COMPUTED_VALUE"""),10.0)</f>
        <v>10</v>
      </c>
      <c r="F5" s="6">
        <f>IFERROR(__xludf.DUMMYFUNCTION("""COMPUTED_VALUE"""),7.5)</f>
        <v>7.5</v>
      </c>
      <c r="G5" s="6">
        <f>IFERROR(__xludf.DUMMYFUNCTION("""COMPUTED_VALUE"""),15.0)</f>
        <v>15</v>
      </c>
      <c r="H5" s="4" t="str">
        <f>IFERROR(__xludf.DUMMYFUNCTION("""COMPUTED_VALUE"""),"PHB 2024")</f>
        <v>PHB 2024</v>
      </c>
      <c r="I5" s="4" t="str">
        <f>IFERROR(__xludf.DUMMYFUNCTION("""COMPUTED_VALUE"""),"x")</f>
        <v>x</v>
      </c>
      <c r="J5" s="4" t="str">
        <f>IFERROR(__xludf.DUMMYFUNCTION("""COMPUTED_VALUE"""),"x")</f>
        <v>x</v>
      </c>
      <c r="K5" s="4" t="str">
        <f>IFERROR(__xludf.DUMMYFUNCTION("""COMPUTED_VALUE"""),"x")</f>
        <v>x</v>
      </c>
      <c r="L5" s="7"/>
      <c r="M5" s="4"/>
      <c r="N5" s="7" t="str">
        <f>IFERROR(__xludf.DUMMYFUNCTION("""COMPUTED_VALUE"""),"x")</f>
        <v>x</v>
      </c>
      <c r="O5" s="7"/>
      <c r="P5" s="7"/>
      <c r="Q5" s="4" t="str">
        <f>IFERROR(__xludf.DUMMYFUNCTION("""COMPUTED_VALUE"""),"x")</f>
        <v>x</v>
      </c>
      <c r="R5" s="7"/>
      <c r="S5" s="7"/>
      <c r="T5" s="7"/>
      <c r="U5" s="7"/>
      <c r="V5" s="7"/>
      <c r="W5" s="7"/>
      <c r="X5" s="7"/>
      <c r="Y5" s="7"/>
    </row>
    <row r="6">
      <c r="A6" s="4" t="str">
        <f>IFERROR(__xludf.DUMMYFUNCTION("""COMPUTED_VALUE"""),"Armor")</f>
        <v>Armor</v>
      </c>
      <c r="B6" s="4" t="str">
        <f>IFERROR(__xludf.DUMMYFUNCTION("""COMPUTED_VALUE"""),"Shield")</f>
        <v>Shield</v>
      </c>
      <c r="C6" s="4" t="str">
        <f>IFERROR(__xludf.DUMMYFUNCTION("""COMPUTED_VALUE"""),"Shield")</f>
        <v>Shield</v>
      </c>
      <c r="D6" s="5">
        <f>IFERROR(__xludf.DUMMYFUNCTION("""COMPUTED_VALUE"""),6.0)</f>
        <v>6</v>
      </c>
      <c r="E6" s="6">
        <f>IFERROR(__xludf.DUMMYFUNCTION("""COMPUTED_VALUE"""),10.0)</f>
        <v>10</v>
      </c>
      <c r="F6" s="6">
        <f>IFERROR(__xludf.DUMMYFUNCTION("""COMPUTED_VALUE"""),7.5)</f>
        <v>7.5</v>
      </c>
      <c r="G6" s="6">
        <f>IFERROR(__xludf.DUMMYFUNCTION("""COMPUTED_VALUE"""),15.0)</f>
        <v>15</v>
      </c>
      <c r="H6" s="4" t="str">
        <f>IFERROR(__xludf.DUMMYFUNCTION("""COMPUTED_VALUE"""),"PHB 2024")</f>
        <v>PHB 2024</v>
      </c>
      <c r="I6" s="4" t="str">
        <f>IFERROR(__xludf.DUMMYFUNCTION("""COMPUTED_VALUE"""),"x")</f>
        <v>x</v>
      </c>
      <c r="J6" s="4" t="str">
        <f>IFERROR(__xludf.DUMMYFUNCTION("""COMPUTED_VALUE"""),"x")</f>
        <v>x</v>
      </c>
      <c r="K6" s="4" t="str">
        <f>IFERROR(__xludf.DUMMYFUNCTION("""COMPUTED_VALUE"""),"x")</f>
        <v>x</v>
      </c>
      <c r="L6" s="7"/>
      <c r="M6" s="7"/>
      <c r="N6" s="7" t="str">
        <f>IFERROR(__xludf.DUMMYFUNCTION("""COMPUTED_VALUE"""),"x")</f>
        <v>x</v>
      </c>
      <c r="O6" s="7"/>
      <c r="P6" s="7"/>
      <c r="Q6" s="7"/>
      <c r="R6" s="7"/>
      <c r="S6" s="7"/>
      <c r="T6" s="7"/>
      <c r="U6" s="7"/>
      <c r="V6" s="7"/>
      <c r="W6" s="4"/>
      <c r="X6" s="4"/>
      <c r="Y6" s="4"/>
    </row>
    <row r="7">
      <c r="A7" s="4" t="str">
        <f>IFERROR(__xludf.DUMMYFUNCTION("""COMPUTED_VALUE"""),"Tools")</f>
        <v>Tools</v>
      </c>
      <c r="B7" s="4" t="str">
        <f>IFERROR(__xludf.DUMMYFUNCTION("""COMPUTED_VALUE"""),"Artisan's Tools")</f>
        <v>Artisan's Tools</v>
      </c>
      <c r="C7" s="8" t="str">
        <f>IFERROR(__xludf.DUMMYFUNCTION("""COMPUTED_VALUE"""),"Cobbler's Tools")</f>
        <v>Cobbler's Tools</v>
      </c>
      <c r="D7" s="5">
        <f>IFERROR(__xludf.DUMMYFUNCTION("""COMPUTED_VALUE"""),5.0)</f>
        <v>5</v>
      </c>
      <c r="E7" s="6">
        <f>IFERROR(__xludf.DUMMYFUNCTION("""COMPUTED_VALUE"""),5.0)</f>
        <v>5</v>
      </c>
      <c r="F7" s="6">
        <f>IFERROR(__xludf.DUMMYFUNCTION("""COMPUTED_VALUE"""),3.75)</f>
        <v>3.75</v>
      </c>
      <c r="G7" s="6">
        <f>IFERROR(__xludf.DUMMYFUNCTION("""COMPUTED_VALUE"""),7.5)</f>
        <v>7.5</v>
      </c>
      <c r="H7" s="4" t="str">
        <f>IFERROR(__xludf.DUMMYFUNCTION("""COMPUTED_VALUE"""),"PHB 2024")</f>
        <v>PHB 2024</v>
      </c>
      <c r="I7" s="4" t="str">
        <f>IFERROR(__xludf.DUMMYFUNCTION("""COMPUTED_VALUE"""),"x")</f>
        <v>x</v>
      </c>
      <c r="J7" s="4" t="str">
        <f>IFERROR(__xludf.DUMMYFUNCTION("""COMPUTED_VALUE"""),"x")</f>
        <v>x</v>
      </c>
      <c r="K7" s="4" t="str">
        <f>IFERROR(__xludf.DUMMYFUNCTION("""COMPUTED_VALUE"""),"x")</f>
        <v>x</v>
      </c>
      <c r="L7" s="7"/>
      <c r="M7" s="7"/>
      <c r="N7" s="7" t="str">
        <f>IFERROR(__xludf.DUMMYFUNCTION("""COMPUTED_VALUE"""),"x")</f>
        <v>x</v>
      </c>
      <c r="O7" s="7"/>
      <c r="P7" s="7" t="str">
        <f>IFERROR(__xludf.DUMMYFUNCTION("""COMPUTED_VALUE"""),"x")</f>
        <v>x</v>
      </c>
      <c r="Q7" s="4"/>
      <c r="R7" s="7"/>
      <c r="S7" s="7"/>
      <c r="T7" s="7"/>
      <c r="U7" s="7"/>
      <c r="V7" s="7"/>
      <c r="W7" s="7"/>
      <c r="X7" s="7"/>
      <c r="Y7" s="7"/>
    </row>
    <row r="8">
      <c r="A8" s="4" t="str">
        <f>IFERROR(__xludf.DUMMYFUNCTION("""COMPUTED_VALUE"""),"Tools")</f>
        <v>Tools</v>
      </c>
      <c r="B8" s="4" t="str">
        <f>IFERROR(__xludf.DUMMYFUNCTION("""COMPUTED_VALUE"""),"Artisan's Tools")</f>
        <v>Artisan's Tools</v>
      </c>
      <c r="C8" s="8" t="str">
        <f>IFERROR(__xludf.DUMMYFUNCTION("""COMPUTED_VALUE"""),"Leatherworker's Tools")</f>
        <v>Leatherworker's Tools</v>
      </c>
      <c r="D8" s="5">
        <f>IFERROR(__xludf.DUMMYFUNCTION("""COMPUTED_VALUE"""),5.0)</f>
        <v>5</v>
      </c>
      <c r="E8" s="6">
        <f>IFERROR(__xludf.DUMMYFUNCTION("""COMPUTED_VALUE"""),5.0)</f>
        <v>5</v>
      </c>
      <c r="F8" s="6">
        <f>IFERROR(__xludf.DUMMYFUNCTION("""COMPUTED_VALUE"""),3.75)</f>
        <v>3.75</v>
      </c>
      <c r="G8" s="6">
        <f>IFERROR(__xludf.DUMMYFUNCTION("""COMPUTED_VALUE"""),7.5)</f>
        <v>7.5</v>
      </c>
      <c r="H8" s="4" t="str">
        <f>IFERROR(__xludf.DUMMYFUNCTION("""COMPUTED_VALUE"""),"PHB 2024")</f>
        <v>PHB 2024</v>
      </c>
      <c r="I8" s="4" t="str">
        <f>IFERROR(__xludf.DUMMYFUNCTION("""COMPUTED_VALUE"""),"x")</f>
        <v>x</v>
      </c>
      <c r="J8" s="4" t="str">
        <f>IFERROR(__xludf.DUMMYFUNCTION("""COMPUTED_VALUE"""),"x")</f>
        <v>x</v>
      </c>
      <c r="K8" s="4" t="str">
        <f>IFERROR(__xludf.DUMMYFUNCTION("""COMPUTED_VALUE"""),"x")</f>
        <v>x</v>
      </c>
      <c r="L8" s="7"/>
      <c r="M8" s="7"/>
      <c r="N8" s="7" t="str">
        <f>IFERROR(__xludf.DUMMYFUNCTION("""COMPUTED_VALUE"""),"x")</f>
        <v>x</v>
      </c>
      <c r="O8" s="7"/>
      <c r="P8" s="7" t="str">
        <f>IFERROR(__xludf.DUMMYFUNCTION("""COMPUTED_VALUE"""),"x")</f>
        <v>x</v>
      </c>
      <c r="Q8" s="4"/>
      <c r="R8" s="7"/>
      <c r="S8" s="7"/>
      <c r="T8" s="7"/>
      <c r="U8" s="7"/>
      <c r="V8" s="7"/>
      <c r="W8" s="7"/>
      <c r="X8" s="7"/>
      <c r="Y8" s="7"/>
    </row>
    <row r="9">
      <c r="A9" s="4" t="str">
        <f>IFERROR(__xludf.DUMMYFUNCTION("""COMPUTED_VALUE"""),"Tools")</f>
        <v>Tools</v>
      </c>
      <c r="B9" s="4" t="str">
        <f>IFERROR(__xludf.DUMMYFUNCTION("""COMPUTED_VALUE"""),"Musical Instrument")</f>
        <v>Musical Instrument</v>
      </c>
      <c r="C9" s="8" t="str">
        <f>IFERROR(__xludf.DUMMYFUNCTION("""COMPUTED_VALUE"""),"Bagpipes")</f>
        <v>Bagpipes</v>
      </c>
      <c r="D9" s="5">
        <f>IFERROR(__xludf.DUMMYFUNCTION("""COMPUTED_VALUE"""),6.0)</f>
        <v>6</v>
      </c>
      <c r="E9" s="6">
        <f>IFERROR(__xludf.DUMMYFUNCTION("""COMPUTED_VALUE"""),30.0)</f>
        <v>30</v>
      </c>
      <c r="F9" s="6">
        <f>IFERROR(__xludf.DUMMYFUNCTION("""COMPUTED_VALUE"""),22.5)</f>
        <v>22.5</v>
      </c>
      <c r="G9" s="6">
        <f>IFERROR(__xludf.DUMMYFUNCTION("""COMPUTED_VALUE"""),45.0)</f>
        <v>45</v>
      </c>
      <c r="H9" s="4" t="str">
        <f>IFERROR(__xludf.DUMMYFUNCTION("""COMPUTED_VALUE"""),"PHB 2024")</f>
        <v>PHB 2024</v>
      </c>
      <c r="I9" s="4"/>
      <c r="J9" s="4"/>
      <c r="K9" s="4" t="str">
        <f>IFERROR(__xludf.DUMMYFUNCTION("""COMPUTED_VALUE"""),"x")</f>
        <v>x</v>
      </c>
      <c r="L9" s="7"/>
      <c r="M9" s="7"/>
      <c r="N9" s="7" t="str">
        <f>IFERROR(__xludf.DUMMYFUNCTION("""COMPUTED_VALUE"""),"x")</f>
        <v>x</v>
      </c>
      <c r="O9" s="7"/>
      <c r="P9" s="7"/>
      <c r="Q9" s="7"/>
      <c r="R9" s="7"/>
      <c r="S9" s="7"/>
      <c r="T9" s="4"/>
      <c r="U9" s="7"/>
      <c r="V9" s="7"/>
      <c r="W9" s="7"/>
      <c r="X9" s="7" t="str">
        <f>IFERROR(__xludf.DUMMYFUNCTION("""COMPUTED_VALUE"""),"x")</f>
        <v>x</v>
      </c>
      <c r="Y9" s="7"/>
    </row>
    <row r="10">
      <c r="A10" s="4" t="str">
        <f>IFERROR(__xludf.DUMMYFUNCTION("""COMPUTED_VALUE"""),"Tools")</f>
        <v>Tools</v>
      </c>
      <c r="B10" s="4" t="str">
        <f>IFERROR(__xludf.DUMMYFUNCTION("""COMPUTED_VALUE"""),"Musical Instrument")</f>
        <v>Musical Instrument</v>
      </c>
      <c r="C10" s="8" t="str">
        <f>IFERROR(__xludf.DUMMYFUNCTION("""COMPUTED_VALUE"""),"Drum")</f>
        <v>Drum</v>
      </c>
      <c r="D10" s="5">
        <f>IFERROR(__xludf.DUMMYFUNCTION("""COMPUTED_VALUE"""),3.0)</f>
        <v>3</v>
      </c>
      <c r="E10" s="6">
        <f>IFERROR(__xludf.DUMMYFUNCTION("""COMPUTED_VALUE"""),6.0)</f>
        <v>6</v>
      </c>
      <c r="F10" s="6">
        <f>IFERROR(__xludf.DUMMYFUNCTION("""COMPUTED_VALUE"""),4.5)</f>
        <v>4.5</v>
      </c>
      <c r="G10" s="6">
        <f>IFERROR(__xludf.DUMMYFUNCTION("""COMPUTED_VALUE"""),9.0)</f>
        <v>9</v>
      </c>
      <c r="H10" s="4" t="str">
        <f>IFERROR(__xludf.DUMMYFUNCTION("""COMPUTED_VALUE"""),"PHB 2024")</f>
        <v>PHB 2024</v>
      </c>
      <c r="I10" s="4" t="str">
        <f>IFERROR(__xludf.DUMMYFUNCTION("""COMPUTED_VALUE"""),"x")</f>
        <v>x</v>
      </c>
      <c r="J10" s="4" t="str">
        <f>IFERROR(__xludf.DUMMYFUNCTION("""COMPUTED_VALUE"""),"x")</f>
        <v>x</v>
      </c>
      <c r="K10" s="4" t="str">
        <f>IFERROR(__xludf.DUMMYFUNCTION("""COMPUTED_VALUE"""),"x")</f>
        <v>x</v>
      </c>
      <c r="L10" s="7"/>
      <c r="M10" s="7"/>
      <c r="N10" s="7" t="str">
        <f>IFERROR(__xludf.DUMMYFUNCTION("""COMPUTED_VALUE"""),"x")</f>
        <v>x</v>
      </c>
      <c r="O10" s="7"/>
      <c r="P10" s="7"/>
      <c r="Q10" s="7"/>
      <c r="R10" s="7"/>
      <c r="S10" s="4"/>
      <c r="T10" s="7"/>
      <c r="U10" s="4"/>
      <c r="V10" s="7"/>
      <c r="W10" s="7"/>
      <c r="X10" s="7" t="str">
        <f>IFERROR(__xludf.DUMMYFUNCTION("""COMPUTED_VALUE"""),"x")</f>
        <v>x</v>
      </c>
      <c r="Y10" s="7"/>
    </row>
    <row r="11">
      <c r="A11" s="4" t="str">
        <f>IFERROR(__xludf.DUMMYFUNCTION("""COMPUTED_VALUE"""),"Weapons")</f>
        <v>Weapons</v>
      </c>
      <c r="B11" s="4" t="str">
        <f>IFERROR(__xludf.DUMMYFUNCTION("""COMPUTED_VALUE"""),"Simple Ranged Weapons")</f>
        <v>Simple Ranged Weapons</v>
      </c>
      <c r="C11" s="8" t="str">
        <f>IFERROR(__xludf.DUMMYFUNCTION("""COMPUTED_VALUE"""),"Sling")</f>
        <v>Sling</v>
      </c>
      <c r="D11" s="5" t="str">
        <f>IFERROR(__xludf.DUMMYFUNCTION("""COMPUTED_VALUE"""),"-")</f>
        <v>-</v>
      </c>
      <c r="E11" s="6">
        <f>IFERROR(__xludf.DUMMYFUNCTION("""COMPUTED_VALUE"""),0.1)</f>
        <v>0.1</v>
      </c>
      <c r="F11" s="6">
        <f>IFERROR(__xludf.DUMMYFUNCTION("""COMPUTED_VALUE"""),0.07500000000000001)</f>
        <v>0.075</v>
      </c>
      <c r="G11" s="6">
        <f>IFERROR(__xludf.DUMMYFUNCTION("""COMPUTED_VALUE"""),0.15000000000000002)</f>
        <v>0.15</v>
      </c>
      <c r="H11" s="4" t="str">
        <f>IFERROR(__xludf.DUMMYFUNCTION("""COMPUTED_VALUE"""),"PHB 2024")</f>
        <v>PHB 2024</v>
      </c>
      <c r="I11" s="4" t="str">
        <f>IFERROR(__xludf.DUMMYFUNCTION("""COMPUTED_VALUE"""),"x")</f>
        <v>x</v>
      </c>
      <c r="J11" s="4" t="str">
        <f>IFERROR(__xludf.DUMMYFUNCTION("""COMPUTED_VALUE"""),"x")</f>
        <v>x</v>
      </c>
      <c r="K11" s="4" t="str">
        <f>IFERROR(__xludf.DUMMYFUNCTION("""COMPUTED_VALUE"""),"x")</f>
        <v>x</v>
      </c>
      <c r="L11" s="7"/>
      <c r="M11" s="7"/>
      <c r="N11" s="7" t="str">
        <f>IFERROR(__xludf.DUMMYFUNCTION("""COMPUTED_VALUE"""),"x")</f>
        <v>x</v>
      </c>
      <c r="O11" s="7"/>
      <c r="P11" s="7"/>
      <c r="Q11" s="7" t="str">
        <f>IFERROR(__xludf.DUMMYFUNCTION("""COMPUTED_VALUE"""),"x")</f>
        <v>x</v>
      </c>
      <c r="R11" s="7"/>
      <c r="S11" s="4"/>
      <c r="T11" s="7"/>
      <c r="U11" s="4"/>
      <c r="V11" s="7"/>
      <c r="W11" s="7"/>
      <c r="X11" s="7"/>
      <c r="Y11" s="7"/>
    </row>
    <row r="12">
      <c r="A12" s="4"/>
      <c r="B12" s="4"/>
      <c r="C12" s="4"/>
      <c r="D12" s="5"/>
      <c r="E12" s="6"/>
      <c r="F12" s="6"/>
      <c r="G12" s="6"/>
      <c r="H12" s="4"/>
      <c r="I12" s="4"/>
      <c r="J12" s="4"/>
      <c r="K12" s="4"/>
      <c r="L12" s="7"/>
      <c r="M12" s="7"/>
      <c r="N12" s="7"/>
      <c r="O12" s="7"/>
      <c r="P12" s="7"/>
      <c r="Q12" s="7"/>
      <c r="R12" s="7"/>
      <c r="S12" s="7"/>
      <c r="T12" s="7"/>
      <c r="U12" s="4"/>
      <c r="V12" s="7"/>
      <c r="W12" s="7"/>
      <c r="X12" s="7"/>
      <c r="Y12" s="7"/>
    </row>
    <row r="13">
      <c r="A13" s="4"/>
      <c r="B13" s="4"/>
      <c r="C13" s="4"/>
      <c r="D13" s="5"/>
      <c r="E13" s="6"/>
      <c r="F13" s="6"/>
      <c r="G13" s="6"/>
      <c r="H13" s="4"/>
      <c r="I13" s="4"/>
      <c r="J13" s="4"/>
      <c r="K13" s="4"/>
      <c r="L13" s="7"/>
      <c r="M13" s="7"/>
      <c r="N13" s="7"/>
      <c r="O13" s="7"/>
      <c r="P13" s="7"/>
      <c r="Q13" s="7"/>
      <c r="R13" s="7"/>
      <c r="S13" s="7"/>
      <c r="T13" s="7"/>
      <c r="U13" s="4"/>
      <c r="V13" s="7"/>
      <c r="W13" s="7"/>
      <c r="X13" s="7"/>
      <c r="Y13" s="7"/>
    </row>
    <row r="14">
      <c r="A14" s="4"/>
      <c r="B14" s="4"/>
      <c r="C14" s="4"/>
      <c r="D14" s="5"/>
      <c r="E14" s="6"/>
      <c r="F14" s="6"/>
      <c r="G14" s="6"/>
      <c r="H14" s="4"/>
      <c r="I14" s="4"/>
      <c r="J14" s="4"/>
      <c r="K14" s="4"/>
      <c r="L14" s="7"/>
      <c r="M14" s="7"/>
      <c r="N14" s="7"/>
      <c r="O14" s="7"/>
      <c r="P14" s="7"/>
      <c r="Q14" s="7"/>
      <c r="R14" s="7"/>
      <c r="S14" s="7"/>
      <c r="T14" s="7"/>
      <c r="U14" s="4"/>
      <c r="V14" s="7"/>
      <c r="W14" s="7"/>
      <c r="X14" s="7"/>
      <c r="Y14" s="7"/>
    </row>
    <row r="15">
      <c r="A15" s="4"/>
      <c r="B15" s="4"/>
      <c r="C15" s="4"/>
      <c r="D15" s="5"/>
      <c r="E15" s="6"/>
      <c r="F15" s="6"/>
      <c r="G15" s="6"/>
      <c r="H15" s="4"/>
      <c r="I15" s="4"/>
      <c r="J15" s="4"/>
      <c r="K15" s="4"/>
      <c r="L15" s="7"/>
      <c r="M15" s="7"/>
      <c r="N15" s="7"/>
      <c r="O15" s="7"/>
      <c r="P15" s="7"/>
      <c r="Q15" s="4"/>
      <c r="R15" s="7"/>
      <c r="S15" s="7"/>
      <c r="T15" s="7"/>
      <c r="U15" s="7"/>
      <c r="V15" s="7"/>
      <c r="W15" s="7"/>
      <c r="X15" s="7"/>
      <c r="Y15" s="7"/>
    </row>
    <row r="16">
      <c r="A16" s="4"/>
      <c r="B16" s="4"/>
      <c r="C16" s="4"/>
      <c r="D16" s="5"/>
      <c r="E16" s="6"/>
      <c r="F16" s="6"/>
      <c r="G16" s="6"/>
      <c r="H16" s="4"/>
      <c r="I16" s="4"/>
      <c r="J16" s="4"/>
      <c r="K16" s="4"/>
      <c r="L16" s="4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4"/>
      <c r="B17" s="4"/>
      <c r="C17" s="4"/>
      <c r="D17" s="5"/>
      <c r="E17" s="6"/>
      <c r="F17" s="6"/>
      <c r="G17" s="6"/>
      <c r="H17" s="4"/>
      <c r="I17" s="4"/>
      <c r="J17" s="4"/>
      <c r="K17" s="4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</row>
    <row r="18">
      <c r="A18" s="4"/>
      <c r="B18" s="4"/>
      <c r="C18" s="4"/>
      <c r="D18" s="5"/>
      <c r="E18" s="6"/>
      <c r="F18" s="6"/>
      <c r="G18" s="6"/>
      <c r="H18" s="4"/>
      <c r="I18" s="4"/>
      <c r="J18" s="4"/>
      <c r="K18" s="4"/>
      <c r="L18" s="7"/>
      <c r="M18" s="7"/>
      <c r="N18" s="7"/>
      <c r="O18" s="7"/>
      <c r="P18" s="7"/>
      <c r="Q18" s="7"/>
      <c r="R18" s="4"/>
      <c r="S18" s="7"/>
      <c r="T18" s="7"/>
      <c r="U18" s="7"/>
      <c r="V18" s="7"/>
      <c r="W18" s="7"/>
      <c r="X18" s="7"/>
      <c r="Y18" s="7"/>
    </row>
    <row r="19">
      <c r="A19" s="4"/>
      <c r="B19" s="4"/>
      <c r="C19" s="4"/>
      <c r="D19" s="5"/>
      <c r="E19" s="6"/>
      <c r="F19" s="6"/>
      <c r="G19" s="6"/>
      <c r="H19" s="4"/>
      <c r="I19" s="4"/>
      <c r="J19" s="4"/>
      <c r="K19" s="4"/>
      <c r="L19" s="7"/>
      <c r="M19" s="7"/>
      <c r="N19" s="7"/>
      <c r="O19" s="7"/>
      <c r="P19" s="7"/>
      <c r="Q19" s="4"/>
      <c r="R19" s="7"/>
      <c r="S19" s="7"/>
      <c r="T19" s="7"/>
      <c r="U19" s="7"/>
      <c r="V19" s="7"/>
      <c r="W19" s="7"/>
      <c r="X19" s="7"/>
      <c r="Y19" s="7"/>
    </row>
    <row r="20">
      <c r="A20" s="4"/>
      <c r="B20" s="4"/>
      <c r="C20" s="4"/>
      <c r="D20" s="5"/>
      <c r="E20" s="6"/>
      <c r="F20" s="6"/>
      <c r="G20" s="6"/>
      <c r="H20" s="4"/>
      <c r="I20" s="4"/>
      <c r="J20" s="4"/>
      <c r="K20" s="4"/>
      <c r="L20" s="4"/>
      <c r="M20" s="7"/>
      <c r="N20" s="7"/>
      <c r="O20" s="4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4"/>
      <c r="B21" s="4"/>
      <c r="C21" s="4"/>
      <c r="D21" s="5"/>
      <c r="E21" s="6"/>
      <c r="F21" s="6"/>
      <c r="G21" s="6"/>
      <c r="H21" s="4"/>
      <c r="I21" s="4"/>
      <c r="J21" s="4"/>
      <c r="K21" s="4"/>
      <c r="L21" s="7"/>
      <c r="M21" s="7"/>
      <c r="N21" s="7"/>
      <c r="O21" s="4"/>
      <c r="P21" s="4"/>
      <c r="Q21" s="4"/>
      <c r="R21" s="7"/>
      <c r="S21" s="7"/>
      <c r="T21" s="7"/>
      <c r="U21" s="7"/>
      <c r="V21" s="7"/>
      <c r="W21" s="7"/>
      <c r="X21" s="7"/>
      <c r="Y21" s="7"/>
    </row>
    <row r="22">
      <c r="A22" s="4"/>
      <c r="B22" s="4"/>
      <c r="C22" s="4"/>
      <c r="D22" s="5"/>
      <c r="E22" s="6"/>
      <c r="F22" s="6"/>
      <c r="G22" s="6"/>
      <c r="H22" s="4"/>
      <c r="I22" s="4"/>
      <c r="J22" s="4"/>
      <c r="K22" s="4"/>
      <c r="L22" s="4"/>
      <c r="M22" s="7"/>
      <c r="N22" s="7"/>
      <c r="O22" s="7"/>
      <c r="P22" s="7"/>
      <c r="Q22" s="4"/>
      <c r="R22" s="7"/>
      <c r="S22" s="7"/>
      <c r="T22" s="7"/>
      <c r="U22" s="7"/>
      <c r="V22" s="7"/>
      <c r="W22" s="7"/>
      <c r="X22" s="7"/>
      <c r="Y22" s="7"/>
    </row>
    <row r="23">
      <c r="A23" s="4"/>
      <c r="B23" s="4"/>
      <c r="C23" s="4"/>
      <c r="D23" s="5"/>
      <c r="E23" s="6"/>
      <c r="F23" s="6"/>
      <c r="G23" s="6"/>
      <c r="H23" s="4"/>
      <c r="I23" s="4"/>
      <c r="J23" s="4"/>
      <c r="K23" s="4"/>
      <c r="L23" s="7"/>
      <c r="M23" s="7"/>
      <c r="N23" s="7"/>
      <c r="O23" s="4"/>
      <c r="P23" s="7"/>
      <c r="Q23" s="7"/>
      <c r="R23" s="7"/>
      <c r="S23" s="7"/>
      <c r="T23" s="7"/>
      <c r="U23" s="4"/>
      <c r="V23" s="7"/>
      <c r="W23" s="7"/>
      <c r="X23" s="7"/>
      <c r="Y23" s="7"/>
    </row>
    <row r="24">
      <c r="A24" s="4"/>
      <c r="B24" s="4"/>
      <c r="C24" s="4"/>
      <c r="D24" s="5"/>
      <c r="E24" s="6"/>
      <c r="F24" s="6"/>
      <c r="G24" s="6"/>
      <c r="H24" s="4"/>
      <c r="I24" s="4"/>
      <c r="J24" s="4"/>
      <c r="K24" s="4"/>
      <c r="L24" s="7"/>
      <c r="M24" s="7"/>
      <c r="N24" s="7"/>
      <c r="O24" s="7"/>
      <c r="P24" s="4"/>
      <c r="Q24" s="4"/>
      <c r="R24" s="7"/>
      <c r="S24" s="7"/>
      <c r="T24" s="7"/>
      <c r="U24" s="4"/>
      <c r="V24" s="7"/>
      <c r="W24" s="7"/>
      <c r="X24" s="7"/>
      <c r="Y24" s="7"/>
    </row>
    <row r="25">
      <c r="A25" s="4"/>
      <c r="B25" s="4"/>
      <c r="C25" s="4"/>
      <c r="D25" s="5"/>
      <c r="E25" s="6"/>
      <c r="F25" s="6"/>
      <c r="G25" s="6"/>
      <c r="H25" s="4"/>
      <c r="I25" s="4"/>
      <c r="J25" s="4"/>
      <c r="K25" s="4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</row>
    <row r="26">
      <c r="A26" s="4"/>
      <c r="B26" s="4"/>
      <c r="C26" s="4"/>
      <c r="D26" s="5"/>
      <c r="E26" s="6"/>
      <c r="F26" s="6"/>
      <c r="G26" s="6"/>
      <c r="H26" s="4"/>
      <c r="I26" s="4"/>
      <c r="J26" s="4"/>
      <c r="K26" s="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4"/>
      <c r="X26" s="7"/>
      <c r="Y26" s="7"/>
    </row>
    <row r="27">
      <c r="A27" s="4"/>
      <c r="B27" s="4"/>
      <c r="C27" s="4"/>
      <c r="D27" s="5"/>
      <c r="E27" s="6"/>
      <c r="F27" s="6"/>
      <c r="G27" s="6"/>
      <c r="H27" s="4"/>
      <c r="I27" s="4"/>
      <c r="J27" s="4"/>
      <c r="K27" s="4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4"/>
      <c r="X27" s="7"/>
      <c r="Y27" s="7"/>
    </row>
    <row r="28">
      <c r="A28" s="4"/>
      <c r="B28" s="4"/>
      <c r="C28" s="4"/>
      <c r="D28" s="5"/>
      <c r="E28" s="6"/>
      <c r="F28" s="6"/>
      <c r="G28" s="6"/>
      <c r="H28" s="4"/>
      <c r="I28" s="4"/>
      <c r="J28" s="4"/>
      <c r="K28" s="4"/>
      <c r="L28" s="7"/>
      <c r="M28" s="7"/>
      <c r="N28" s="7"/>
      <c r="O28" s="4"/>
      <c r="P28" s="4"/>
      <c r="Q28" s="4"/>
      <c r="R28" s="7"/>
      <c r="S28" s="7"/>
      <c r="T28" s="7"/>
      <c r="U28" s="4"/>
      <c r="V28" s="7"/>
      <c r="W28" s="7"/>
      <c r="X28" s="7"/>
      <c r="Y28" s="7"/>
    </row>
    <row r="29">
      <c r="A29" s="4"/>
      <c r="B29" s="4"/>
      <c r="C29" s="4"/>
      <c r="D29" s="5"/>
      <c r="E29" s="6"/>
      <c r="F29" s="6"/>
      <c r="G29" s="6"/>
      <c r="H29" s="4"/>
      <c r="I29" s="4"/>
      <c r="J29" s="4"/>
      <c r="K29" s="4"/>
      <c r="L29" s="7"/>
      <c r="M29" s="4"/>
      <c r="N29" s="7"/>
      <c r="O29" s="7"/>
      <c r="P29" s="7"/>
      <c r="Q29" s="4"/>
      <c r="R29" s="7"/>
      <c r="S29" s="7"/>
      <c r="T29" s="7"/>
      <c r="U29" s="7"/>
      <c r="V29" s="7"/>
      <c r="W29" s="7"/>
      <c r="X29" s="7"/>
      <c r="Y29" s="7"/>
    </row>
    <row r="30">
      <c r="A30" s="4"/>
      <c r="B30" s="4"/>
      <c r="C30" s="8"/>
      <c r="D30" s="5"/>
      <c r="E30" s="6"/>
      <c r="F30" s="6"/>
      <c r="G30" s="6"/>
      <c r="H30" s="4"/>
      <c r="I30" s="4"/>
      <c r="J30" s="4"/>
      <c r="K30" s="4"/>
      <c r="L30" s="7"/>
      <c r="M30" s="7"/>
      <c r="N30" s="7"/>
      <c r="O30" s="4"/>
      <c r="P30" s="7"/>
      <c r="Q30" s="4"/>
      <c r="R30" s="7"/>
      <c r="S30" s="7"/>
      <c r="T30" s="7"/>
      <c r="U30" s="4"/>
      <c r="V30" s="7"/>
      <c r="W30" s="7"/>
      <c r="X30" s="7"/>
      <c r="Y30" s="7"/>
    </row>
    <row r="31">
      <c r="A31" s="4"/>
      <c r="B31" s="4"/>
      <c r="C31" s="8"/>
      <c r="D31" s="5"/>
      <c r="E31" s="6"/>
      <c r="F31" s="6"/>
      <c r="G31" s="6"/>
      <c r="H31" s="4"/>
      <c r="I31" s="4"/>
      <c r="J31" s="4"/>
      <c r="K31" s="4"/>
      <c r="L31" s="4"/>
      <c r="M31" s="7"/>
      <c r="N31" s="7"/>
      <c r="O31" s="7"/>
      <c r="P31" s="7"/>
      <c r="Q31" s="4"/>
      <c r="R31" s="7"/>
      <c r="S31" s="7"/>
      <c r="T31" s="7"/>
      <c r="U31" s="7"/>
      <c r="V31" s="7"/>
      <c r="W31" s="7"/>
      <c r="X31" s="7"/>
      <c r="Y31" s="7"/>
    </row>
    <row r="32">
      <c r="A32" s="4"/>
      <c r="B32" s="4"/>
      <c r="C32" s="8"/>
      <c r="D32" s="5"/>
      <c r="E32" s="6"/>
      <c r="F32" s="6"/>
      <c r="G32" s="6"/>
      <c r="H32" s="4"/>
      <c r="I32" s="4"/>
      <c r="J32" s="4"/>
      <c r="K32" s="4"/>
      <c r="L32" s="7"/>
      <c r="M32" s="7"/>
      <c r="N32" s="7"/>
      <c r="O32" s="7"/>
      <c r="P32" s="4"/>
      <c r="Q32" s="4"/>
      <c r="R32" s="7"/>
      <c r="S32" s="7"/>
      <c r="T32" s="7"/>
      <c r="U32" s="7"/>
      <c r="V32" s="7"/>
      <c r="W32" s="7"/>
      <c r="X32" s="7"/>
      <c r="Y32" s="7"/>
    </row>
    <row r="33">
      <c r="A33" s="4"/>
      <c r="B33" s="4"/>
      <c r="C33" s="8"/>
      <c r="D33" s="5"/>
      <c r="E33" s="6"/>
      <c r="F33" s="6"/>
      <c r="G33" s="6"/>
      <c r="H33" s="4"/>
      <c r="I33" s="4"/>
      <c r="J33" s="4"/>
      <c r="K33" s="4"/>
      <c r="L33" s="7"/>
      <c r="M33" s="7"/>
      <c r="N33" s="7"/>
      <c r="O33" s="7"/>
      <c r="P33" s="7"/>
      <c r="Q33" s="4"/>
      <c r="R33" s="7"/>
      <c r="S33" s="7"/>
      <c r="T33" s="7"/>
      <c r="U33" s="7"/>
      <c r="V33" s="7"/>
      <c r="W33" s="7"/>
      <c r="X33" s="7"/>
      <c r="Y33" s="7"/>
    </row>
    <row r="34">
      <c r="A34" s="4"/>
      <c r="B34" s="4"/>
      <c r="C34" s="8"/>
      <c r="D34" s="5"/>
      <c r="E34" s="6"/>
      <c r="F34" s="6"/>
      <c r="G34" s="6"/>
      <c r="H34" s="4"/>
      <c r="I34" s="4"/>
      <c r="J34" s="4"/>
      <c r="K34" s="4"/>
      <c r="L34" s="7"/>
      <c r="M34" s="7"/>
      <c r="N34" s="7"/>
      <c r="O34" s="7"/>
      <c r="P34" s="4"/>
      <c r="Q34" s="7"/>
      <c r="R34" s="4"/>
      <c r="S34" s="7"/>
      <c r="T34" s="7"/>
      <c r="U34" s="7"/>
      <c r="V34" s="7"/>
      <c r="W34" s="7"/>
      <c r="X34" s="7"/>
      <c r="Y34" s="7"/>
    </row>
    <row r="35">
      <c r="A35" s="4"/>
      <c r="B35" s="4"/>
      <c r="C35" s="8"/>
      <c r="D35" s="5"/>
      <c r="E35" s="6"/>
      <c r="F35" s="6"/>
      <c r="G35" s="6"/>
      <c r="H35" s="4"/>
      <c r="I35" s="4"/>
      <c r="J35" s="4"/>
      <c r="K35" s="4"/>
      <c r="L35" s="7"/>
      <c r="M35" s="7"/>
      <c r="N35" s="7"/>
      <c r="O35" s="7"/>
      <c r="P35" s="7"/>
      <c r="Q35" s="4"/>
      <c r="R35" s="4"/>
      <c r="S35" s="7"/>
      <c r="T35" s="7"/>
      <c r="U35" s="7"/>
      <c r="V35" s="7"/>
      <c r="W35" s="7"/>
      <c r="X35" s="7"/>
      <c r="Y35" s="7"/>
    </row>
    <row r="36">
      <c r="A36" s="4"/>
      <c r="B36" s="4"/>
      <c r="C36" s="8"/>
      <c r="D36" s="5"/>
      <c r="E36" s="6"/>
      <c r="F36" s="6"/>
      <c r="G36" s="6"/>
      <c r="H36" s="4"/>
      <c r="I36" s="4"/>
      <c r="J36" s="4"/>
      <c r="K36" s="4"/>
      <c r="L36" s="7"/>
      <c r="M36" s="7"/>
      <c r="N36" s="7"/>
      <c r="O36" s="7"/>
      <c r="P36" s="7"/>
      <c r="Q36" s="7"/>
      <c r="R36" s="4"/>
      <c r="S36" s="7"/>
      <c r="T36" s="4"/>
      <c r="U36" s="4"/>
      <c r="V36" s="7"/>
      <c r="W36" s="7"/>
      <c r="X36" s="7"/>
      <c r="Y36" s="7"/>
    </row>
    <row r="37">
      <c r="A37" s="4"/>
      <c r="B37" s="4"/>
      <c r="C37" s="8"/>
      <c r="D37" s="5"/>
      <c r="E37" s="6"/>
      <c r="F37" s="6"/>
      <c r="G37" s="6"/>
      <c r="H37" s="4"/>
      <c r="I37" s="4"/>
      <c r="J37" s="4"/>
      <c r="K37" s="4"/>
      <c r="L37" s="7"/>
      <c r="M37" s="7"/>
      <c r="N37" s="7"/>
      <c r="O37" s="7"/>
      <c r="P37" s="7"/>
      <c r="Q37" s="7"/>
      <c r="R37" s="4"/>
      <c r="S37" s="7"/>
      <c r="T37" s="7"/>
      <c r="U37" s="7"/>
      <c r="V37" s="7"/>
      <c r="W37" s="4"/>
      <c r="X37" s="7"/>
      <c r="Y37" s="7"/>
    </row>
    <row r="38">
      <c r="A38" s="4"/>
      <c r="B38" s="4"/>
      <c r="C38" s="8"/>
      <c r="D38" s="5"/>
      <c r="E38" s="6"/>
      <c r="F38" s="6"/>
      <c r="G38" s="6"/>
      <c r="H38" s="4"/>
      <c r="I38" s="4"/>
      <c r="J38" s="4"/>
      <c r="K38" s="4"/>
      <c r="L38" s="4"/>
      <c r="M38" s="7"/>
      <c r="N38" s="7"/>
      <c r="O38" s="7"/>
      <c r="P38" s="7"/>
      <c r="Q38" s="4"/>
      <c r="R38" s="7"/>
      <c r="S38" s="7"/>
      <c r="T38" s="7"/>
      <c r="U38" s="7"/>
      <c r="V38" s="7"/>
      <c r="W38" s="4"/>
      <c r="X38" s="7"/>
      <c r="Y38" s="7"/>
    </row>
    <row r="39">
      <c r="A39" s="4"/>
      <c r="B39" s="4"/>
      <c r="C39" s="8"/>
      <c r="D39" s="5"/>
      <c r="E39" s="6"/>
      <c r="F39" s="6"/>
      <c r="G39" s="6"/>
      <c r="H39" s="4"/>
      <c r="I39" s="4"/>
      <c r="J39" s="4"/>
      <c r="K39" s="4"/>
      <c r="L39" s="7"/>
      <c r="M39" s="7"/>
      <c r="N39" s="7"/>
      <c r="O39" s="4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4"/>
      <c r="B40" s="8"/>
      <c r="C40" s="4"/>
      <c r="D40" s="5"/>
      <c r="E40" s="6"/>
      <c r="F40" s="6"/>
      <c r="G40" s="6"/>
      <c r="H40" s="4"/>
      <c r="I40" s="4"/>
      <c r="J40" s="4"/>
      <c r="K40" s="4"/>
      <c r="L40" s="7"/>
      <c r="M40" s="7"/>
      <c r="N40" s="7"/>
      <c r="O40" s="7"/>
      <c r="P40" s="7"/>
      <c r="Q40" s="7"/>
      <c r="R40" s="7"/>
      <c r="S40" s="7"/>
      <c r="T40" s="7"/>
      <c r="U40" s="4"/>
      <c r="V40" s="7"/>
      <c r="W40" s="7"/>
      <c r="X40" s="7"/>
      <c r="Y40" s="7"/>
    </row>
    <row r="41">
      <c r="A41" s="4"/>
      <c r="B41" s="8"/>
      <c r="C41" s="8"/>
      <c r="D41" s="5"/>
      <c r="E41" s="6"/>
      <c r="F41" s="6"/>
      <c r="G41" s="6"/>
      <c r="H41" s="4"/>
      <c r="I41" s="4"/>
      <c r="J41" s="4"/>
      <c r="K41" s="4"/>
      <c r="L41" s="7"/>
      <c r="M41" s="7"/>
      <c r="N41" s="7"/>
      <c r="O41" s="7"/>
      <c r="P41" s="7"/>
      <c r="Q41" s="7"/>
      <c r="R41" s="7"/>
      <c r="S41" s="7"/>
      <c r="T41" s="7"/>
      <c r="U41" s="4"/>
      <c r="V41" s="7"/>
      <c r="W41" s="7"/>
      <c r="X41" s="7"/>
      <c r="Y41" s="7"/>
    </row>
    <row r="42">
      <c r="A42" s="4"/>
      <c r="B42" s="8"/>
      <c r="C42" s="8"/>
      <c r="D42" s="5"/>
      <c r="E42" s="6"/>
      <c r="F42" s="6"/>
      <c r="G42" s="6"/>
      <c r="H42" s="4"/>
      <c r="I42" s="4"/>
      <c r="J42" s="4"/>
      <c r="K42" s="4"/>
      <c r="L42" s="7"/>
      <c r="M42" s="7"/>
      <c r="N42" s="7"/>
      <c r="O42" s="7"/>
      <c r="P42" s="7"/>
      <c r="Q42" s="7"/>
      <c r="R42" s="7"/>
      <c r="S42" s="7"/>
      <c r="T42" s="7"/>
      <c r="U42" s="4"/>
      <c r="V42" s="7"/>
      <c r="W42" s="7"/>
      <c r="X42" s="7"/>
      <c r="Y42" s="7"/>
    </row>
    <row r="43">
      <c r="A43" s="4"/>
      <c r="B43" s="4"/>
      <c r="C43" s="8"/>
      <c r="D43" s="5"/>
      <c r="E43" s="6"/>
      <c r="F43" s="6"/>
      <c r="G43" s="6"/>
      <c r="H43" s="4"/>
      <c r="I43" s="4"/>
      <c r="J43" s="4"/>
      <c r="K43" s="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4"/>
      <c r="B44" s="4"/>
      <c r="C44" s="8"/>
      <c r="D44" s="5"/>
      <c r="E44" s="6"/>
      <c r="F44" s="6"/>
      <c r="G44" s="6"/>
      <c r="H44" s="4"/>
      <c r="I44" s="4"/>
      <c r="J44" s="4"/>
      <c r="K44" s="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4"/>
      <c r="B45" s="4"/>
      <c r="C45" s="8"/>
      <c r="D45" s="5"/>
      <c r="E45" s="6"/>
      <c r="F45" s="6"/>
      <c r="G45" s="6"/>
      <c r="H45" s="4"/>
      <c r="I45" s="4"/>
      <c r="J45" s="4"/>
      <c r="K45" s="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4"/>
      <c r="B46" s="4"/>
      <c r="C46" s="8"/>
      <c r="D46" s="5"/>
      <c r="E46" s="6"/>
      <c r="F46" s="6"/>
      <c r="G46" s="6"/>
      <c r="H46" s="4"/>
      <c r="I46" s="4"/>
      <c r="J46" s="4"/>
      <c r="K46" s="4"/>
      <c r="L46" s="7"/>
      <c r="M46" s="7"/>
      <c r="N46" s="7"/>
      <c r="O46" s="4"/>
      <c r="P46" s="4"/>
      <c r="Q46" s="4"/>
      <c r="R46" s="7"/>
      <c r="S46" s="7"/>
      <c r="T46" s="4"/>
      <c r="U46" s="7"/>
      <c r="V46" s="7"/>
      <c r="W46" s="7"/>
      <c r="X46" s="7"/>
      <c r="Y46" s="7"/>
    </row>
    <row r="47">
      <c r="A47" s="4"/>
      <c r="B47" s="4"/>
      <c r="C47" s="8"/>
      <c r="D47" s="5"/>
      <c r="E47" s="6"/>
      <c r="F47" s="6"/>
      <c r="G47" s="6"/>
      <c r="H47" s="4"/>
      <c r="I47" s="4"/>
      <c r="J47" s="4"/>
      <c r="K47" s="4"/>
      <c r="L47" s="4"/>
      <c r="M47" s="7"/>
      <c r="N47" s="7"/>
      <c r="O47" s="7"/>
      <c r="P47" s="7"/>
      <c r="Q47" s="4"/>
      <c r="R47" s="7"/>
      <c r="S47" s="7"/>
      <c r="T47" s="7"/>
      <c r="U47" s="7"/>
      <c r="V47" s="7"/>
      <c r="W47" s="4"/>
      <c r="X47" s="7"/>
      <c r="Y47" s="7"/>
    </row>
    <row r="48">
      <c r="A48" s="4"/>
      <c r="B48" s="4"/>
      <c r="C48" s="8"/>
      <c r="D48" s="5"/>
      <c r="E48" s="6"/>
      <c r="F48" s="6"/>
      <c r="G48" s="6"/>
      <c r="H48" s="4"/>
      <c r="I48" s="4"/>
      <c r="J48" s="4"/>
      <c r="K48" s="4"/>
      <c r="L48" s="7"/>
      <c r="M48" s="7"/>
      <c r="N48" s="7"/>
      <c r="O48" s="4"/>
      <c r="P48" s="7"/>
      <c r="Q48" s="4"/>
      <c r="R48" s="7"/>
      <c r="S48" s="7"/>
      <c r="T48" s="7"/>
      <c r="U48" s="7"/>
      <c r="V48" s="7"/>
      <c r="W48" s="7"/>
      <c r="X48" s="7"/>
      <c r="Y48" s="7"/>
    </row>
    <row r="49">
      <c r="A49" s="4"/>
      <c r="B49" s="4"/>
      <c r="C49" s="8"/>
      <c r="D49" s="5"/>
      <c r="E49" s="6"/>
      <c r="F49" s="6"/>
      <c r="G49" s="6"/>
      <c r="H49" s="4"/>
      <c r="I49" s="4"/>
      <c r="J49" s="4"/>
      <c r="K49" s="4"/>
      <c r="L49" s="7"/>
      <c r="M49" s="7"/>
      <c r="N49" s="7"/>
      <c r="O49" s="4"/>
      <c r="P49" s="7"/>
      <c r="Q49" s="7"/>
      <c r="R49" s="7"/>
      <c r="S49" s="4"/>
      <c r="T49" s="7"/>
      <c r="U49" s="7"/>
      <c r="V49" s="7"/>
      <c r="W49" s="7"/>
      <c r="X49" s="7"/>
      <c r="Y49" s="7"/>
    </row>
    <row r="50">
      <c r="A50" s="4"/>
      <c r="B50" s="4"/>
      <c r="C50" s="8"/>
      <c r="D50" s="5"/>
      <c r="E50" s="6"/>
      <c r="F50" s="6"/>
      <c r="G50" s="6"/>
      <c r="H50" s="4"/>
      <c r="I50" s="4"/>
      <c r="J50" s="4"/>
      <c r="K50" s="4"/>
      <c r="L50" s="7"/>
      <c r="M50" s="7"/>
      <c r="N50" s="7"/>
      <c r="O50" s="4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4"/>
      <c r="B51" s="4"/>
      <c r="C51" s="8"/>
      <c r="D51" s="5"/>
      <c r="E51" s="6"/>
      <c r="F51" s="6"/>
      <c r="G51" s="6"/>
      <c r="H51" s="4"/>
      <c r="I51" s="4"/>
      <c r="J51" s="4"/>
      <c r="K51" s="4"/>
      <c r="L51" s="7"/>
      <c r="M51" s="7"/>
      <c r="N51" s="7"/>
      <c r="O51" s="4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4"/>
      <c r="B52" s="4"/>
      <c r="C52" s="8"/>
      <c r="D52" s="5"/>
      <c r="E52" s="6"/>
      <c r="F52" s="6"/>
      <c r="G52" s="6"/>
      <c r="H52" s="4"/>
      <c r="I52" s="4"/>
      <c r="J52" s="4"/>
      <c r="K52" s="4"/>
      <c r="L52" s="7"/>
      <c r="M52" s="7"/>
      <c r="N52" s="7"/>
      <c r="O52" s="4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4"/>
      <c r="B53" s="4"/>
      <c r="C53" s="8"/>
      <c r="D53" s="5"/>
      <c r="E53" s="6"/>
      <c r="F53" s="6"/>
      <c r="G53" s="6"/>
      <c r="H53" s="4"/>
      <c r="I53" s="4"/>
      <c r="J53" s="4"/>
      <c r="K53" s="4"/>
      <c r="L53" s="4"/>
      <c r="M53" s="7"/>
      <c r="N53" s="7"/>
      <c r="O53" s="7"/>
      <c r="P53" s="7"/>
      <c r="Q53" s="4"/>
      <c r="R53" s="7"/>
      <c r="S53" s="7"/>
      <c r="T53" s="7"/>
      <c r="U53" s="7"/>
      <c r="V53" s="7"/>
      <c r="W53" s="7"/>
      <c r="X53" s="7"/>
      <c r="Y53" s="7"/>
    </row>
    <row r="54">
      <c r="A54" s="4"/>
      <c r="B54" s="4"/>
      <c r="C54" s="8"/>
      <c r="D54" s="5"/>
      <c r="E54" s="6"/>
      <c r="F54" s="6"/>
      <c r="G54" s="6"/>
      <c r="H54" s="4"/>
      <c r="I54" s="4"/>
      <c r="J54" s="4"/>
      <c r="K54" s="4"/>
      <c r="L54" s="7"/>
      <c r="M54" s="7"/>
      <c r="N54" s="7"/>
      <c r="O54" s="4"/>
      <c r="P54" s="4"/>
      <c r="Q54" s="4"/>
      <c r="R54" s="7"/>
      <c r="S54" s="7"/>
      <c r="T54" s="7"/>
      <c r="U54" s="4"/>
      <c r="V54" s="7"/>
      <c r="W54" s="4"/>
      <c r="X54" s="7"/>
      <c r="Y54" s="7"/>
    </row>
    <row r="55">
      <c r="A55" s="4"/>
      <c r="B55" s="4"/>
      <c r="C55" s="8"/>
      <c r="D55" s="5"/>
      <c r="E55" s="6"/>
      <c r="F55" s="6"/>
      <c r="G55" s="6"/>
      <c r="H55" s="4"/>
      <c r="I55" s="4"/>
      <c r="J55" s="4"/>
      <c r="K55" s="4"/>
      <c r="L55" s="7"/>
      <c r="M55" s="7"/>
      <c r="N55" s="7"/>
      <c r="O55" s="4"/>
      <c r="P55" s="4"/>
      <c r="Q55" s="4"/>
      <c r="R55" s="7"/>
      <c r="S55" s="7"/>
      <c r="T55" s="7"/>
      <c r="U55" s="4"/>
      <c r="V55" s="7"/>
      <c r="W55" s="4"/>
      <c r="X55" s="7"/>
      <c r="Y55" s="7"/>
    </row>
    <row r="56">
      <c r="A56" s="4"/>
      <c r="B56" s="4"/>
      <c r="C56" s="8"/>
      <c r="D56" s="5"/>
      <c r="E56" s="6"/>
      <c r="F56" s="6"/>
      <c r="G56" s="6"/>
      <c r="H56" s="4"/>
      <c r="I56" s="4"/>
      <c r="J56" s="4"/>
      <c r="K56" s="4"/>
      <c r="L56" s="7"/>
      <c r="M56" s="7"/>
      <c r="N56" s="7"/>
      <c r="O56" s="7"/>
      <c r="P56" s="4"/>
      <c r="Q56" s="4"/>
      <c r="R56" s="7"/>
      <c r="S56" s="7"/>
      <c r="T56" s="7"/>
      <c r="U56" s="7"/>
      <c r="V56" s="7"/>
      <c r="W56" s="7"/>
      <c r="X56" s="7"/>
      <c r="Y56" s="7"/>
    </row>
    <row r="57">
      <c r="A57" s="4"/>
      <c r="B57" s="4"/>
      <c r="C57" s="8"/>
      <c r="D57" s="5"/>
      <c r="E57" s="6"/>
      <c r="F57" s="6"/>
      <c r="G57" s="6"/>
      <c r="H57" s="4"/>
      <c r="I57" s="4"/>
      <c r="J57" s="4"/>
      <c r="K57" s="4"/>
      <c r="L57" s="7"/>
      <c r="M57" s="7"/>
      <c r="N57" s="7"/>
      <c r="O57" s="7"/>
      <c r="P57" s="4"/>
      <c r="Q57" s="4"/>
      <c r="R57" s="7"/>
      <c r="S57" s="7"/>
      <c r="T57" s="7"/>
      <c r="U57" s="7"/>
      <c r="V57" s="7"/>
      <c r="W57" s="7"/>
      <c r="X57" s="7"/>
      <c r="Y57" s="7"/>
    </row>
    <row r="58">
      <c r="A58" s="4"/>
      <c r="B58" s="4"/>
      <c r="C58" s="8"/>
      <c r="D58" s="5"/>
      <c r="E58" s="6"/>
      <c r="F58" s="6"/>
      <c r="G58" s="6"/>
      <c r="H58" s="4"/>
      <c r="I58" s="4"/>
      <c r="J58" s="4"/>
      <c r="K58" s="4"/>
      <c r="L58" s="4"/>
      <c r="M58" s="7"/>
      <c r="N58" s="7"/>
      <c r="O58" s="4"/>
      <c r="P58" s="4"/>
      <c r="Q58" s="7"/>
      <c r="R58" s="7"/>
      <c r="S58" s="7"/>
      <c r="T58" s="7"/>
      <c r="U58" s="7"/>
      <c r="V58" s="7"/>
      <c r="W58" s="7"/>
      <c r="X58" s="7"/>
      <c r="Y58" s="7"/>
    </row>
    <row r="59">
      <c r="A59" s="4"/>
      <c r="B59" s="4"/>
      <c r="C59" s="8"/>
      <c r="D59" s="5"/>
      <c r="E59" s="6"/>
      <c r="F59" s="6"/>
      <c r="G59" s="6"/>
      <c r="H59" s="4"/>
      <c r="I59" s="4"/>
      <c r="J59" s="4"/>
      <c r="K59" s="4"/>
      <c r="L59" s="4"/>
      <c r="M59" s="7"/>
      <c r="N59" s="7"/>
      <c r="O59" s="7"/>
      <c r="P59" s="7"/>
      <c r="Q59" s="4"/>
      <c r="R59" s="7"/>
      <c r="S59" s="7"/>
      <c r="T59" s="7"/>
      <c r="U59" s="7"/>
      <c r="V59" s="7"/>
      <c r="W59" s="4"/>
      <c r="X59" s="7"/>
      <c r="Y59" s="7"/>
    </row>
    <row r="60">
      <c r="A60" s="4"/>
      <c r="B60" s="4"/>
      <c r="C60" s="8"/>
      <c r="D60" s="5"/>
      <c r="E60" s="6"/>
      <c r="F60" s="6"/>
      <c r="G60" s="6"/>
      <c r="H60" s="4"/>
      <c r="I60" s="4"/>
      <c r="J60" s="4"/>
      <c r="K60" s="4"/>
      <c r="L60" s="4"/>
      <c r="M60" s="7"/>
      <c r="N60" s="7"/>
      <c r="O60" s="4"/>
      <c r="P60" s="4"/>
      <c r="Q60" s="4"/>
      <c r="R60" s="7"/>
      <c r="S60" s="7"/>
      <c r="T60" s="7"/>
      <c r="U60" s="7"/>
      <c r="V60" s="7"/>
      <c r="W60" s="7"/>
      <c r="X60" s="7"/>
      <c r="Y60" s="7"/>
    </row>
    <row r="61">
      <c r="A61" s="4"/>
      <c r="B61" s="4"/>
      <c r="C61" s="8"/>
      <c r="D61" s="5"/>
      <c r="E61" s="6"/>
      <c r="F61" s="6"/>
      <c r="G61" s="6"/>
      <c r="H61" s="4"/>
      <c r="I61" s="4"/>
      <c r="J61" s="4"/>
      <c r="K61" s="4"/>
      <c r="L61" s="4"/>
      <c r="M61" s="7"/>
      <c r="N61" s="7"/>
      <c r="O61" s="7"/>
      <c r="P61" s="4"/>
      <c r="Q61" s="4"/>
      <c r="R61" s="7"/>
      <c r="S61" s="7"/>
      <c r="T61" s="7"/>
      <c r="U61" s="7"/>
      <c r="V61" s="7"/>
      <c r="W61" s="4"/>
      <c r="X61" s="7"/>
      <c r="Y61" s="7"/>
    </row>
    <row r="62">
      <c r="A62" s="4"/>
      <c r="B62" s="4"/>
      <c r="C62" s="8"/>
      <c r="D62" s="5"/>
      <c r="E62" s="6"/>
      <c r="F62" s="6"/>
      <c r="G62" s="6"/>
      <c r="H62" s="4"/>
      <c r="I62" s="4"/>
      <c r="J62" s="4"/>
      <c r="K62" s="4"/>
      <c r="L62" s="7"/>
      <c r="M62" s="7"/>
      <c r="N62" s="7"/>
      <c r="O62" s="4"/>
      <c r="P62" s="7"/>
      <c r="Q62" s="7"/>
      <c r="R62" s="7"/>
      <c r="S62" s="4"/>
      <c r="T62" s="7"/>
      <c r="U62" s="7"/>
      <c r="V62" s="7"/>
      <c r="W62" s="7"/>
      <c r="X62" s="7"/>
      <c r="Y62" s="7"/>
    </row>
    <row r="63">
      <c r="A63" s="4"/>
      <c r="B63" s="4"/>
      <c r="C63" s="8"/>
      <c r="D63" s="5"/>
      <c r="E63" s="6"/>
      <c r="F63" s="6"/>
      <c r="G63" s="6"/>
      <c r="H63" s="4"/>
      <c r="I63" s="4"/>
      <c r="J63" s="4"/>
      <c r="K63" s="4"/>
      <c r="L63" s="4"/>
      <c r="M63" s="7"/>
      <c r="N63" s="7"/>
      <c r="O63" s="7"/>
      <c r="P63" s="7"/>
      <c r="Q63" s="7"/>
      <c r="R63" s="7"/>
      <c r="S63" s="7"/>
      <c r="T63" s="7"/>
      <c r="U63" s="7"/>
      <c r="V63" s="7"/>
      <c r="W63" s="4"/>
      <c r="X63" s="7"/>
      <c r="Y63" s="7"/>
    </row>
    <row r="64">
      <c r="A64" s="4"/>
      <c r="B64" s="4"/>
      <c r="C64" s="8"/>
      <c r="D64" s="5"/>
      <c r="E64" s="6"/>
      <c r="F64" s="6"/>
      <c r="G64" s="6"/>
      <c r="H64" s="4"/>
      <c r="I64" s="4"/>
      <c r="J64" s="4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4"/>
      <c r="B65" s="4"/>
      <c r="C65" s="8"/>
      <c r="D65" s="5"/>
      <c r="E65" s="6"/>
      <c r="F65" s="6"/>
      <c r="G65" s="6"/>
      <c r="H65" s="4"/>
      <c r="I65" s="4"/>
      <c r="J65" s="4"/>
      <c r="K65" s="4"/>
      <c r="L65" s="4"/>
      <c r="M65" s="7"/>
      <c r="N65" s="7"/>
      <c r="O65" s="7"/>
      <c r="P65" s="4"/>
      <c r="Q65" s="4"/>
      <c r="R65" s="7"/>
      <c r="S65" s="7"/>
      <c r="T65" s="7"/>
      <c r="U65" s="7"/>
      <c r="V65" s="7"/>
      <c r="W65" s="7"/>
      <c r="X65" s="7"/>
      <c r="Y65" s="7"/>
    </row>
    <row r="66">
      <c r="A66" s="4"/>
      <c r="B66" s="4"/>
      <c r="C66" s="8"/>
      <c r="D66" s="5"/>
      <c r="E66" s="6"/>
      <c r="F66" s="6"/>
      <c r="G66" s="6"/>
      <c r="H66" s="4"/>
      <c r="I66" s="4"/>
      <c r="J66" s="4"/>
      <c r="K66" s="4"/>
      <c r="L66" s="7"/>
      <c r="M66" s="7"/>
      <c r="N66" s="7"/>
      <c r="O66" s="7"/>
      <c r="P66" s="4"/>
      <c r="Q66" s="7"/>
      <c r="R66" s="7"/>
      <c r="S66" s="7"/>
      <c r="T66" s="7"/>
      <c r="U66" s="7"/>
      <c r="V66" s="7"/>
      <c r="W66" s="7"/>
      <c r="X66" s="7"/>
      <c r="Y66" s="7"/>
    </row>
    <row r="67">
      <c r="A67" s="4"/>
      <c r="B67" s="4"/>
      <c r="C67" s="8"/>
      <c r="D67" s="5"/>
      <c r="E67" s="6"/>
      <c r="F67" s="6"/>
      <c r="G67" s="6"/>
      <c r="H67" s="4"/>
      <c r="I67" s="4"/>
      <c r="J67" s="4"/>
      <c r="K67" s="4"/>
      <c r="L67" s="7"/>
      <c r="M67" s="7"/>
      <c r="N67" s="7"/>
      <c r="O67" s="4"/>
      <c r="P67" s="7"/>
      <c r="Q67" s="7"/>
      <c r="R67" s="7"/>
      <c r="S67" s="7"/>
      <c r="T67" s="4"/>
      <c r="U67" s="7"/>
      <c r="V67" s="7"/>
      <c r="W67" s="4"/>
      <c r="X67" s="7"/>
      <c r="Y67" s="7"/>
    </row>
    <row r="68">
      <c r="A68" s="4"/>
      <c r="B68" s="4"/>
      <c r="C68" s="8"/>
      <c r="D68" s="5"/>
      <c r="E68" s="6"/>
      <c r="F68" s="6"/>
      <c r="G68" s="6"/>
      <c r="H68" s="4"/>
      <c r="I68" s="4"/>
      <c r="J68" s="4"/>
      <c r="K68" s="4"/>
      <c r="L68" s="7"/>
      <c r="M68" s="7"/>
      <c r="N68" s="7"/>
      <c r="O68" s="4"/>
      <c r="P68" s="4"/>
      <c r="Q68" s="4"/>
      <c r="R68" s="7"/>
      <c r="S68" s="7"/>
      <c r="T68" s="7"/>
      <c r="U68" s="4"/>
      <c r="V68" s="7"/>
      <c r="W68" s="7"/>
      <c r="X68" s="7"/>
      <c r="Y68" s="7"/>
    </row>
    <row r="69">
      <c r="A69" s="4"/>
      <c r="B69" s="4"/>
      <c r="C69" s="8"/>
      <c r="D69" s="5"/>
      <c r="E69" s="6"/>
      <c r="F69" s="6"/>
      <c r="G69" s="6"/>
      <c r="H69" s="4"/>
      <c r="I69" s="4"/>
      <c r="J69" s="4"/>
      <c r="K69" s="4"/>
      <c r="L69" s="7"/>
      <c r="M69" s="7"/>
      <c r="N69" s="7"/>
      <c r="O69" s="4"/>
      <c r="P69" s="4"/>
      <c r="Q69" s="4"/>
      <c r="R69" s="7"/>
      <c r="S69" s="7"/>
      <c r="T69" s="7"/>
      <c r="U69" s="4"/>
      <c r="V69" s="7"/>
      <c r="W69" s="7"/>
      <c r="X69" s="7"/>
      <c r="Y69" s="7"/>
    </row>
    <row r="70">
      <c r="A70" s="4"/>
      <c r="B70" s="4"/>
      <c r="C70" s="8"/>
      <c r="D70" s="5"/>
      <c r="E70" s="6"/>
      <c r="F70" s="6"/>
      <c r="G70" s="6"/>
      <c r="H70" s="4"/>
      <c r="I70" s="4"/>
      <c r="J70" s="4"/>
      <c r="K70" s="4"/>
      <c r="L70" s="7"/>
      <c r="M70" s="7"/>
      <c r="N70" s="7"/>
      <c r="O70" s="4"/>
      <c r="P70" s="7"/>
      <c r="Q70" s="7"/>
      <c r="R70" s="7"/>
      <c r="S70" s="7"/>
      <c r="T70" s="4"/>
      <c r="U70" s="7"/>
      <c r="V70" s="7"/>
      <c r="W70" s="7"/>
      <c r="X70" s="7"/>
      <c r="Y70" s="7"/>
    </row>
    <row r="71">
      <c r="A71" s="4"/>
      <c r="B71" s="4"/>
      <c r="C71" s="8"/>
      <c r="D71" s="5"/>
      <c r="E71" s="6"/>
      <c r="F71" s="6"/>
      <c r="G71" s="6"/>
      <c r="H71" s="4"/>
      <c r="I71" s="4"/>
      <c r="J71" s="4"/>
      <c r="K71" s="4"/>
      <c r="L71" s="7"/>
      <c r="M71" s="7"/>
      <c r="N71" s="7"/>
      <c r="O71" s="7"/>
      <c r="P71" s="7"/>
      <c r="Q71" s="7"/>
      <c r="R71" s="7"/>
      <c r="S71" s="7"/>
      <c r="T71" s="4"/>
      <c r="U71" s="7"/>
      <c r="V71" s="7"/>
      <c r="W71" s="4"/>
      <c r="X71" s="7"/>
      <c r="Y71" s="7"/>
    </row>
    <row r="72">
      <c r="A72" s="4"/>
      <c r="B72" s="4"/>
      <c r="C72" s="8"/>
      <c r="D72" s="5"/>
      <c r="E72" s="6"/>
      <c r="F72" s="6"/>
      <c r="G72" s="6"/>
      <c r="H72" s="4"/>
      <c r="I72" s="4"/>
      <c r="J72" s="4"/>
      <c r="K72" s="4"/>
      <c r="L72" s="7"/>
      <c r="M72" s="7"/>
      <c r="N72" s="7"/>
      <c r="O72" s="7"/>
      <c r="P72" s="7"/>
      <c r="Q72" s="4"/>
      <c r="R72" s="7"/>
      <c r="S72" s="7"/>
      <c r="T72" s="7"/>
      <c r="U72" s="7"/>
      <c r="V72" s="7"/>
      <c r="W72" s="7"/>
      <c r="X72" s="7"/>
      <c r="Y72" s="7"/>
    </row>
    <row r="73">
      <c r="A73" s="4"/>
      <c r="B73" s="4"/>
      <c r="C73" s="8"/>
      <c r="D73" s="5"/>
      <c r="E73" s="6"/>
      <c r="F73" s="6"/>
      <c r="G73" s="6"/>
      <c r="H73" s="4"/>
      <c r="I73" s="4"/>
      <c r="J73" s="4"/>
      <c r="K73" s="4"/>
      <c r="L73" s="4"/>
      <c r="M73" s="7"/>
      <c r="N73" s="7"/>
      <c r="O73" s="7"/>
      <c r="P73" s="4"/>
      <c r="Q73" s="4"/>
      <c r="R73" s="7"/>
      <c r="S73" s="7"/>
      <c r="T73" s="7"/>
      <c r="U73" s="7"/>
      <c r="V73" s="7"/>
      <c r="W73" s="7"/>
      <c r="X73" s="7"/>
      <c r="Y73" s="7"/>
    </row>
    <row r="74">
      <c r="A74" s="4"/>
      <c r="B74" s="4"/>
      <c r="C74" s="8"/>
      <c r="D74" s="5"/>
      <c r="E74" s="6"/>
      <c r="F74" s="6"/>
      <c r="G74" s="6"/>
      <c r="H74" s="4"/>
      <c r="I74" s="4"/>
      <c r="J74" s="4"/>
      <c r="K74" s="4"/>
      <c r="L74" s="7"/>
      <c r="M74" s="7"/>
      <c r="N74" s="7"/>
      <c r="O74" s="4"/>
      <c r="P74" s="7"/>
      <c r="Q74" s="7"/>
      <c r="R74" s="7"/>
      <c r="S74" s="7"/>
      <c r="T74" s="4"/>
      <c r="U74" s="7"/>
      <c r="V74" s="7"/>
      <c r="W74" s="7"/>
      <c r="X74" s="7"/>
      <c r="Y74" s="7"/>
    </row>
    <row r="75">
      <c r="A75" s="4"/>
      <c r="B75" s="4"/>
      <c r="C75" s="8"/>
      <c r="D75" s="5"/>
      <c r="E75" s="6"/>
      <c r="F75" s="6"/>
      <c r="G75" s="6"/>
      <c r="H75" s="4"/>
      <c r="I75" s="4"/>
      <c r="J75" s="4"/>
      <c r="K75" s="4"/>
      <c r="L75" s="7"/>
      <c r="M75" s="7"/>
      <c r="N75" s="7"/>
      <c r="O75" s="7"/>
      <c r="P75" s="4"/>
      <c r="Q75" s="4"/>
      <c r="R75" s="4"/>
      <c r="S75" s="7"/>
      <c r="T75" s="4"/>
      <c r="U75" s="4"/>
      <c r="V75" s="7"/>
      <c r="W75" s="4"/>
      <c r="X75" s="4"/>
      <c r="Y75" s="4"/>
    </row>
    <row r="76">
      <c r="A76" s="4"/>
      <c r="B76" s="4"/>
      <c r="C76" s="8"/>
      <c r="D76" s="5"/>
      <c r="E76" s="6"/>
      <c r="F76" s="6"/>
      <c r="G76" s="6"/>
      <c r="H76" s="4"/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4"/>
      <c r="B77" s="4"/>
      <c r="C77" s="8"/>
      <c r="D77" s="5"/>
      <c r="E77" s="6"/>
      <c r="F77" s="6"/>
      <c r="G77" s="6"/>
      <c r="H77" s="4"/>
      <c r="I77" s="4"/>
      <c r="J77" s="4"/>
      <c r="K77" s="4"/>
      <c r="L77" s="7"/>
      <c r="M77" s="4"/>
      <c r="N77" s="7"/>
      <c r="O77" s="7"/>
      <c r="P77" s="7"/>
      <c r="Q77" s="4"/>
      <c r="R77" s="7"/>
      <c r="S77" s="7"/>
      <c r="T77" s="7"/>
      <c r="U77" s="7"/>
      <c r="V77" s="7"/>
      <c r="W77" s="7"/>
      <c r="X77" s="7"/>
      <c r="Y77" s="7"/>
    </row>
    <row r="78">
      <c r="A78" s="4"/>
      <c r="B78" s="4"/>
      <c r="C78" s="8"/>
      <c r="D78" s="5"/>
      <c r="E78" s="6"/>
      <c r="F78" s="6"/>
      <c r="G78" s="6"/>
      <c r="H78" s="4"/>
      <c r="I78" s="4"/>
      <c r="J78" s="4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"/>
      <c r="X78" s="7"/>
      <c r="Y78" s="7"/>
    </row>
    <row r="79">
      <c r="A79" s="4"/>
      <c r="B79" s="4"/>
      <c r="C79" s="8"/>
      <c r="D79" s="5"/>
      <c r="E79" s="6"/>
      <c r="F79" s="6"/>
      <c r="G79" s="6"/>
      <c r="H79" s="4"/>
      <c r="I79" s="4"/>
      <c r="J79" s="4"/>
      <c r="K79" s="4"/>
      <c r="L79" s="7"/>
      <c r="M79" s="7"/>
      <c r="N79" s="7"/>
      <c r="O79" s="4"/>
      <c r="P79" s="7"/>
      <c r="Q79" s="4"/>
      <c r="R79" s="4"/>
      <c r="S79" s="7"/>
      <c r="T79" s="7"/>
      <c r="U79" s="4"/>
      <c r="V79" s="7"/>
      <c r="W79" s="7"/>
      <c r="X79" s="7"/>
      <c r="Y79" s="7"/>
    </row>
    <row r="80">
      <c r="A80" s="4"/>
      <c r="B80" s="4"/>
      <c r="C80" s="8"/>
      <c r="D80" s="5"/>
      <c r="E80" s="6"/>
      <c r="F80" s="6"/>
      <c r="G80" s="6"/>
      <c r="H80" s="4"/>
      <c r="I80" s="4"/>
      <c r="J80" s="4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4"/>
      <c r="B81" s="4"/>
      <c r="C81" s="8"/>
      <c r="D81" s="5"/>
      <c r="E81" s="6"/>
      <c r="F81" s="6"/>
      <c r="G81" s="6"/>
      <c r="H81" s="4"/>
      <c r="I81" s="4"/>
      <c r="J81" s="4"/>
      <c r="K81" s="4"/>
      <c r="L81" s="7"/>
      <c r="M81" s="7"/>
      <c r="N81" s="7"/>
      <c r="O81" s="7"/>
      <c r="P81" s="4"/>
      <c r="Q81" s="4"/>
      <c r="R81" s="7"/>
      <c r="S81" s="7"/>
      <c r="T81" s="7"/>
      <c r="U81" s="7"/>
      <c r="V81" s="7"/>
      <c r="W81" s="4"/>
      <c r="X81" s="7"/>
      <c r="Y81" s="7"/>
    </row>
    <row r="82">
      <c r="A82" s="4"/>
      <c r="B82" s="4"/>
      <c r="C82" s="8"/>
      <c r="D82" s="5"/>
      <c r="E82" s="6"/>
      <c r="F82" s="6"/>
      <c r="G82" s="6"/>
      <c r="H82" s="4"/>
      <c r="I82" s="4"/>
      <c r="J82" s="4"/>
      <c r="K82" s="4"/>
      <c r="L82" s="7"/>
      <c r="M82" s="7"/>
      <c r="N82" s="7"/>
      <c r="O82" s="7"/>
      <c r="P82" s="4"/>
      <c r="Q82" s="4"/>
      <c r="R82" s="4"/>
      <c r="S82" s="7"/>
      <c r="T82" s="7"/>
      <c r="U82" s="7"/>
      <c r="V82" s="7"/>
      <c r="W82" s="7"/>
      <c r="X82" s="7"/>
      <c r="Y82" s="7"/>
    </row>
    <row r="83">
      <c r="A83" s="4"/>
      <c r="B83" s="4"/>
      <c r="C83" s="8"/>
      <c r="D83" s="5"/>
      <c r="E83" s="6"/>
      <c r="F83" s="6"/>
      <c r="G83" s="6"/>
      <c r="H83" s="4"/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4"/>
      <c r="B84" s="4"/>
      <c r="C84" s="8"/>
      <c r="D84" s="5"/>
      <c r="E84" s="6"/>
      <c r="F84" s="6"/>
      <c r="G84" s="6"/>
      <c r="H84" s="4"/>
      <c r="I84" s="4"/>
      <c r="J84" s="4"/>
      <c r="K84" s="4"/>
      <c r="L84" s="7"/>
      <c r="M84" s="7"/>
      <c r="N84" s="7"/>
      <c r="O84" s="7"/>
      <c r="P84" s="4"/>
      <c r="Q84" s="4"/>
      <c r="R84" s="7"/>
      <c r="S84" s="7"/>
      <c r="T84" s="7"/>
      <c r="U84" s="7"/>
      <c r="V84" s="7"/>
      <c r="W84" s="7"/>
      <c r="X84" s="7"/>
      <c r="Y84" s="7"/>
    </row>
    <row r="85">
      <c r="A85" s="4"/>
      <c r="B85" s="4"/>
      <c r="C85" s="8"/>
      <c r="D85" s="5"/>
      <c r="E85" s="6"/>
      <c r="F85" s="6"/>
      <c r="G85" s="6"/>
      <c r="H85" s="4"/>
      <c r="I85" s="4"/>
      <c r="J85" s="4"/>
      <c r="K85" s="4"/>
      <c r="L85" s="7"/>
      <c r="M85" s="7"/>
      <c r="N85" s="7"/>
      <c r="O85" s="7"/>
      <c r="P85" s="7"/>
      <c r="Q85" s="4"/>
      <c r="R85" s="7"/>
      <c r="S85" s="7"/>
      <c r="T85" s="7"/>
      <c r="U85" s="7"/>
      <c r="V85" s="7"/>
      <c r="W85" s="7"/>
      <c r="X85" s="7"/>
      <c r="Y85" s="7"/>
    </row>
    <row r="86">
      <c r="A86" s="4"/>
      <c r="B86" s="4"/>
      <c r="C86" s="8"/>
      <c r="D86" s="5"/>
      <c r="E86" s="6"/>
      <c r="F86" s="6"/>
      <c r="G86" s="6"/>
      <c r="H86" s="4"/>
      <c r="I86" s="4"/>
      <c r="J86" s="4"/>
      <c r="K86" s="4"/>
      <c r="L86" s="7"/>
      <c r="M86" s="7"/>
      <c r="N86" s="7"/>
      <c r="O86" s="7"/>
      <c r="P86" s="7"/>
      <c r="Q86" s="7"/>
      <c r="R86" s="7"/>
      <c r="S86" s="7"/>
      <c r="T86" s="7"/>
      <c r="U86" s="4"/>
      <c r="V86" s="7"/>
      <c r="W86" s="7"/>
      <c r="X86" s="7"/>
      <c r="Y86" s="7"/>
    </row>
    <row r="87">
      <c r="A87" s="4"/>
      <c r="B87" s="4"/>
      <c r="C87" s="8"/>
      <c r="D87" s="5"/>
      <c r="E87" s="6"/>
      <c r="F87" s="6"/>
      <c r="G87" s="6"/>
      <c r="H87" s="4"/>
      <c r="I87" s="4"/>
      <c r="J87" s="4"/>
      <c r="K87" s="4"/>
      <c r="L87" s="7"/>
      <c r="M87" s="7"/>
      <c r="N87" s="7"/>
      <c r="O87" s="7"/>
      <c r="P87" s="7"/>
      <c r="Q87" s="7"/>
      <c r="R87" s="7"/>
      <c r="S87" s="7"/>
      <c r="T87" s="7"/>
      <c r="U87" s="4"/>
      <c r="V87" s="7"/>
      <c r="W87" s="7"/>
      <c r="X87" s="7"/>
      <c r="Y87" s="7"/>
    </row>
    <row r="88">
      <c r="A88" s="4"/>
      <c r="B88" s="4"/>
      <c r="C88" s="8"/>
      <c r="D88" s="5"/>
      <c r="E88" s="6"/>
      <c r="F88" s="6"/>
      <c r="G88" s="6"/>
      <c r="H88" s="4"/>
      <c r="I88" s="4"/>
      <c r="J88" s="4"/>
      <c r="K88" s="4"/>
      <c r="L88" s="4"/>
      <c r="M88" s="7"/>
      <c r="N88" s="7"/>
      <c r="O88" s="7"/>
      <c r="P88" s="7"/>
      <c r="Q88" s="7"/>
      <c r="R88" s="7"/>
      <c r="S88" s="7"/>
      <c r="T88" s="7"/>
      <c r="U88" s="7"/>
      <c r="V88" s="7"/>
      <c r="W88" s="4"/>
      <c r="X88" s="7"/>
      <c r="Y88" s="7"/>
    </row>
    <row r="89">
      <c r="A89" s="4"/>
      <c r="B89" s="4"/>
      <c r="C89" s="8"/>
      <c r="D89" s="5"/>
      <c r="E89" s="6"/>
      <c r="F89" s="6"/>
      <c r="G89" s="6"/>
      <c r="H89" s="4"/>
      <c r="I89" s="4"/>
      <c r="J89" s="4"/>
      <c r="K89" s="4"/>
      <c r="L89" s="7"/>
      <c r="M89" s="7"/>
      <c r="N89" s="7"/>
      <c r="O89" s="7"/>
      <c r="P89" s="7"/>
      <c r="Q89" s="4"/>
      <c r="R89" s="7"/>
      <c r="S89" s="7"/>
      <c r="T89" s="7"/>
      <c r="U89" s="7"/>
      <c r="V89" s="7"/>
      <c r="W89" s="7"/>
      <c r="X89" s="7"/>
      <c r="Y89" s="7"/>
    </row>
    <row r="90">
      <c r="A90" s="4"/>
      <c r="B90" s="4"/>
      <c r="C90" s="8"/>
      <c r="D90" s="5"/>
      <c r="E90" s="6"/>
      <c r="F90" s="6"/>
      <c r="G90" s="6"/>
      <c r="H90" s="4"/>
      <c r="I90" s="4"/>
      <c r="J90" s="4"/>
      <c r="K90" s="4"/>
      <c r="L90" s="7"/>
      <c r="M90" s="7"/>
      <c r="N90" s="7"/>
      <c r="O90" s="7"/>
      <c r="P90" s="4"/>
      <c r="Q90" s="7"/>
      <c r="R90" s="7"/>
      <c r="S90" s="7"/>
      <c r="T90" s="7"/>
      <c r="U90" s="7"/>
      <c r="V90" s="7"/>
      <c r="W90" s="7"/>
      <c r="X90" s="7"/>
      <c r="Y90" s="7"/>
    </row>
    <row r="91">
      <c r="A91" s="4"/>
      <c r="B91" s="4"/>
      <c r="C91" s="8"/>
      <c r="D91" s="5"/>
      <c r="E91" s="6"/>
      <c r="F91" s="6"/>
      <c r="G91" s="6"/>
      <c r="H91" s="4"/>
      <c r="I91" s="4"/>
      <c r="J91" s="4"/>
      <c r="K91" s="4"/>
      <c r="L91" s="7"/>
      <c r="M91" s="7"/>
      <c r="N91" s="7"/>
      <c r="O91" s="7"/>
      <c r="P91" s="7"/>
      <c r="Q91" s="4"/>
      <c r="R91" s="4"/>
      <c r="S91" s="7"/>
      <c r="T91" s="7"/>
      <c r="U91" s="7"/>
      <c r="V91" s="7"/>
      <c r="W91" s="7"/>
      <c r="X91" s="7"/>
      <c r="Y91" s="7"/>
    </row>
    <row r="92">
      <c r="A92" s="4"/>
      <c r="B92" s="4"/>
      <c r="C92" s="8"/>
      <c r="D92" s="5"/>
      <c r="E92" s="6"/>
      <c r="F92" s="6"/>
      <c r="G92" s="6"/>
      <c r="H92" s="4"/>
      <c r="I92" s="4"/>
      <c r="J92" s="4"/>
      <c r="K92" s="4"/>
      <c r="L92" s="7"/>
      <c r="M92" s="7"/>
      <c r="N92" s="7"/>
      <c r="O92" s="7"/>
      <c r="P92" s="7"/>
      <c r="Q92" s="4"/>
      <c r="R92" s="7"/>
      <c r="S92" s="7"/>
      <c r="T92" s="7"/>
      <c r="U92" s="7"/>
      <c r="V92" s="7"/>
      <c r="W92" s="7"/>
      <c r="X92" s="7"/>
      <c r="Y92" s="7"/>
    </row>
    <row r="93">
      <c r="A93" s="4"/>
      <c r="B93" s="4"/>
      <c r="C93" s="8"/>
      <c r="D93" s="5"/>
      <c r="E93" s="6"/>
      <c r="F93" s="6"/>
      <c r="G93" s="6"/>
      <c r="H93" s="4"/>
      <c r="I93" s="4"/>
      <c r="J93" s="4"/>
      <c r="K93" s="4"/>
      <c r="L93" s="7"/>
      <c r="M93" s="7"/>
      <c r="N93" s="7"/>
      <c r="O93" s="4"/>
      <c r="P93" s="7"/>
      <c r="Q93" s="4"/>
      <c r="R93" s="7"/>
      <c r="S93" s="7"/>
      <c r="T93" s="7"/>
      <c r="U93" s="7"/>
      <c r="V93" s="7"/>
      <c r="W93" s="7"/>
      <c r="X93" s="7"/>
      <c r="Y93" s="7"/>
    </row>
    <row r="94">
      <c r="A94" s="4"/>
      <c r="B94" s="4"/>
      <c r="C94" s="8"/>
      <c r="D94" s="5"/>
      <c r="E94" s="6"/>
      <c r="F94" s="6"/>
      <c r="G94" s="6"/>
      <c r="H94" s="4"/>
      <c r="I94" s="4"/>
      <c r="J94" s="4"/>
      <c r="K94" s="4"/>
      <c r="L94" s="7"/>
      <c r="M94" s="7"/>
      <c r="N94" s="7"/>
      <c r="O94" s="4"/>
      <c r="P94" s="4"/>
      <c r="Q94" s="4"/>
      <c r="R94" s="7"/>
      <c r="S94" s="7"/>
      <c r="T94" s="4"/>
      <c r="U94" s="4"/>
      <c r="V94" s="7"/>
      <c r="W94" s="4"/>
      <c r="X94" s="7"/>
      <c r="Y94" s="7"/>
    </row>
    <row r="95">
      <c r="A95" s="4"/>
      <c r="B95" s="4"/>
      <c r="C95" s="8"/>
      <c r="D95" s="5"/>
      <c r="E95" s="6"/>
      <c r="F95" s="6"/>
      <c r="G95" s="6"/>
      <c r="H95" s="4"/>
      <c r="I95" s="4"/>
      <c r="J95" s="4"/>
      <c r="K95" s="4"/>
      <c r="L95" s="7"/>
      <c r="M95" s="7"/>
      <c r="N95" s="4"/>
      <c r="O95" s="4"/>
      <c r="P95" s="7"/>
      <c r="Q95" s="4"/>
      <c r="R95" s="7"/>
      <c r="S95" s="7"/>
      <c r="T95" s="7"/>
      <c r="U95" s="7"/>
      <c r="V95" s="7"/>
      <c r="W95" s="7"/>
      <c r="X95" s="7"/>
      <c r="Y95" s="7"/>
    </row>
    <row r="96">
      <c r="A96" s="4"/>
      <c r="B96" s="4"/>
      <c r="C96" s="8"/>
      <c r="D96" s="5"/>
      <c r="E96" s="6"/>
      <c r="F96" s="6"/>
      <c r="G96" s="6"/>
      <c r="H96" s="4"/>
      <c r="I96" s="4"/>
      <c r="J96" s="4"/>
      <c r="K96" s="4"/>
      <c r="L96" s="7"/>
      <c r="M96" s="7"/>
      <c r="N96" s="7"/>
      <c r="O96" s="7"/>
      <c r="P96" s="7"/>
      <c r="Q96" s="4"/>
      <c r="R96" s="7"/>
      <c r="S96" s="7"/>
      <c r="T96" s="7"/>
      <c r="U96" s="7"/>
      <c r="V96" s="7"/>
      <c r="W96" s="7"/>
      <c r="X96" s="7"/>
      <c r="Y96" s="7"/>
    </row>
    <row r="97">
      <c r="A97" s="4"/>
      <c r="B97" s="4"/>
      <c r="C97" s="8"/>
      <c r="D97" s="5"/>
      <c r="E97" s="6"/>
      <c r="F97" s="6"/>
      <c r="G97" s="6"/>
      <c r="H97" s="4"/>
      <c r="I97" s="4"/>
      <c r="J97" s="4"/>
      <c r="K97" s="4"/>
      <c r="L97" s="4"/>
      <c r="M97" s="7"/>
      <c r="N97" s="7"/>
      <c r="O97" s="7"/>
      <c r="P97" s="7"/>
      <c r="Q97" s="4"/>
      <c r="R97" s="7"/>
      <c r="S97" s="7"/>
      <c r="T97" s="7"/>
      <c r="U97" s="7"/>
      <c r="V97" s="7"/>
      <c r="W97" s="4"/>
      <c r="X97" s="7"/>
      <c r="Y97" s="7"/>
    </row>
    <row r="98">
      <c r="A98" s="4"/>
      <c r="B98" s="4"/>
      <c r="C98" s="8"/>
      <c r="D98" s="5"/>
      <c r="E98" s="6"/>
      <c r="F98" s="6"/>
      <c r="G98" s="6"/>
      <c r="H98" s="4"/>
      <c r="I98" s="4"/>
      <c r="J98" s="4"/>
      <c r="K98" s="4"/>
      <c r="L98" s="7"/>
      <c r="M98" s="7"/>
      <c r="N98" s="7"/>
      <c r="O98" s="7"/>
      <c r="P98" s="7"/>
      <c r="Q98" s="4"/>
      <c r="R98" s="7"/>
      <c r="S98" s="7"/>
      <c r="T98" s="7"/>
      <c r="U98" s="7"/>
      <c r="V98" s="7"/>
      <c r="W98" s="7"/>
      <c r="X98" s="7"/>
      <c r="Y98" s="7"/>
    </row>
    <row r="99">
      <c r="A99" s="4"/>
      <c r="B99" s="4"/>
      <c r="C99" s="8"/>
      <c r="D99" s="5"/>
      <c r="E99" s="6"/>
      <c r="F99" s="6"/>
      <c r="G99" s="6"/>
      <c r="H99" s="4"/>
      <c r="I99" s="4"/>
      <c r="J99" s="4"/>
      <c r="K99" s="4"/>
      <c r="L99" s="4"/>
      <c r="M99" s="7"/>
      <c r="N99" s="7"/>
      <c r="O99" s="7"/>
      <c r="P99" s="7"/>
      <c r="Q99" s="4"/>
      <c r="R99" s="7"/>
      <c r="S99" s="7"/>
      <c r="T99" s="7"/>
      <c r="U99" s="7"/>
      <c r="V99" s="7"/>
      <c r="W99" s="7"/>
      <c r="X99" s="7"/>
      <c r="Y99" s="7"/>
    </row>
    <row r="100">
      <c r="A100" s="4"/>
      <c r="B100" s="4"/>
      <c r="C100" s="8"/>
      <c r="D100" s="5"/>
      <c r="E100" s="6"/>
      <c r="F100" s="6"/>
      <c r="G100" s="6"/>
      <c r="H100" s="4"/>
      <c r="I100" s="4"/>
      <c r="J100" s="4"/>
      <c r="K100" s="4"/>
      <c r="L100" s="4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4"/>
      <c r="B101" s="4"/>
      <c r="C101" s="8"/>
      <c r="D101" s="5"/>
      <c r="E101" s="6"/>
      <c r="F101" s="6"/>
      <c r="G101" s="6"/>
      <c r="H101" s="4"/>
      <c r="I101" s="4"/>
      <c r="J101" s="4"/>
      <c r="K101" s="4"/>
      <c r="L101" s="4"/>
      <c r="M101" s="7"/>
      <c r="N101" s="7"/>
      <c r="O101" s="7"/>
      <c r="P101" s="7"/>
      <c r="Q101" s="4"/>
      <c r="R101" s="7"/>
      <c r="S101" s="7"/>
      <c r="T101" s="7"/>
      <c r="U101" s="7"/>
      <c r="V101" s="7"/>
      <c r="W101" s="7"/>
      <c r="X101" s="7"/>
      <c r="Y101" s="7"/>
    </row>
    <row r="102">
      <c r="A102" s="4"/>
      <c r="B102" s="4"/>
      <c r="C102" s="8"/>
      <c r="D102" s="5"/>
      <c r="E102" s="6"/>
      <c r="F102" s="6"/>
      <c r="G102" s="6"/>
      <c r="H102" s="4"/>
      <c r="I102" s="4"/>
      <c r="J102" s="4"/>
      <c r="K102" s="4"/>
      <c r="L102" s="4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4"/>
      <c r="B103" s="4"/>
      <c r="C103" s="8"/>
      <c r="D103" s="5"/>
      <c r="E103" s="6"/>
      <c r="F103" s="6"/>
      <c r="G103" s="6"/>
      <c r="H103" s="4"/>
      <c r="I103" s="4"/>
      <c r="J103" s="4"/>
      <c r="K103" s="4"/>
      <c r="L103" s="7"/>
      <c r="M103" s="7"/>
      <c r="N103" s="7"/>
      <c r="O103" s="7"/>
      <c r="P103" s="7"/>
      <c r="Q103" s="4"/>
      <c r="R103" s="7"/>
      <c r="S103" s="7"/>
      <c r="T103" s="7"/>
      <c r="U103" s="4"/>
      <c r="V103" s="7"/>
      <c r="W103" s="7"/>
      <c r="X103" s="7"/>
      <c r="Y103" s="7"/>
    </row>
    <row r="104">
      <c r="A104" s="4"/>
      <c r="B104" s="4"/>
      <c r="C104" s="8"/>
      <c r="D104" s="5"/>
      <c r="E104" s="6"/>
      <c r="F104" s="6"/>
      <c r="G104" s="6"/>
      <c r="H104" s="4"/>
      <c r="I104" s="4"/>
      <c r="J104" s="4"/>
      <c r="K104" s="4"/>
      <c r="L104" s="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4"/>
      <c r="B105" s="4"/>
      <c r="C105" s="8"/>
      <c r="D105" s="5"/>
      <c r="E105" s="6"/>
      <c r="F105" s="6"/>
      <c r="G105" s="6"/>
      <c r="H105" s="4"/>
      <c r="I105" s="4"/>
      <c r="J105" s="4"/>
      <c r="K105" s="4"/>
      <c r="L105" s="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4"/>
      <c r="B106" s="4"/>
      <c r="C106" s="8"/>
      <c r="D106" s="5"/>
      <c r="E106" s="6"/>
      <c r="F106" s="6"/>
      <c r="G106" s="6"/>
      <c r="H106" s="4"/>
      <c r="I106" s="4"/>
      <c r="J106" s="4"/>
      <c r="K106" s="4"/>
      <c r="L106" s="4"/>
      <c r="M106" s="7"/>
      <c r="N106" s="7"/>
      <c r="O106" s="7"/>
      <c r="P106" s="7"/>
      <c r="Q106" s="4"/>
      <c r="R106" s="7"/>
      <c r="S106" s="7"/>
      <c r="T106" s="7"/>
      <c r="U106" s="7"/>
      <c r="V106" s="7"/>
      <c r="W106" s="4"/>
      <c r="X106" s="7"/>
      <c r="Y106" s="7"/>
    </row>
    <row r="107">
      <c r="A107" s="4"/>
      <c r="B107" s="4"/>
      <c r="C107" s="8"/>
      <c r="D107" s="5"/>
      <c r="E107" s="6"/>
      <c r="F107" s="6"/>
      <c r="G107" s="6"/>
      <c r="H107" s="4"/>
      <c r="I107" s="4"/>
      <c r="J107" s="4"/>
      <c r="K107" s="4"/>
      <c r="L107" s="7"/>
      <c r="M107" s="4"/>
      <c r="N107" s="7"/>
      <c r="O107" s="7"/>
      <c r="P107" s="7"/>
      <c r="Q107" s="4"/>
      <c r="R107" s="7"/>
      <c r="S107" s="7"/>
      <c r="T107" s="7"/>
      <c r="U107" s="7"/>
      <c r="V107" s="7"/>
      <c r="W107" s="4"/>
      <c r="X107" s="7"/>
      <c r="Y107" s="7"/>
    </row>
    <row r="108">
      <c r="A108" s="4"/>
      <c r="B108" s="4"/>
      <c r="C108" s="8"/>
      <c r="D108" s="5"/>
      <c r="E108" s="6"/>
      <c r="F108" s="6"/>
      <c r="G108" s="6"/>
      <c r="H108" s="4"/>
      <c r="I108" s="4"/>
      <c r="J108" s="4"/>
      <c r="K108" s="4"/>
      <c r="L108" s="7"/>
      <c r="M108" s="4"/>
      <c r="N108" s="7"/>
      <c r="O108" s="7"/>
      <c r="P108" s="7"/>
      <c r="Q108" s="4"/>
      <c r="R108" s="7"/>
      <c r="S108" s="7"/>
      <c r="T108" s="7"/>
      <c r="U108" s="7"/>
      <c r="V108" s="7"/>
      <c r="W108" s="4"/>
      <c r="X108" s="7"/>
      <c r="Y108" s="7"/>
    </row>
    <row r="109">
      <c r="A109" s="4"/>
      <c r="B109" s="4"/>
      <c r="C109" s="8"/>
      <c r="D109" s="5"/>
      <c r="E109" s="6"/>
      <c r="F109" s="6"/>
      <c r="G109" s="6"/>
      <c r="H109" s="4"/>
      <c r="I109" s="4"/>
      <c r="J109" s="4"/>
      <c r="K109" s="4"/>
      <c r="L109" s="7"/>
      <c r="M109" s="7"/>
      <c r="N109" s="4"/>
      <c r="O109" s="7"/>
      <c r="P109" s="7"/>
      <c r="Q109" s="4"/>
      <c r="R109" s="7"/>
      <c r="S109" s="7"/>
      <c r="T109" s="7"/>
      <c r="U109" s="7"/>
      <c r="V109" s="7"/>
      <c r="W109" s="7"/>
      <c r="X109" s="7"/>
      <c r="Y109" s="7"/>
    </row>
    <row r="110">
      <c r="A110" s="4"/>
      <c r="B110" s="4"/>
      <c r="C110" s="8"/>
      <c r="D110" s="5"/>
      <c r="E110" s="6"/>
      <c r="F110" s="6"/>
      <c r="G110" s="6"/>
      <c r="H110" s="4"/>
      <c r="I110" s="4"/>
      <c r="J110" s="4"/>
      <c r="K110" s="4"/>
      <c r="L110" s="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4"/>
      <c r="B111" s="4"/>
      <c r="C111" s="8"/>
      <c r="D111" s="5"/>
      <c r="E111" s="6"/>
      <c r="F111" s="6"/>
      <c r="G111" s="6"/>
      <c r="H111" s="4"/>
      <c r="I111" s="4"/>
      <c r="J111" s="4"/>
      <c r="K111" s="4"/>
      <c r="L111" s="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4"/>
      <c r="B112" s="4"/>
      <c r="C112" s="8"/>
      <c r="D112" s="5"/>
      <c r="E112" s="6"/>
      <c r="F112" s="6"/>
      <c r="G112" s="6"/>
      <c r="H112" s="4"/>
      <c r="I112" s="4"/>
      <c r="J112" s="4"/>
      <c r="K112" s="4"/>
      <c r="L112" s="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4"/>
      <c r="B113" s="4"/>
      <c r="C113" s="8"/>
      <c r="D113" s="5"/>
      <c r="E113" s="6"/>
      <c r="F113" s="6"/>
      <c r="G113" s="6"/>
      <c r="H113" s="4"/>
      <c r="I113" s="4"/>
      <c r="J113" s="4"/>
      <c r="K113" s="4"/>
      <c r="L113" s="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4"/>
      <c r="B114" s="4"/>
      <c r="C114" s="8"/>
      <c r="D114" s="5"/>
      <c r="E114" s="6"/>
      <c r="F114" s="6"/>
      <c r="G114" s="6"/>
      <c r="H114" s="4"/>
      <c r="I114" s="4"/>
      <c r="J114" s="4"/>
      <c r="K114" s="4"/>
      <c r="L114" s="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4"/>
      <c r="B115" s="4"/>
      <c r="C115" s="8"/>
      <c r="D115" s="5"/>
      <c r="E115" s="6"/>
      <c r="F115" s="6"/>
      <c r="G115" s="6"/>
      <c r="H115" s="4"/>
      <c r="I115" s="4"/>
      <c r="J115" s="4"/>
      <c r="K115" s="4"/>
      <c r="L115" s="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4"/>
      <c r="B116" s="4"/>
      <c r="C116" s="8"/>
      <c r="D116" s="5"/>
      <c r="E116" s="6"/>
      <c r="F116" s="6"/>
      <c r="G116" s="6"/>
      <c r="H116" s="4"/>
      <c r="I116" s="4"/>
      <c r="J116" s="4"/>
      <c r="K116" s="4"/>
      <c r="L116" s="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4"/>
      <c r="B117" s="4"/>
      <c r="C117" s="8"/>
      <c r="D117" s="5"/>
      <c r="E117" s="6"/>
      <c r="F117" s="6"/>
      <c r="G117" s="6"/>
      <c r="H117" s="4"/>
      <c r="I117" s="4"/>
      <c r="J117" s="4"/>
      <c r="K117" s="4"/>
      <c r="L117" s="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4"/>
      <c r="B118" s="4"/>
      <c r="C118" s="8"/>
      <c r="D118" s="5"/>
      <c r="E118" s="6"/>
      <c r="F118" s="6"/>
      <c r="G118" s="6"/>
      <c r="H118" s="4"/>
      <c r="I118" s="4"/>
      <c r="J118" s="4"/>
      <c r="K118" s="4"/>
      <c r="L118" s="4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4"/>
      <c r="B119" s="4"/>
      <c r="C119" s="8"/>
      <c r="D119" s="5"/>
      <c r="E119" s="6"/>
      <c r="F119" s="6"/>
      <c r="G119" s="6"/>
      <c r="H119" s="4"/>
      <c r="I119" s="4"/>
      <c r="J119" s="4"/>
      <c r="K119" s="4"/>
      <c r="L119" s="4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4"/>
      <c r="B120" s="4"/>
      <c r="C120" s="8"/>
      <c r="D120" s="5"/>
      <c r="E120" s="6"/>
      <c r="F120" s="6"/>
      <c r="G120" s="6"/>
      <c r="H120" s="4"/>
      <c r="I120" s="4"/>
      <c r="J120" s="4"/>
      <c r="K120" s="4"/>
      <c r="L120" s="4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4"/>
      <c r="B121" s="4"/>
      <c r="C121" s="8"/>
      <c r="D121" s="5"/>
      <c r="E121" s="6"/>
      <c r="F121" s="6"/>
      <c r="G121" s="6"/>
      <c r="H121" s="4"/>
      <c r="I121" s="4"/>
      <c r="J121" s="4"/>
      <c r="K121" s="4"/>
      <c r="L121" s="4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"/>
      <c r="X121" s="7"/>
      <c r="Y121" s="7"/>
    </row>
    <row r="122">
      <c r="A122" s="4"/>
      <c r="B122" s="4"/>
      <c r="C122" s="8"/>
      <c r="D122" s="5"/>
      <c r="E122" s="6"/>
      <c r="F122" s="6"/>
      <c r="G122" s="6"/>
      <c r="H122" s="4"/>
      <c r="I122" s="4"/>
      <c r="J122" s="4"/>
      <c r="K122" s="4"/>
      <c r="L122" s="4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4"/>
      <c r="B123" s="4"/>
      <c r="C123" s="8"/>
      <c r="D123" s="5"/>
      <c r="E123" s="6"/>
      <c r="F123" s="6"/>
      <c r="G123" s="6"/>
      <c r="H123" s="4"/>
      <c r="I123" s="4"/>
      <c r="J123" s="4"/>
      <c r="K123" s="4"/>
      <c r="L123" s="4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"/>
      <c r="X123" s="7"/>
      <c r="Y123" s="7"/>
    </row>
    <row r="124">
      <c r="A124" s="4"/>
      <c r="B124" s="4"/>
      <c r="C124" s="8"/>
      <c r="D124" s="5"/>
      <c r="E124" s="6"/>
      <c r="F124" s="6"/>
      <c r="G124" s="6"/>
      <c r="H124" s="4"/>
      <c r="I124" s="4"/>
      <c r="J124" s="4"/>
      <c r="K124" s="4"/>
      <c r="L124" s="4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4"/>
      <c r="B125" s="4"/>
      <c r="C125" s="8"/>
      <c r="D125" s="5"/>
      <c r="E125" s="6"/>
      <c r="F125" s="6"/>
      <c r="G125" s="6"/>
      <c r="H125" s="4"/>
      <c r="I125" s="4"/>
      <c r="J125" s="4"/>
      <c r="K125" s="4"/>
      <c r="L125" s="4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4"/>
      <c r="B126" s="4"/>
      <c r="C126" s="8"/>
      <c r="D126" s="5"/>
      <c r="E126" s="6"/>
      <c r="F126" s="6"/>
      <c r="G126" s="6"/>
      <c r="H126" s="4"/>
      <c r="I126" s="4"/>
      <c r="J126" s="4"/>
      <c r="K126" s="4"/>
      <c r="L126" s="4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4"/>
      <c r="B127" s="4"/>
      <c r="C127" s="8"/>
      <c r="D127" s="5"/>
      <c r="E127" s="6"/>
      <c r="F127" s="6"/>
      <c r="G127" s="6"/>
      <c r="H127" s="4"/>
      <c r="I127" s="4"/>
      <c r="J127" s="4"/>
      <c r="K127" s="4"/>
      <c r="L127" s="7"/>
      <c r="M127" s="7"/>
      <c r="N127" s="7"/>
      <c r="O127" s="7"/>
      <c r="P127" s="7"/>
      <c r="Q127" s="4"/>
      <c r="R127" s="7"/>
      <c r="S127" s="7"/>
      <c r="T127" s="7"/>
      <c r="U127" s="7"/>
      <c r="V127" s="7"/>
      <c r="W127" s="7"/>
      <c r="X127" s="7"/>
      <c r="Y127" s="7"/>
    </row>
    <row r="128">
      <c r="A128" s="4"/>
      <c r="B128" s="4"/>
      <c r="C128" s="8"/>
      <c r="D128" s="5"/>
      <c r="E128" s="6"/>
      <c r="F128" s="6"/>
      <c r="G128" s="6"/>
      <c r="H128" s="4"/>
      <c r="I128" s="4"/>
      <c r="J128" s="4"/>
      <c r="K128" s="4"/>
      <c r="L128" s="7"/>
      <c r="M128" s="7"/>
      <c r="N128" s="7"/>
      <c r="O128" s="7"/>
      <c r="P128" s="7"/>
      <c r="Q128" s="4"/>
      <c r="R128" s="7"/>
      <c r="S128" s="7"/>
      <c r="T128" s="7"/>
      <c r="U128" s="7"/>
      <c r="V128" s="7"/>
      <c r="W128" s="4"/>
      <c r="X128" s="7"/>
      <c r="Y128" s="7"/>
    </row>
    <row r="129">
      <c r="A129" s="4"/>
      <c r="B129" s="4"/>
      <c r="C129" s="8"/>
      <c r="D129" s="5"/>
      <c r="E129" s="6"/>
      <c r="F129" s="6"/>
      <c r="G129" s="6"/>
      <c r="H129" s="4"/>
      <c r="I129" s="4"/>
      <c r="J129" s="4"/>
      <c r="K129" s="4"/>
      <c r="L129" s="7"/>
      <c r="M129" s="4"/>
      <c r="N129" s="7"/>
      <c r="O129" s="7"/>
      <c r="P129" s="7"/>
      <c r="Q129" s="4"/>
      <c r="R129" s="7"/>
      <c r="S129" s="7"/>
      <c r="T129" s="7"/>
      <c r="U129" s="7"/>
      <c r="V129" s="7"/>
      <c r="W129" s="4"/>
      <c r="X129" s="7"/>
      <c r="Y129" s="7"/>
    </row>
    <row r="130">
      <c r="A130" s="4"/>
      <c r="B130" s="4"/>
      <c r="C130" s="8"/>
      <c r="D130" s="5"/>
      <c r="E130" s="6"/>
      <c r="F130" s="6"/>
      <c r="G130" s="6"/>
      <c r="H130" s="4"/>
      <c r="I130" s="4"/>
      <c r="J130" s="4"/>
      <c r="K130" s="4"/>
      <c r="L130" s="7"/>
      <c r="M130" s="4"/>
      <c r="N130" s="7"/>
      <c r="O130" s="7"/>
      <c r="P130" s="7"/>
      <c r="Q130" s="4"/>
      <c r="R130" s="7"/>
      <c r="S130" s="7"/>
      <c r="T130" s="7"/>
      <c r="U130" s="7"/>
      <c r="V130" s="7"/>
      <c r="W130" s="4"/>
      <c r="X130" s="7"/>
      <c r="Y130" s="7"/>
    </row>
    <row r="131">
      <c r="A131" s="4"/>
      <c r="B131" s="4"/>
      <c r="C131" s="8"/>
      <c r="D131" s="5"/>
      <c r="E131" s="6"/>
      <c r="F131" s="6"/>
      <c r="G131" s="6"/>
      <c r="H131" s="4"/>
      <c r="I131" s="4"/>
      <c r="J131" s="4"/>
      <c r="K131" s="4"/>
      <c r="L131" s="7"/>
      <c r="M131" s="4"/>
      <c r="N131" s="7"/>
      <c r="O131" s="7"/>
      <c r="P131" s="7"/>
      <c r="Q131" s="4"/>
      <c r="R131" s="7"/>
      <c r="S131" s="7"/>
      <c r="T131" s="7"/>
      <c r="U131" s="7"/>
      <c r="V131" s="7"/>
      <c r="W131" s="4"/>
      <c r="X131" s="7"/>
      <c r="Y131" s="7"/>
    </row>
    <row r="132">
      <c r="A132" s="4"/>
      <c r="B132" s="4"/>
      <c r="C132" s="8"/>
      <c r="D132" s="5"/>
      <c r="E132" s="6"/>
      <c r="F132" s="6"/>
      <c r="G132" s="6"/>
      <c r="H132" s="4"/>
      <c r="I132" s="4"/>
      <c r="J132" s="4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"/>
      <c r="X132" s="4"/>
      <c r="Y132" s="4"/>
    </row>
    <row r="133">
      <c r="A133" s="4"/>
      <c r="B133" s="4"/>
      <c r="C133" s="8"/>
      <c r="D133" s="5"/>
      <c r="E133" s="6"/>
      <c r="F133" s="6"/>
      <c r="G133" s="6"/>
      <c r="H133" s="4"/>
      <c r="I133" s="4"/>
      <c r="J133" s="4"/>
      <c r="K133" s="4"/>
      <c r="L133" s="7"/>
      <c r="M133" s="7"/>
      <c r="N133" s="7"/>
      <c r="O133" s="7"/>
      <c r="P133" s="7"/>
      <c r="Q133" s="4"/>
      <c r="R133" s="7"/>
      <c r="S133" s="7"/>
      <c r="T133" s="7"/>
      <c r="U133" s="7"/>
      <c r="V133" s="7"/>
      <c r="W133" s="4"/>
      <c r="X133" s="4"/>
      <c r="Y133" s="4"/>
    </row>
    <row r="134">
      <c r="A134" s="4"/>
      <c r="B134" s="4"/>
      <c r="C134" s="8"/>
      <c r="D134" s="5"/>
      <c r="E134" s="6"/>
      <c r="F134" s="6"/>
      <c r="G134" s="6"/>
      <c r="H134" s="4"/>
      <c r="I134" s="4"/>
      <c r="J134" s="4"/>
      <c r="K134" s="4"/>
      <c r="L134" s="7"/>
      <c r="M134" s="7"/>
      <c r="N134" s="7"/>
      <c r="O134" s="7"/>
      <c r="P134" s="7"/>
      <c r="Q134" s="4"/>
      <c r="R134" s="7"/>
      <c r="S134" s="7"/>
      <c r="T134" s="7"/>
      <c r="U134" s="7"/>
      <c r="V134" s="7"/>
      <c r="W134" s="4"/>
      <c r="X134" s="7"/>
      <c r="Y134" s="7"/>
    </row>
    <row r="135">
      <c r="A135" s="4"/>
      <c r="B135" s="4"/>
      <c r="C135" s="8"/>
      <c r="D135" s="5"/>
      <c r="E135" s="6"/>
      <c r="F135" s="6"/>
      <c r="G135" s="6"/>
      <c r="H135" s="4"/>
      <c r="I135" s="4"/>
      <c r="J135" s="4"/>
      <c r="K135" s="4"/>
      <c r="L135" s="7"/>
      <c r="M135" s="7"/>
      <c r="N135" s="4"/>
      <c r="O135" s="7"/>
      <c r="P135" s="7"/>
      <c r="Q135" s="4"/>
      <c r="R135" s="7"/>
      <c r="S135" s="7"/>
      <c r="T135" s="7"/>
      <c r="U135" s="7"/>
      <c r="V135" s="7"/>
      <c r="W135" s="4"/>
      <c r="X135" s="7"/>
      <c r="Y135" s="7"/>
    </row>
    <row r="136">
      <c r="A136" s="4"/>
      <c r="B136" s="4"/>
      <c r="C136" s="8"/>
      <c r="D136" s="5"/>
      <c r="E136" s="6"/>
      <c r="F136" s="6"/>
      <c r="G136" s="6"/>
      <c r="H136" s="4"/>
      <c r="I136" s="4"/>
      <c r="J136" s="4"/>
      <c r="K136" s="4"/>
      <c r="L136" s="7"/>
      <c r="M136" s="7"/>
      <c r="N136" s="4"/>
      <c r="O136" s="7"/>
      <c r="P136" s="7"/>
      <c r="Q136" s="4"/>
      <c r="R136" s="7"/>
      <c r="S136" s="7"/>
      <c r="T136" s="7"/>
      <c r="U136" s="7"/>
      <c r="V136" s="7"/>
      <c r="W136" s="4"/>
      <c r="X136" s="7"/>
      <c r="Y136" s="7"/>
    </row>
    <row r="137">
      <c r="A137" s="4"/>
      <c r="B137" s="4"/>
      <c r="C137" s="8"/>
      <c r="D137" s="5"/>
      <c r="E137" s="6"/>
      <c r="F137" s="6"/>
      <c r="G137" s="6"/>
      <c r="H137" s="4"/>
      <c r="I137" s="4"/>
      <c r="J137" s="4"/>
      <c r="K137" s="4"/>
      <c r="L137" s="7"/>
      <c r="M137" s="7"/>
      <c r="N137" s="4"/>
      <c r="O137" s="7"/>
      <c r="P137" s="7"/>
      <c r="Q137" s="4"/>
      <c r="R137" s="7"/>
      <c r="S137" s="7"/>
      <c r="T137" s="7"/>
      <c r="U137" s="7"/>
      <c r="V137" s="7"/>
      <c r="W137" s="7"/>
      <c r="X137" s="7"/>
      <c r="Y137" s="7"/>
    </row>
    <row r="138">
      <c r="A138" s="4"/>
      <c r="B138" s="4"/>
      <c r="C138" s="8"/>
      <c r="D138" s="5"/>
      <c r="E138" s="6"/>
      <c r="F138" s="6"/>
      <c r="G138" s="6"/>
      <c r="H138" s="4"/>
      <c r="I138" s="4"/>
      <c r="J138" s="4"/>
      <c r="K138" s="4"/>
      <c r="L138" s="4"/>
      <c r="M138" s="7"/>
      <c r="N138" s="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4"/>
      <c r="B139" s="4"/>
      <c r="C139" s="8"/>
      <c r="D139" s="5"/>
      <c r="E139" s="6"/>
      <c r="F139" s="6"/>
      <c r="G139" s="6"/>
      <c r="H139" s="4"/>
      <c r="I139" s="4"/>
      <c r="J139" s="4"/>
      <c r="K139" s="4"/>
      <c r="L139" s="4"/>
      <c r="M139" s="7"/>
      <c r="N139" s="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4"/>
      <c r="B140" s="4"/>
      <c r="C140" s="8"/>
      <c r="D140" s="5"/>
      <c r="E140" s="6"/>
      <c r="F140" s="6"/>
      <c r="G140" s="6"/>
      <c r="H140" s="4"/>
      <c r="I140" s="4"/>
      <c r="J140" s="4"/>
      <c r="K140" s="4"/>
      <c r="L140" s="4"/>
      <c r="M140" s="7"/>
      <c r="N140" s="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4"/>
      <c r="B141" s="4"/>
      <c r="C141" s="8"/>
      <c r="D141" s="5"/>
      <c r="E141" s="6"/>
      <c r="F141" s="6"/>
      <c r="G141" s="6"/>
      <c r="H141" s="4"/>
      <c r="I141" s="4"/>
      <c r="J141" s="4"/>
      <c r="K141" s="4"/>
      <c r="L141" s="4"/>
      <c r="M141" s="7"/>
      <c r="N141" s="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4"/>
      <c r="B142" s="4"/>
      <c r="C142" s="8"/>
      <c r="D142" s="5"/>
      <c r="E142" s="6"/>
      <c r="F142" s="6"/>
      <c r="G142" s="6"/>
      <c r="H142" s="4"/>
      <c r="I142" s="4"/>
      <c r="J142" s="4"/>
      <c r="K142" s="4"/>
      <c r="L142" s="4"/>
      <c r="M142" s="7"/>
      <c r="N142" s="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4"/>
      <c r="B143" s="4"/>
      <c r="C143" s="8"/>
      <c r="D143" s="5"/>
      <c r="E143" s="6"/>
      <c r="F143" s="6"/>
      <c r="G143" s="6"/>
      <c r="H143" s="4"/>
      <c r="I143" s="4"/>
      <c r="J143" s="4"/>
      <c r="K143" s="4"/>
      <c r="L143" s="4"/>
      <c r="M143" s="7"/>
      <c r="N143" s="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4"/>
      <c r="B144" s="4"/>
      <c r="C144" s="8"/>
      <c r="D144" s="5"/>
      <c r="E144" s="6"/>
      <c r="F144" s="6"/>
      <c r="G144" s="6"/>
      <c r="H144" s="4"/>
      <c r="I144" s="4"/>
      <c r="J144" s="4"/>
      <c r="K144" s="4"/>
      <c r="L144" s="4"/>
      <c r="M144" s="7"/>
      <c r="N144" s="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4"/>
      <c r="B145" s="4"/>
      <c r="C145" s="8"/>
      <c r="D145" s="5"/>
      <c r="E145" s="6"/>
      <c r="F145" s="6"/>
      <c r="G145" s="6"/>
      <c r="H145" s="4"/>
      <c r="I145" s="4"/>
      <c r="J145" s="4"/>
      <c r="K145" s="4"/>
      <c r="L145" s="4"/>
      <c r="M145" s="7"/>
      <c r="N145" s="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4"/>
      <c r="B146" s="4"/>
      <c r="C146" s="4"/>
      <c r="D146" s="5"/>
      <c r="E146" s="6"/>
      <c r="F146" s="6"/>
      <c r="G146" s="6"/>
      <c r="H146" s="4"/>
      <c r="I146" s="4"/>
      <c r="J146" s="4"/>
      <c r="K146" s="4"/>
      <c r="L146" s="7"/>
      <c r="M146" s="7"/>
      <c r="N146" s="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4"/>
      <c r="B147" s="4"/>
      <c r="C147" s="8"/>
      <c r="D147" s="5"/>
      <c r="E147" s="6"/>
      <c r="F147" s="6"/>
      <c r="G147" s="6"/>
      <c r="H147" s="4"/>
      <c r="I147" s="4"/>
      <c r="J147" s="4"/>
      <c r="K147" s="4"/>
      <c r="L147" s="7"/>
      <c r="M147" s="7"/>
      <c r="N147" s="7"/>
      <c r="O147" s="7"/>
      <c r="P147" s="7"/>
      <c r="Q147" s="7"/>
      <c r="R147" s="7"/>
      <c r="S147" s="7"/>
      <c r="T147" s="4"/>
      <c r="U147" s="4"/>
      <c r="V147" s="7"/>
      <c r="W147" s="7"/>
      <c r="X147" s="7"/>
      <c r="Y147" s="7"/>
    </row>
    <row r="148">
      <c r="A148" s="4"/>
      <c r="B148" s="4"/>
      <c r="C148" s="8"/>
      <c r="D148" s="5"/>
      <c r="E148" s="6"/>
      <c r="F148" s="6"/>
      <c r="G148" s="6"/>
      <c r="H148" s="4"/>
      <c r="I148" s="4"/>
      <c r="J148" s="4"/>
      <c r="K148" s="4"/>
      <c r="L148" s="7"/>
      <c r="M148" s="7"/>
      <c r="N148" s="7"/>
      <c r="O148" s="7"/>
      <c r="P148" s="7"/>
      <c r="Q148" s="7"/>
      <c r="R148" s="7"/>
      <c r="S148" s="7"/>
      <c r="T148" s="4"/>
      <c r="U148" s="7"/>
      <c r="V148" s="7"/>
      <c r="W148" s="7"/>
      <c r="X148" s="7"/>
      <c r="Y148" s="7"/>
    </row>
    <row r="149">
      <c r="A149" s="4"/>
      <c r="B149" s="4"/>
      <c r="C149" s="8"/>
      <c r="D149" s="5"/>
      <c r="E149" s="6"/>
      <c r="F149" s="6"/>
      <c r="G149" s="6"/>
      <c r="H149" s="4"/>
      <c r="I149" s="4"/>
      <c r="J149" s="4"/>
      <c r="K149" s="4"/>
      <c r="L149" s="7"/>
      <c r="M149" s="7"/>
      <c r="N149" s="7"/>
      <c r="O149" s="4"/>
      <c r="P149" s="7"/>
      <c r="Q149" s="7"/>
      <c r="R149" s="7"/>
      <c r="S149" s="7"/>
      <c r="T149" s="7"/>
      <c r="U149" s="4"/>
      <c r="V149" s="7"/>
      <c r="W149" s="7"/>
      <c r="X149" s="7"/>
      <c r="Y149" s="7"/>
    </row>
    <row r="150">
      <c r="A150" s="4"/>
      <c r="B150" s="4"/>
      <c r="C150" s="8"/>
      <c r="D150" s="5"/>
      <c r="E150" s="6"/>
      <c r="F150" s="6"/>
      <c r="G150" s="6"/>
      <c r="H150" s="4"/>
      <c r="I150" s="4"/>
      <c r="J150" s="4"/>
      <c r="K150" s="4"/>
      <c r="L150" s="4"/>
      <c r="M150" s="7"/>
      <c r="N150" s="7"/>
      <c r="O150" s="7"/>
      <c r="P150" s="4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4"/>
      <c r="B151" s="4"/>
      <c r="C151" s="8"/>
      <c r="D151" s="5"/>
      <c r="E151" s="6"/>
      <c r="F151" s="6"/>
      <c r="G151" s="6"/>
      <c r="H151" s="4"/>
      <c r="I151" s="4"/>
      <c r="J151" s="4"/>
      <c r="K151" s="4"/>
      <c r="L151" s="7"/>
      <c r="M151" s="7"/>
      <c r="N151" s="7"/>
      <c r="O151" s="7"/>
      <c r="P151" s="7"/>
      <c r="Q151" s="4"/>
      <c r="R151" s="7"/>
      <c r="S151" s="7"/>
      <c r="T151" s="7"/>
      <c r="U151" s="7"/>
      <c r="V151" s="7"/>
      <c r="W151" s="7"/>
      <c r="X151" s="7"/>
      <c r="Y151" s="7"/>
    </row>
    <row r="152">
      <c r="A152" s="4"/>
      <c r="B152" s="4"/>
      <c r="C152" s="8"/>
      <c r="D152" s="5"/>
      <c r="E152" s="6"/>
      <c r="F152" s="6"/>
      <c r="G152" s="6"/>
      <c r="H152" s="4"/>
      <c r="I152" s="4"/>
      <c r="J152" s="4"/>
      <c r="K152" s="4"/>
      <c r="L152" s="7"/>
      <c r="M152" s="7"/>
      <c r="N152" s="4"/>
      <c r="O152" s="7"/>
      <c r="P152" s="4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4"/>
      <c r="B153" s="4"/>
      <c r="C153" s="8"/>
      <c r="D153" s="5"/>
      <c r="E153" s="6"/>
      <c r="F153" s="6"/>
      <c r="G153" s="6"/>
      <c r="H153" s="4"/>
      <c r="I153" s="4"/>
      <c r="J153" s="4"/>
      <c r="K153" s="4"/>
      <c r="L153" s="7"/>
      <c r="M153" s="7"/>
      <c r="N153" s="7"/>
      <c r="O153" s="7"/>
      <c r="P153" s="4"/>
      <c r="Q153" s="7"/>
      <c r="R153" s="7"/>
      <c r="S153" s="7"/>
      <c r="T153" s="4"/>
      <c r="U153" s="7"/>
      <c r="V153" s="7"/>
      <c r="W153" s="7"/>
      <c r="X153" s="7"/>
      <c r="Y153" s="7"/>
    </row>
    <row r="154">
      <c r="A154" s="4"/>
      <c r="B154" s="4"/>
      <c r="C154" s="8"/>
      <c r="D154" s="5"/>
      <c r="E154" s="6"/>
      <c r="F154" s="6"/>
      <c r="G154" s="6"/>
      <c r="H154" s="4"/>
      <c r="I154" s="4"/>
      <c r="J154" s="4"/>
      <c r="K154" s="4"/>
      <c r="L154" s="7"/>
      <c r="M154" s="7"/>
      <c r="N154" s="7"/>
      <c r="O154" s="7"/>
      <c r="P154" s="4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4"/>
      <c r="B155" s="4"/>
      <c r="C155" s="8"/>
      <c r="D155" s="5"/>
      <c r="E155" s="6"/>
      <c r="F155" s="6"/>
      <c r="G155" s="6"/>
      <c r="H155" s="4"/>
      <c r="I155" s="4"/>
      <c r="J155" s="4"/>
      <c r="K155" s="4"/>
      <c r="L155" s="7"/>
      <c r="M155" s="7"/>
      <c r="N155" s="7"/>
      <c r="O155" s="7"/>
      <c r="P155" s="7"/>
      <c r="Q155" s="4"/>
      <c r="R155" s="7"/>
      <c r="S155" s="4"/>
      <c r="T155" s="7"/>
      <c r="U155" s="7"/>
      <c r="V155" s="7"/>
      <c r="W155" s="7"/>
      <c r="X155" s="7"/>
      <c r="Y155" s="7"/>
    </row>
    <row r="156">
      <c r="A156" s="4"/>
      <c r="B156" s="4"/>
      <c r="C156" s="8"/>
      <c r="D156" s="5"/>
      <c r="E156" s="6"/>
      <c r="F156" s="6"/>
      <c r="G156" s="6"/>
      <c r="H156" s="4"/>
      <c r="I156" s="4"/>
      <c r="J156" s="4"/>
      <c r="K156" s="4"/>
      <c r="L156" s="7"/>
      <c r="M156" s="7"/>
      <c r="N156" s="4"/>
      <c r="O156" s="7"/>
      <c r="P156" s="4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4"/>
      <c r="B157" s="4"/>
      <c r="C157" s="8"/>
      <c r="D157" s="5"/>
      <c r="E157" s="6"/>
      <c r="F157" s="6"/>
      <c r="G157" s="6"/>
      <c r="H157" s="4"/>
      <c r="I157" s="4"/>
      <c r="J157" s="4"/>
      <c r="K157" s="4"/>
      <c r="L157" s="4"/>
      <c r="M157" s="7"/>
      <c r="N157" s="7"/>
      <c r="O157" s="7"/>
      <c r="P157" s="4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4"/>
      <c r="B158" s="4"/>
      <c r="C158" s="8"/>
      <c r="D158" s="5"/>
      <c r="E158" s="6"/>
      <c r="F158" s="6"/>
      <c r="G158" s="6"/>
      <c r="H158" s="4"/>
      <c r="I158" s="4"/>
      <c r="J158" s="4"/>
      <c r="K158" s="4"/>
      <c r="L158" s="7"/>
      <c r="M158" s="7"/>
      <c r="N158" s="7"/>
      <c r="O158" s="7"/>
      <c r="P158" s="4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4"/>
      <c r="B159" s="4"/>
      <c r="C159" s="8"/>
      <c r="D159" s="5"/>
      <c r="E159" s="6"/>
      <c r="F159" s="6"/>
      <c r="G159" s="6"/>
      <c r="H159" s="4"/>
      <c r="I159" s="4"/>
      <c r="J159" s="4"/>
      <c r="K159" s="4"/>
      <c r="L159" s="7"/>
      <c r="M159" s="7"/>
      <c r="N159" s="7"/>
      <c r="O159" s="7"/>
      <c r="P159" s="4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4"/>
      <c r="B160" s="4"/>
      <c r="C160" s="8"/>
      <c r="D160" s="5"/>
      <c r="E160" s="6"/>
      <c r="F160" s="6"/>
      <c r="G160" s="6"/>
      <c r="H160" s="4"/>
      <c r="I160" s="4"/>
      <c r="J160" s="4"/>
      <c r="K160" s="4"/>
      <c r="L160" s="4"/>
      <c r="M160" s="7"/>
      <c r="N160" s="7"/>
      <c r="O160" s="7"/>
      <c r="P160" s="4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4"/>
      <c r="B161" s="4"/>
      <c r="C161" s="8"/>
      <c r="D161" s="5"/>
      <c r="E161" s="6"/>
      <c r="F161" s="6"/>
      <c r="G161" s="6"/>
      <c r="H161" s="4"/>
      <c r="I161" s="4"/>
      <c r="J161" s="4"/>
      <c r="K161" s="4"/>
      <c r="L161" s="4"/>
      <c r="M161" s="7"/>
      <c r="N161" s="7"/>
      <c r="O161" s="7"/>
      <c r="P161" s="7"/>
      <c r="Q161" s="4"/>
      <c r="R161" s="7"/>
      <c r="S161" s="7"/>
      <c r="T161" s="7"/>
      <c r="U161" s="7"/>
      <c r="V161" s="7"/>
      <c r="W161" s="7"/>
      <c r="X161" s="7"/>
      <c r="Y161" s="7"/>
    </row>
    <row r="162">
      <c r="A162" s="4"/>
      <c r="B162" s="4"/>
      <c r="C162" s="8"/>
      <c r="D162" s="5"/>
      <c r="E162" s="6"/>
      <c r="F162" s="6"/>
      <c r="G162" s="6"/>
      <c r="H162" s="4"/>
      <c r="I162" s="4"/>
      <c r="J162" s="4"/>
      <c r="K162" s="4"/>
      <c r="L162" s="7"/>
      <c r="M162" s="7"/>
      <c r="N162" s="7"/>
      <c r="O162" s="7"/>
      <c r="P162" s="4"/>
      <c r="Q162" s="7"/>
      <c r="R162" s="4"/>
      <c r="S162" s="7"/>
      <c r="T162" s="7"/>
      <c r="U162" s="7"/>
      <c r="V162" s="7"/>
      <c r="W162" s="7"/>
      <c r="X162" s="7"/>
      <c r="Y162" s="7"/>
    </row>
    <row r="163">
      <c r="A163" s="4"/>
      <c r="B163" s="4"/>
      <c r="C163" s="8"/>
      <c r="D163" s="5"/>
      <c r="E163" s="6"/>
      <c r="F163" s="6"/>
      <c r="G163" s="6"/>
      <c r="H163" s="4"/>
      <c r="I163" s="4"/>
      <c r="J163" s="4"/>
      <c r="K163" s="4"/>
      <c r="L163" s="7"/>
      <c r="M163" s="7"/>
      <c r="N163" s="7"/>
      <c r="O163" s="7"/>
      <c r="P163" s="4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4"/>
      <c r="B164" s="4"/>
      <c r="C164" s="8"/>
      <c r="D164" s="5"/>
      <c r="E164" s="6"/>
      <c r="F164" s="6"/>
      <c r="G164" s="6"/>
      <c r="H164" s="4"/>
      <c r="I164" s="4"/>
      <c r="J164" s="4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"/>
      <c r="X164" s="7"/>
      <c r="Y164" s="7"/>
    </row>
    <row r="165">
      <c r="A165" s="4"/>
      <c r="B165" s="4"/>
      <c r="C165" s="8"/>
      <c r="D165" s="5"/>
      <c r="E165" s="6"/>
      <c r="F165" s="6"/>
      <c r="G165" s="6"/>
      <c r="H165" s="4"/>
      <c r="I165" s="4"/>
      <c r="J165" s="4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"/>
      <c r="X165" s="7"/>
      <c r="Y165" s="7"/>
    </row>
    <row r="166">
      <c r="A166" s="4"/>
      <c r="B166" s="8"/>
      <c r="C166" s="4"/>
      <c r="D166" s="5"/>
      <c r="E166" s="6"/>
      <c r="F166" s="6"/>
      <c r="G166" s="6"/>
      <c r="H166" s="4"/>
      <c r="I166" s="4"/>
      <c r="J166" s="4"/>
      <c r="K166" s="4"/>
      <c r="L166" s="7"/>
      <c r="M166" s="7"/>
      <c r="N166" s="7"/>
      <c r="O166" s="7"/>
      <c r="P166" s="4"/>
      <c r="Q166" s="7"/>
      <c r="R166" s="7"/>
      <c r="S166" s="7"/>
      <c r="T166" s="7"/>
      <c r="U166" s="7"/>
      <c r="V166" s="7"/>
      <c r="W166" s="4"/>
      <c r="X166" s="7"/>
      <c r="Y166" s="7"/>
    </row>
    <row r="167">
      <c r="A167" s="4"/>
      <c r="B167" s="8"/>
      <c r="C167" s="8"/>
      <c r="D167" s="5"/>
      <c r="E167" s="6"/>
      <c r="F167" s="6"/>
      <c r="G167" s="6"/>
      <c r="H167" s="4"/>
      <c r="I167" s="4"/>
      <c r="J167" s="4"/>
      <c r="K167" s="4"/>
      <c r="L167" s="7"/>
      <c r="M167" s="7"/>
      <c r="N167" s="7"/>
      <c r="O167" s="7"/>
      <c r="P167" s="4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4"/>
      <c r="B168" s="8"/>
      <c r="C168" s="8"/>
      <c r="D168" s="5"/>
      <c r="E168" s="6"/>
      <c r="F168" s="6"/>
      <c r="G168" s="6"/>
      <c r="H168" s="4"/>
      <c r="I168" s="4"/>
      <c r="J168" s="4"/>
      <c r="K168" s="4"/>
      <c r="L168" s="7"/>
      <c r="M168" s="7"/>
      <c r="N168" s="7"/>
      <c r="O168" s="7"/>
      <c r="P168" s="4"/>
      <c r="Q168" s="7"/>
      <c r="R168" s="7"/>
      <c r="S168" s="7"/>
      <c r="T168" s="7"/>
      <c r="U168" s="7"/>
      <c r="V168" s="7"/>
      <c r="W168" s="4"/>
      <c r="X168" s="7"/>
      <c r="Y168" s="7"/>
    </row>
    <row r="169">
      <c r="A169" s="4"/>
      <c r="B169" s="8"/>
      <c r="C169" s="8"/>
      <c r="D169" s="5"/>
      <c r="E169" s="6"/>
      <c r="F169" s="6"/>
      <c r="G169" s="6"/>
      <c r="H169" s="4"/>
      <c r="I169" s="4"/>
      <c r="J169" s="4"/>
      <c r="K169" s="4"/>
      <c r="L169" s="7"/>
      <c r="M169" s="7"/>
      <c r="N169" s="7"/>
      <c r="O169" s="7"/>
      <c r="P169" s="4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4"/>
      <c r="B170" s="4"/>
      <c r="C170" s="8"/>
      <c r="D170" s="5"/>
      <c r="E170" s="6"/>
      <c r="F170" s="6"/>
      <c r="G170" s="6"/>
      <c r="H170" s="4"/>
      <c r="I170" s="4"/>
      <c r="J170" s="4"/>
      <c r="K170" s="4"/>
      <c r="L170" s="7"/>
      <c r="M170" s="7"/>
      <c r="N170" s="7"/>
      <c r="O170" s="4"/>
      <c r="P170" s="7"/>
      <c r="Q170" s="4"/>
      <c r="R170" s="7"/>
      <c r="S170" s="7"/>
      <c r="T170" s="7"/>
      <c r="U170" s="7"/>
      <c r="V170" s="7"/>
      <c r="W170" s="7"/>
      <c r="X170" s="7"/>
      <c r="Y170" s="7"/>
    </row>
    <row r="171">
      <c r="A171" s="4"/>
      <c r="B171" s="4"/>
      <c r="C171" s="8"/>
      <c r="D171" s="5"/>
      <c r="E171" s="6"/>
      <c r="F171" s="6"/>
      <c r="G171" s="6"/>
      <c r="H171" s="4"/>
      <c r="I171" s="4"/>
      <c r="J171" s="4"/>
      <c r="K171" s="4"/>
      <c r="L171" s="7"/>
      <c r="M171" s="7"/>
      <c r="N171" s="4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7"/>
    </row>
    <row r="172">
      <c r="A172" s="4"/>
      <c r="B172" s="4"/>
      <c r="C172" s="8"/>
      <c r="D172" s="5"/>
      <c r="E172" s="6"/>
      <c r="F172" s="6"/>
      <c r="G172" s="6"/>
      <c r="H172" s="4"/>
      <c r="I172" s="4"/>
      <c r="J172" s="4"/>
      <c r="K172" s="4"/>
      <c r="L172" s="7"/>
      <c r="M172" s="7"/>
      <c r="N172" s="4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7"/>
    </row>
    <row r="173">
      <c r="A173" s="4"/>
      <c r="B173" s="4"/>
      <c r="C173" s="8"/>
      <c r="D173" s="5"/>
      <c r="E173" s="6"/>
      <c r="F173" s="6"/>
      <c r="G173" s="6"/>
      <c r="H173" s="4"/>
      <c r="I173" s="4"/>
      <c r="J173" s="4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7"/>
    </row>
    <row r="174">
      <c r="A174" s="4"/>
      <c r="B174" s="4"/>
      <c r="C174" s="8"/>
      <c r="D174" s="5"/>
      <c r="E174" s="6"/>
      <c r="F174" s="6"/>
      <c r="G174" s="6"/>
      <c r="H174" s="4"/>
      <c r="I174" s="4"/>
      <c r="J174" s="4"/>
      <c r="K174" s="4"/>
      <c r="L174" s="7"/>
      <c r="M174" s="7"/>
      <c r="N174" s="7"/>
      <c r="O174" s="4"/>
      <c r="P174" s="7"/>
      <c r="Q174" s="7"/>
      <c r="R174" s="7"/>
      <c r="S174" s="7"/>
      <c r="T174" s="7"/>
      <c r="U174" s="7"/>
      <c r="V174" s="7"/>
      <c r="W174" s="7"/>
      <c r="X174" s="4"/>
      <c r="Y174" s="7"/>
    </row>
    <row r="175">
      <c r="A175" s="4"/>
      <c r="B175" s="4"/>
      <c r="C175" s="8"/>
      <c r="D175" s="5"/>
      <c r="E175" s="6"/>
      <c r="F175" s="6"/>
      <c r="G175" s="6"/>
      <c r="H175" s="4"/>
      <c r="I175" s="4"/>
      <c r="J175" s="4"/>
      <c r="K175" s="4"/>
      <c r="L175" s="7"/>
      <c r="M175" s="7"/>
      <c r="N175" s="7"/>
      <c r="O175" s="4"/>
      <c r="P175" s="7"/>
      <c r="Q175" s="7"/>
      <c r="R175" s="7"/>
      <c r="S175" s="7"/>
      <c r="T175" s="7"/>
      <c r="U175" s="7"/>
      <c r="V175" s="7"/>
      <c r="W175" s="7"/>
      <c r="X175" s="4"/>
      <c r="Y175" s="7"/>
    </row>
    <row r="176">
      <c r="A176" s="4"/>
      <c r="B176" s="4"/>
      <c r="C176" s="8"/>
      <c r="D176" s="5"/>
      <c r="E176" s="6"/>
      <c r="F176" s="6"/>
      <c r="G176" s="6"/>
      <c r="H176" s="4"/>
      <c r="I176" s="4"/>
      <c r="J176" s="4"/>
      <c r="K176" s="4"/>
      <c r="L176" s="7"/>
      <c r="M176" s="7"/>
      <c r="N176" s="7"/>
      <c r="O176" s="4"/>
      <c r="P176" s="7"/>
      <c r="Q176" s="7"/>
      <c r="R176" s="7"/>
      <c r="S176" s="7"/>
      <c r="T176" s="7"/>
      <c r="U176" s="7"/>
      <c r="V176" s="7"/>
      <c r="W176" s="7"/>
      <c r="X176" s="4"/>
      <c r="Y176" s="7"/>
    </row>
    <row r="177">
      <c r="A177" s="4"/>
      <c r="B177" s="4"/>
      <c r="C177" s="8"/>
      <c r="D177" s="5"/>
      <c r="E177" s="6"/>
      <c r="F177" s="6"/>
      <c r="G177" s="6"/>
      <c r="H177" s="4"/>
      <c r="I177" s="4"/>
      <c r="J177" s="4"/>
      <c r="K177" s="4"/>
      <c r="L177" s="7"/>
      <c r="M177" s="7"/>
      <c r="N177" s="7"/>
      <c r="O177" s="4"/>
      <c r="P177" s="7"/>
      <c r="Q177" s="7"/>
      <c r="R177" s="7"/>
      <c r="S177" s="7"/>
      <c r="T177" s="7"/>
      <c r="U177" s="7"/>
      <c r="V177" s="7"/>
      <c r="W177" s="7"/>
      <c r="X177" s="4"/>
      <c r="Y177" s="7"/>
    </row>
    <row r="178">
      <c r="A178" s="4"/>
      <c r="B178" s="4"/>
      <c r="C178" s="8"/>
      <c r="D178" s="5"/>
      <c r="E178" s="6"/>
      <c r="F178" s="6"/>
      <c r="G178" s="6"/>
      <c r="H178" s="4"/>
      <c r="I178" s="4"/>
      <c r="J178" s="4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7"/>
    </row>
    <row r="179">
      <c r="A179" s="4"/>
      <c r="B179" s="4"/>
      <c r="C179" s="8"/>
      <c r="D179" s="5"/>
      <c r="E179" s="6"/>
      <c r="F179" s="6"/>
      <c r="G179" s="6"/>
      <c r="H179" s="4"/>
      <c r="I179" s="4"/>
      <c r="J179" s="4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7"/>
    </row>
    <row r="180">
      <c r="A180" s="4"/>
      <c r="B180" s="4"/>
      <c r="C180" s="8"/>
      <c r="D180" s="5"/>
      <c r="E180" s="6"/>
      <c r="F180" s="6"/>
      <c r="G180" s="6"/>
      <c r="H180" s="4"/>
      <c r="I180" s="4"/>
      <c r="J180" s="4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7"/>
    </row>
    <row r="181">
      <c r="A181" s="4"/>
      <c r="B181" s="4"/>
      <c r="C181" s="8"/>
      <c r="D181" s="5"/>
      <c r="E181" s="6"/>
      <c r="F181" s="6"/>
      <c r="G181" s="6"/>
      <c r="H181" s="4"/>
      <c r="I181" s="4"/>
      <c r="J181" s="4"/>
      <c r="K181" s="4"/>
      <c r="L181" s="7"/>
      <c r="M181" s="7"/>
      <c r="N181" s="7"/>
      <c r="O181" s="7"/>
      <c r="P181" s="7"/>
      <c r="Q181" s="4"/>
      <c r="R181" s="7"/>
      <c r="S181" s="7"/>
      <c r="T181" s="7"/>
      <c r="U181" s="7"/>
      <c r="V181" s="7"/>
      <c r="W181" s="4"/>
      <c r="X181" s="7"/>
      <c r="Y181" s="7"/>
    </row>
    <row r="182">
      <c r="A182" s="4"/>
      <c r="B182" s="4"/>
      <c r="C182" s="8"/>
      <c r="D182" s="5"/>
      <c r="E182" s="6"/>
      <c r="F182" s="6"/>
      <c r="G182" s="6"/>
      <c r="H182" s="4"/>
      <c r="I182" s="4"/>
      <c r="J182" s="4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"/>
      <c r="X182" s="7"/>
      <c r="Y182" s="7"/>
    </row>
    <row r="183">
      <c r="A183" s="4"/>
      <c r="B183" s="4"/>
      <c r="C183" s="8"/>
      <c r="D183" s="5"/>
      <c r="E183" s="6"/>
      <c r="F183" s="6"/>
      <c r="G183" s="6"/>
      <c r="H183" s="4"/>
      <c r="I183" s="4"/>
      <c r="J183" s="4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"/>
      <c r="X183" s="7"/>
      <c r="Y183" s="7"/>
    </row>
    <row r="184">
      <c r="A184" s="4"/>
      <c r="B184" s="4"/>
      <c r="C184" s="8"/>
      <c r="D184" s="5"/>
      <c r="E184" s="6"/>
      <c r="F184" s="6"/>
      <c r="G184" s="6"/>
      <c r="H184" s="4"/>
      <c r="I184" s="4"/>
      <c r="J184" s="4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4"/>
      <c r="W184" s="7"/>
      <c r="X184" s="7"/>
      <c r="Y184" s="7"/>
    </row>
    <row r="185">
      <c r="A185" s="4"/>
      <c r="B185" s="4"/>
      <c r="C185" s="8"/>
      <c r="D185" s="5"/>
      <c r="E185" s="6"/>
      <c r="F185" s="6"/>
      <c r="G185" s="6"/>
      <c r="H185" s="4"/>
      <c r="I185" s="4"/>
      <c r="J185" s="4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4"/>
      <c r="W185" s="7"/>
      <c r="X185" s="7"/>
      <c r="Y185" s="7"/>
    </row>
    <row r="186">
      <c r="A186" s="4"/>
      <c r="B186" s="4"/>
      <c r="C186" s="8"/>
      <c r="D186" s="5"/>
      <c r="E186" s="6"/>
      <c r="F186" s="6"/>
      <c r="G186" s="6"/>
      <c r="H186" s="4"/>
      <c r="I186" s="4"/>
      <c r="J186" s="4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4"/>
      <c r="W186" s="7"/>
      <c r="X186" s="7"/>
      <c r="Y186" s="7"/>
    </row>
    <row r="187">
      <c r="A187" s="4"/>
      <c r="B187" s="4"/>
      <c r="C187" s="8"/>
      <c r="D187" s="5"/>
      <c r="E187" s="6"/>
      <c r="F187" s="6"/>
      <c r="G187" s="6"/>
      <c r="H187" s="4"/>
      <c r="I187" s="4"/>
      <c r="J187" s="4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4"/>
      <c r="W187" s="7"/>
      <c r="X187" s="7"/>
      <c r="Y187" s="7"/>
    </row>
    <row r="188">
      <c r="A188" s="4"/>
      <c r="B188" s="4"/>
      <c r="C188" s="8"/>
      <c r="D188" s="5"/>
      <c r="E188" s="6"/>
      <c r="F188" s="6"/>
      <c r="G188" s="6"/>
      <c r="H188" s="4"/>
      <c r="I188" s="4"/>
      <c r="J188" s="4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4"/>
      <c r="W188" s="7"/>
      <c r="X188" s="7"/>
      <c r="Y188" s="7"/>
    </row>
    <row r="189">
      <c r="A189" s="4"/>
      <c r="B189" s="4"/>
      <c r="C189" s="8"/>
      <c r="D189" s="5"/>
      <c r="E189" s="6"/>
      <c r="F189" s="6"/>
      <c r="G189" s="6"/>
      <c r="H189" s="4"/>
      <c r="I189" s="4"/>
      <c r="J189" s="4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4"/>
      <c r="W189" s="7"/>
      <c r="X189" s="7"/>
      <c r="Y189" s="7"/>
    </row>
    <row r="190">
      <c r="A190" s="4"/>
      <c r="B190" s="4"/>
      <c r="C190" s="8"/>
      <c r="D190" s="5"/>
      <c r="E190" s="6"/>
      <c r="F190" s="6"/>
      <c r="G190" s="6"/>
      <c r="H190" s="4"/>
      <c r="I190" s="4"/>
      <c r="J190" s="4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4"/>
      <c r="W190" s="7"/>
      <c r="X190" s="7"/>
      <c r="Y190" s="7"/>
    </row>
    <row r="191">
      <c r="A191" s="4"/>
      <c r="B191" s="4"/>
      <c r="C191" s="8"/>
      <c r="D191" s="5"/>
      <c r="E191" s="6"/>
      <c r="F191" s="6"/>
      <c r="G191" s="6"/>
      <c r="H191" s="4"/>
      <c r="I191" s="4"/>
      <c r="J191" s="4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4"/>
      <c r="W191" s="7"/>
      <c r="X191" s="7"/>
      <c r="Y191" s="7"/>
    </row>
    <row r="192">
      <c r="A192" s="4"/>
      <c r="B192" s="4"/>
      <c r="C192" s="8"/>
      <c r="D192" s="5"/>
      <c r="E192" s="6"/>
      <c r="F192" s="6"/>
      <c r="G192" s="6"/>
      <c r="H192" s="4"/>
      <c r="I192" s="4"/>
      <c r="J192" s="4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4"/>
      <c r="W192" s="7"/>
      <c r="X192" s="7"/>
      <c r="Y192" s="7"/>
    </row>
    <row r="193">
      <c r="A193" s="4"/>
      <c r="B193" s="4"/>
      <c r="C193" s="8"/>
      <c r="D193" s="5"/>
      <c r="E193" s="6"/>
      <c r="F193" s="6"/>
      <c r="G193" s="6"/>
      <c r="H193" s="4"/>
      <c r="I193" s="4"/>
      <c r="J193" s="4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4"/>
      <c r="W193" s="7"/>
      <c r="X193" s="7"/>
      <c r="Y193" s="7"/>
    </row>
    <row r="194">
      <c r="A194" s="4"/>
      <c r="B194" s="4"/>
      <c r="C194" s="8"/>
      <c r="D194" s="5"/>
      <c r="E194" s="6"/>
      <c r="F194" s="6"/>
      <c r="G194" s="6"/>
      <c r="H194" s="4"/>
      <c r="I194" s="4"/>
      <c r="J194" s="4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4"/>
      <c r="W194" s="7"/>
      <c r="X194" s="7"/>
      <c r="Y194" s="7"/>
    </row>
    <row r="195">
      <c r="A195" s="4"/>
      <c r="B195" s="4"/>
      <c r="C195" s="8"/>
      <c r="D195" s="5"/>
      <c r="E195" s="6"/>
      <c r="F195" s="6"/>
      <c r="G195" s="6"/>
      <c r="H195" s="4"/>
      <c r="I195" s="4"/>
      <c r="J195" s="4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4"/>
      <c r="W195" s="7"/>
      <c r="X195" s="7"/>
      <c r="Y195" s="7"/>
    </row>
    <row r="196">
      <c r="A196" s="4"/>
      <c r="B196" s="4"/>
      <c r="C196" s="8"/>
      <c r="D196" s="5"/>
      <c r="E196" s="6"/>
      <c r="F196" s="6"/>
      <c r="G196" s="6"/>
      <c r="H196" s="4"/>
      <c r="I196" s="4"/>
      <c r="J196" s="4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4"/>
      <c r="W196" s="7"/>
      <c r="X196" s="7"/>
      <c r="Y196" s="7"/>
    </row>
    <row r="197">
      <c r="A197" s="4"/>
      <c r="B197" s="4"/>
      <c r="C197" s="8"/>
      <c r="D197" s="5"/>
      <c r="E197" s="6"/>
      <c r="F197" s="6"/>
      <c r="G197" s="6"/>
      <c r="H197" s="4"/>
      <c r="I197" s="4"/>
      <c r="J197" s="4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4"/>
      <c r="W197" s="7"/>
      <c r="X197" s="7"/>
      <c r="Y197" s="7"/>
    </row>
    <row r="198">
      <c r="A198" s="4"/>
      <c r="B198" s="4"/>
      <c r="C198" s="8"/>
      <c r="D198" s="5"/>
      <c r="E198" s="6"/>
      <c r="F198" s="6"/>
      <c r="G198" s="6"/>
      <c r="H198" s="4"/>
      <c r="I198" s="4"/>
      <c r="J198" s="4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4"/>
      <c r="W198" s="7"/>
      <c r="X198" s="7"/>
      <c r="Y198" s="7"/>
    </row>
    <row r="199">
      <c r="A199" s="4"/>
      <c r="B199" s="4"/>
      <c r="C199" s="8"/>
      <c r="D199" s="5"/>
      <c r="E199" s="6"/>
      <c r="F199" s="6"/>
      <c r="G199" s="6"/>
      <c r="H199" s="4"/>
      <c r="I199" s="4"/>
      <c r="J199" s="4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4"/>
      <c r="W199" s="7"/>
      <c r="X199" s="7"/>
      <c r="Y199" s="7"/>
    </row>
    <row r="200">
      <c r="A200" s="4"/>
      <c r="B200" s="4"/>
      <c r="C200" s="8"/>
      <c r="D200" s="5"/>
      <c r="E200" s="6"/>
      <c r="F200" s="6"/>
      <c r="G200" s="6"/>
      <c r="H200" s="4"/>
      <c r="I200" s="4"/>
      <c r="J200" s="4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4"/>
      <c r="W200" s="7"/>
      <c r="X200" s="7"/>
      <c r="Y200" s="7"/>
    </row>
    <row r="201">
      <c r="A201" s="4"/>
      <c r="B201" s="4"/>
      <c r="C201" s="8"/>
      <c r="D201" s="5"/>
      <c r="E201" s="6"/>
      <c r="F201" s="6"/>
      <c r="G201" s="6"/>
      <c r="H201" s="4"/>
      <c r="I201" s="4"/>
      <c r="J201" s="4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4"/>
      <c r="B202" s="4"/>
      <c r="C202" s="8"/>
      <c r="D202" s="5"/>
      <c r="E202" s="6"/>
      <c r="F202" s="6"/>
      <c r="G202" s="6"/>
      <c r="H202" s="4"/>
      <c r="I202" s="4"/>
      <c r="J202" s="4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4"/>
      <c r="B203" s="4"/>
      <c r="C203" s="8"/>
      <c r="D203" s="5"/>
      <c r="E203" s="6"/>
      <c r="F203" s="6"/>
      <c r="G203" s="6"/>
      <c r="H203" s="4"/>
      <c r="I203" s="4"/>
      <c r="J203" s="4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4"/>
      <c r="B204" s="4"/>
      <c r="C204" s="8"/>
      <c r="D204" s="5"/>
      <c r="E204" s="6"/>
      <c r="F204" s="6"/>
      <c r="G204" s="6"/>
      <c r="H204" s="4"/>
      <c r="I204" s="4"/>
      <c r="J204" s="4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4"/>
      <c r="B205" s="4"/>
      <c r="C205" s="8"/>
      <c r="D205" s="5"/>
      <c r="E205" s="6"/>
      <c r="F205" s="6"/>
      <c r="G205" s="6"/>
      <c r="H205" s="4"/>
      <c r="I205" s="4"/>
      <c r="J205" s="4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4"/>
      <c r="B206" s="4"/>
      <c r="C206" s="8"/>
      <c r="D206" s="5"/>
      <c r="E206" s="6"/>
      <c r="F206" s="6"/>
      <c r="G206" s="6"/>
      <c r="H206" s="4"/>
      <c r="I206" s="4"/>
      <c r="J206" s="4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4"/>
      <c r="B207" s="4"/>
      <c r="C207" s="8"/>
      <c r="D207" s="5"/>
      <c r="E207" s="6"/>
      <c r="F207" s="6"/>
      <c r="G207" s="6"/>
      <c r="H207" s="4"/>
      <c r="I207" s="4"/>
      <c r="J207" s="4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4"/>
      <c r="B208" s="4"/>
      <c r="C208" s="8"/>
      <c r="D208" s="5"/>
      <c r="E208" s="6"/>
      <c r="F208" s="6"/>
      <c r="G208" s="6"/>
      <c r="H208" s="4"/>
      <c r="I208" s="4"/>
      <c r="J208" s="4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4"/>
      <c r="B209" s="4"/>
      <c r="C209" s="8"/>
      <c r="D209" s="5"/>
      <c r="E209" s="6"/>
      <c r="F209" s="6"/>
      <c r="G209" s="6"/>
      <c r="H209" s="4"/>
      <c r="I209" s="4"/>
      <c r="J209" s="4"/>
      <c r="K209" s="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4"/>
      <c r="B210" s="4"/>
      <c r="C210" s="8"/>
      <c r="D210" s="5"/>
      <c r="E210" s="6"/>
      <c r="F210" s="6"/>
      <c r="G210" s="6"/>
      <c r="H210" s="4"/>
      <c r="I210" s="4"/>
      <c r="J210" s="4"/>
      <c r="K210" s="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4"/>
      <c r="B211" s="4"/>
      <c r="C211" s="8"/>
      <c r="D211" s="5"/>
      <c r="E211" s="6"/>
      <c r="F211" s="6"/>
      <c r="G211" s="6"/>
      <c r="H211" s="4"/>
      <c r="I211" s="4"/>
      <c r="J211" s="4"/>
      <c r="K211" s="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4"/>
      <c r="B212" s="4"/>
      <c r="C212" s="8"/>
      <c r="D212" s="5"/>
      <c r="E212" s="6"/>
      <c r="F212" s="6"/>
      <c r="G212" s="6"/>
      <c r="H212" s="4"/>
      <c r="I212" s="4"/>
      <c r="J212" s="4"/>
      <c r="K212" s="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4"/>
      <c r="B213" s="4"/>
      <c r="C213" s="8"/>
      <c r="D213" s="5"/>
      <c r="E213" s="6"/>
      <c r="F213" s="6"/>
      <c r="G213" s="6"/>
      <c r="H213" s="4"/>
      <c r="I213" s="4"/>
      <c r="J213" s="4"/>
      <c r="K213" s="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4"/>
      <c r="B214" s="4"/>
      <c r="C214" s="8"/>
      <c r="D214" s="5"/>
      <c r="E214" s="6"/>
      <c r="F214" s="6"/>
      <c r="G214" s="6"/>
      <c r="H214" s="4"/>
      <c r="I214" s="4"/>
      <c r="J214" s="4"/>
      <c r="K214" s="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4"/>
      <c r="B215" s="4"/>
      <c r="C215" s="8"/>
      <c r="D215" s="5"/>
      <c r="E215" s="6"/>
      <c r="F215" s="6"/>
      <c r="G215" s="6"/>
      <c r="H215" s="4"/>
      <c r="I215" s="4"/>
      <c r="J215" s="4"/>
      <c r="K215" s="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4"/>
      <c r="B216" s="4"/>
      <c r="C216" s="8"/>
      <c r="D216" s="5"/>
      <c r="E216" s="6"/>
      <c r="F216" s="6"/>
      <c r="G216" s="6"/>
      <c r="H216" s="4"/>
      <c r="I216" s="4"/>
      <c r="J216" s="4"/>
      <c r="K216" s="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4"/>
      <c r="B217" s="4"/>
      <c r="C217" s="8"/>
      <c r="D217" s="5"/>
      <c r="E217" s="6"/>
      <c r="F217" s="6"/>
      <c r="G217" s="6"/>
      <c r="H217" s="4"/>
      <c r="I217" s="4"/>
      <c r="J217" s="4"/>
      <c r="K217" s="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4"/>
      <c r="B218" s="4"/>
      <c r="C218" s="8"/>
      <c r="D218" s="5"/>
      <c r="E218" s="6"/>
      <c r="F218" s="6"/>
      <c r="G218" s="6"/>
      <c r="H218" s="4"/>
      <c r="I218" s="4"/>
      <c r="J218" s="4"/>
      <c r="K218" s="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4"/>
      <c r="B219" s="4"/>
      <c r="C219" s="8"/>
      <c r="D219" s="5"/>
      <c r="E219" s="6"/>
      <c r="F219" s="6"/>
      <c r="G219" s="6"/>
      <c r="H219" s="4"/>
      <c r="I219" s="4"/>
      <c r="J219" s="4"/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4"/>
      <c r="B220" s="4"/>
      <c r="C220" s="8"/>
      <c r="D220" s="5"/>
      <c r="E220" s="6"/>
      <c r="F220" s="6"/>
      <c r="G220" s="6"/>
      <c r="H220" s="4"/>
      <c r="I220" s="4"/>
      <c r="J220" s="4"/>
      <c r="K220" s="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4"/>
      <c r="B221" s="4"/>
      <c r="C221" s="8"/>
      <c r="D221" s="5"/>
      <c r="E221" s="6"/>
      <c r="F221" s="6"/>
      <c r="G221" s="6"/>
      <c r="H221" s="4"/>
      <c r="I221" s="4"/>
      <c r="J221" s="4"/>
      <c r="K221" s="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4"/>
      <c r="B222" s="4"/>
      <c r="C222" s="8"/>
      <c r="D222" s="5"/>
      <c r="E222" s="6"/>
      <c r="F222" s="6"/>
      <c r="G222" s="6"/>
      <c r="H222" s="4"/>
      <c r="I222" s="4"/>
      <c r="J222" s="4"/>
      <c r="K222" s="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4"/>
      <c r="B223" s="4"/>
      <c r="C223" s="8"/>
      <c r="D223" s="5"/>
      <c r="E223" s="6"/>
      <c r="F223" s="6"/>
      <c r="G223" s="6"/>
      <c r="H223" s="4"/>
      <c r="I223" s="4"/>
      <c r="J223" s="4"/>
      <c r="K223" s="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4"/>
      <c r="B224" s="4"/>
      <c r="C224" s="8"/>
      <c r="D224" s="5"/>
      <c r="E224" s="6"/>
      <c r="F224" s="6"/>
      <c r="G224" s="6"/>
      <c r="H224" s="4"/>
      <c r="I224" s="4"/>
      <c r="J224" s="4"/>
      <c r="K224" s="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4"/>
      <c r="B225" s="4"/>
      <c r="C225" s="8"/>
      <c r="D225" s="5"/>
      <c r="E225" s="6"/>
      <c r="F225" s="6"/>
      <c r="G225" s="6"/>
      <c r="H225" s="4"/>
      <c r="I225" s="4"/>
      <c r="J225" s="4"/>
      <c r="K225" s="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4"/>
      <c r="B226" s="4"/>
      <c r="C226" s="8"/>
      <c r="D226" s="5"/>
      <c r="E226" s="6"/>
      <c r="F226" s="6"/>
      <c r="G226" s="6"/>
      <c r="H226" s="4"/>
      <c r="I226" s="4"/>
      <c r="J226" s="4"/>
      <c r="K226" s="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4"/>
      <c r="B227" s="4"/>
      <c r="C227" s="8"/>
      <c r="D227" s="5"/>
      <c r="E227" s="6"/>
      <c r="F227" s="6"/>
      <c r="G227" s="6"/>
      <c r="H227" s="4"/>
      <c r="I227" s="4"/>
      <c r="J227" s="4"/>
      <c r="K227" s="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4"/>
      <c r="B228" s="4"/>
      <c r="C228" s="8"/>
      <c r="D228" s="5"/>
      <c r="E228" s="6"/>
      <c r="F228" s="6"/>
      <c r="G228" s="6"/>
      <c r="H228" s="4"/>
      <c r="I228" s="4"/>
      <c r="J228" s="4"/>
      <c r="K228" s="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4"/>
      <c r="B229" s="4"/>
      <c r="C229" s="8"/>
      <c r="D229" s="5"/>
      <c r="E229" s="6"/>
      <c r="F229" s="6"/>
      <c r="G229" s="6"/>
      <c r="H229" s="4"/>
      <c r="I229" s="4"/>
      <c r="J229" s="4"/>
      <c r="K229" s="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4"/>
      <c r="B230" s="4"/>
      <c r="C230" s="4"/>
      <c r="D230" s="5"/>
      <c r="E230" s="6"/>
      <c r="F230" s="6"/>
      <c r="G230" s="6"/>
      <c r="H230" s="4"/>
      <c r="I230" s="4"/>
      <c r="J230" s="4"/>
      <c r="K230" s="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4"/>
      <c r="B231" s="4"/>
      <c r="C231" s="4"/>
      <c r="D231" s="5"/>
      <c r="E231" s="6"/>
      <c r="F231" s="6"/>
      <c r="G231" s="6"/>
      <c r="H231" s="4"/>
      <c r="I231" s="4"/>
      <c r="J231" s="4"/>
      <c r="K231" s="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4"/>
      <c r="B232" s="4"/>
      <c r="C232" s="4"/>
      <c r="D232" s="5"/>
      <c r="E232" s="6"/>
      <c r="F232" s="6"/>
      <c r="G232" s="6"/>
      <c r="H232" s="4"/>
      <c r="I232" s="4"/>
      <c r="J232" s="4"/>
      <c r="K232" s="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4"/>
      <c r="B233" s="4"/>
      <c r="C233" s="8"/>
      <c r="D233" s="5"/>
      <c r="E233" s="6"/>
      <c r="F233" s="6"/>
      <c r="G233" s="6"/>
      <c r="H233" s="4"/>
      <c r="I233" s="4"/>
      <c r="J233" s="4"/>
      <c r="K233" s="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4"/>
      <c r="B234" s="4"/>
      <c r="C234" s="8"/>
      <c r="D234" s="5"/>
      <c r="E234" s="6"/>
      <c r="F234" s="6"/>
      <c r="G234" s="6"/>
      <c r="H234" s="4"/>
      <c r="I234" s="4"/>
      <c r="J234" s="4"/>
      <c r="K234" s="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4"/>
      <c r="B235" s="4"/>
      <c r="C235" s="8"/>
      <c r="D235" s="5"/>
      <c r="E235" s="6"/>
      <c r="F235" s="6"/>
      <c r="G235" s="6"/>
      <c r="H235" s="4"/>
      <c r="I235" s="4"/>
      <c r="J235" s="4"/>
      <c r="K235" s="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4"/>
      <c r="B236" s="4"/>
      <c r="C236" s="8"/>
      <c r="D236" s="5"/>
      <c r="E236" s="6"/>
      <c r="F236" s="6"/>
      <c r="G236" s="6"/>
      <c r="H236" s="4"/>
      <c r="I236" s="4"/>
      <c r="J236" s="4"/>
      <c r="K236" s="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4"/>
      <c r="B237" s="4"/>
      <c r="C237" s="8"/>
      <c r="D237" s="5"/>
      <c r="E237" s="6"/>
      <c r="F237" s="6"/>
      <c r="G237" s="6"/>
      <c r="H237" s="4"/>
      <c r="I237" s="4"/>
      <c r="J237" s="4"/>
      <c r="K237" s="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4"/>
      <c r="B238" s="4"/>
      <c r="C238" s="8"/>
      <c r="D238" s="5"/>
      <c r="E238" s="6"/>
      <c r="F238" s="6"/>
      <c r="G238" s="6"/>
      <c r="H238" s="4"/>
      <c r="I238" s="4"/>
      <c r="J238" s="4"/>
      <c r="K238" s="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4"/>
      <c r="B239" s="4"/>
      <c r="C239" s="8"/>
      <c r="D239" s="5"/>
      <c r="E239" s="6"/>
      <c r="F239" s="6"/>
      <c r="G239" s="6"/>
      <c r="H239" s="4"/>
      <c r="I239" s="4"/>
      <c r="J239" s="4"/>
      <c r="K239" s="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4"/>
      <c r="B240" s="4"/>
      <c r="C240" s="8"/>
      <c r="D240" s="9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11"/>
      <c r="D241" s="9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11"/>
      <c r="D242" s="9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11"/>
      <c r="D243" s="9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11"/>
      <c r="D244" s="9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11"/>
      <c r="D245" s="9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11"/>
      <c r="D246" s="9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11"/>
      <c r="D247" s="9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11"/>
      <c r="D248" s="9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11"/>
      <c r="D249" s="9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11"/>
      <c r="D250" s="9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11"/>
      <c r="D251" s="9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11"/>
      <c r="D252" s="9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11"/>
      <c r="D253" s="9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11"/>
      <c r="D254" s="9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11"/>
      <c r="D255" s="9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11"/>
      <c r="D256" s="9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11"/>
      <c r="D257" s="9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11"/>
      <c r="D258" s="9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11"/>
      <c r="D259" s="9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11"/>
      <c r="D260" s="9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11"/>
      <c r="D261" s="9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11"/>
      <c r="D262" s="9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11"/>
      <c r="D263" s="9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11"/>
      <c r="D264" s="9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11"/>
      <c r="D265" s="9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11"/>
      <c r="D266" s="9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11"/>
      <c r="D267" s="9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11"/>
      <c r="D268" s="9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11"/>
      <c r="D269" s="9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11"/>
      <c r="D270" s="9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11"/>
      <c r="D271" s="9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11"/>
      <c r="D272" s="9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11"/>
      <c r="D273" s="9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11"/>
      <c r="D274" s="9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11"/>
      <c r="D275" s="9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11"/>
      <c r="D276" s="9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11"/>
      <c r="D277" s="9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11"/>
      <c r="D278" s="9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11"/>
      <c r="D279" s="9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11"/>
      <c r="D280" s="9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11"/>
      <c r="D281" s="9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11"/>
      <c r="D282" s="9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11"/>
      <c r="D283" s="9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11"/>
      <c r="D284" s="9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11"/>
      <c r="D285" s="9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11"/>
      <c r="D286" s="9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11"/>
      <c r="D287" s="9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11"/>
      <c r="D288" s="9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11"/>
      <c r="D289" s="9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11"/>
      <c r="D290" s="9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11"/>
      <c r="D291" s="9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11"/>
      <c r="D292" s="9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11"/>
      <c r="D293" s="9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11"/>
      <c r="D294" s="9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11"/>
      <c r="D295" s="9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11"/>
      <c r="D296" s="9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11"/>
      <c r="D297" s="9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11"/>
      <c r="D298" s="9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11"/>
      <c r="D299" s="9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11"/>
      <c r="D300" s="9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11"/>
      <c r="D301" s="9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11"/>
      <c r="D302" s="9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11"/>
      <c r="D303" s="9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11"/>
      <c r="D304" s="9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11"/>
      <c r="D305" s="9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11"/>
      <c r="D306" s="9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11"/>
      <c r="D307" s="9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11"/>
      <c r="D308" s="9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11"/>
      <c r="D309" s="9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11"/>
      <c r="D310" s="9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11"/>
      <c r="D311" s="9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11"/>
      <c r="D312" s="9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11"/>
      <c r="D313" s="9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11"/>
      <c r="D314" s="9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11"/>
      <c r="D315" s="9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11"/>
      <c r="D316" s="9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11"/>
      <c r="D317" s="9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11"/>
      <c r="D318" s="9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11"/>
      <c r="D319" s="9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11"/>
      <c r="D320" s="9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11"/>
      <c r="D321" s="9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11"/>
      <c r="D322" s="9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11"/>
      <c r="D323" s="9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11"/>
      <c r="D324" s="9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11"/>
      <c r="D325" s="9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11"/>
      <c r="D326" s="9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11"/>
      <c r="D327" s="9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11"/>
      <c r="D328" s="9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11"/>
      <c r="D329" s="9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11"/>
      <c r="D330" s="9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11"/>
      <c r="D331" s="9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11"/>
      <c r="D332" s="9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11"/>
      <c r="D333" s="9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11"/>
      <c r="D334" s="9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11"/>
      <c r="D335" s="9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11"/>
      <c r="D336" s="9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11"/>
      <c r="D337" s="9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11"/>
      <c r="D338" s="9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11"/>
      <c r="D339" s="9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11"/>
      <c r="D340" s="9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11"/>
      <c r="D341" s="9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11"/>
      <c r="D342" s="9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11"/>
      <c r="D343" s="9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11"/>
      <c r="D344" s="9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11"/>
      <c r="D345" s="9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11"/>
      <c r="D346" s="9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11"/>
      <c r="D347" s="9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11"/>
      <c r="D348" s="9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11"/>
      <c r="D349" s="9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11"/>
      <c r="D350" s="9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11"/>
      <c r="D351" s="9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11"/>
      <c r="D352" s="9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11"/>
      <c r="D353" s="9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11"/>
      <c r="D354" s="9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11"/>
      <c r="D355" s="9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11"/>
      <c r="D356" s="9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11"/>
      <c r="D357" s="9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11"/>
      <c r="D358" s="9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11"/>
      <c r="D359" s="9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11"/>
      <c r="D360" s="9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11"/>
      <c r="D361" s="9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11"/>
      <c r="D362" s="9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11"/>
      <c r="D363" s="9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11"/>
      <c r="D364" s="9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11"/>
      <c r="D365" s="9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11"/>
      <c r="D366" s="9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11"/>
      <c r="D367" s="9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11"/>
      <c r="D368" s="9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11"/>
      <c r="D369" s="9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11"/>
      <c r="D370" s="9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11"/>
      <c r="D371" s="9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11"/>
      <c r="D372" s="9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11"/>
      <c r="D373" s="9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11"/>
      <c r="D374" s="9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11"/>
      <c r="D375" s="9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11"/>
      <c r="D376" s="9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11"/>
      <c r="D377" s="9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11"/>
      <c r="D378" s="9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11"/>
      <c r="D379" s="9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11"/>
      <c r="D380" s="9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11"/>
      <c r="D381" s="9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11"/>
      <c r="D382" s="9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11"/>
      <c r="D383" s="9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11"/>
      <c r="D384" s="9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11"/>
      <c r="D385" s="9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11"/>
      <c r="D386" s="9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11"/>
      <c r="D387" s="9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11"/>
      <c r="D388" s="9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11"/>
      <c r="D389" s="9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11"/>
      <c r="D390" s="9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11"/>
      <c r="D391" s="9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11"/>
      <c r="D392" s="9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11"/>
      <c r="D393" s="9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11"/>
      <c r="D394" s="9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11"/>
      <c r="D395" s="9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11"/>
      <c r="D396" s="9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11"/>
      <c r="D397" s="9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11"/>
      <c r="D398" s="9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11"/>
      <c r="D399" s="9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11"/>
      <c r="D400" s="9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11"/>
      <c r="D401" s="9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11"/>
      <c r="D402" s="9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11"/>
      <c r="D403" s="9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11"/>
      <c r="D404" s="9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11"/>
      <c r="D405" s="9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11"/>
      <c r="D406" s="9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11"/>
      <c r="D407" s="9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11"/>
      <c r="D408" s="9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11"/>
      <c r="D409" s="9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11"/>
      <c r="D410" s="9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11"/>
      <c r="D411" s="9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11"/>
      <c r="D412" s="9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11"/>
      <c r="D413" s="9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11"/>
      <c r="D414" s="9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11"/>
      <c r="D415" s="9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11"/>
      <c r="D416" s="9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11"/>
      <c r="D417" s="9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11"/>
      <c r="D418" s="9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11"/>
      <c r="D419" s="9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11"/>
      <c r="D420" s="9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11"/>
      <c r="D421" s="9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11"/>
      <c r="D422" s="9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11"/>
      <c r="D423" s="9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11"/>
      <c r="D424" s="9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11"/>
      <c r="D425" s="9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11"/>
      <c r="D426" s="9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11"/>
      <c r="D427" s="9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11"/>
      <c r="D428" s="9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11"/>
      <c r="D429" s="9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11"/>
      <c r="D430" s="9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11"/>
      <c r="D431" s="9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11"/>
      <c r="D432" s="9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11"/>
      <c r="D433" s="9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11"/>
      <c r="D434" s="9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11"/>
      <c r="D435" s="9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11"/>
      <c r="D436" s="9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11"/>
      <c r="D437" s="9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11"/>
      <c r="D438" s="9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11"/>
      <c r="D439" s="9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11"/>
      <c r="D440" s="9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11"/>
      <c r="D441" s="9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11"/>
      <c r="D442" s="9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11"/>
      <c r="D443" s="9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11"/>
      <c r="D444" s="9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11"/>
      <c r="D445" s="9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11"/>
      <c r="D446" s="9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11"/>
      <c r="D447" s="9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11"/>
      <c r="D448" s="9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11"/>
      <c r="D449" s="9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11"/>
      <c r="D450" s="9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11"/>
      <c r="D451" s="9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11"/>
      <c r="D452" s="9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11"/>
      <c r="D453" s="9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11"/>
      <c r="D454" s="9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11"/>
      <c r="D455" s="9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11"/>
      <c r="D456" s="9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11"/>
      <c r="D457" s="9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11"/>
      <c r="D458" s="9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11"/>
      <c r="D459" s="9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11"/>
      <c r="D460" s="9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11"/>
      <c r="D461" s="9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11"/>
      <c r="D462" s="9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11"/>
      <c r="D463" s="9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11"/>
      <c r="D464" s="9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11"/>
      <c r="D465" s="9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11"/>
      <c r="D466" s="9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11"/>
      <c r="D467" s="9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11"/>
      <c r="D468" s="9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11"/>
      <c r="D469" s="9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11"/>
      <c r="D470" s="9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11"/>
      <c r="D471" s="9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11"/>
      <c r="D472" s="9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11"/>
      <c r="D473" s="9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11"/>
      <c r="D474" s="9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11"/>
      <c r="D475" s="9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11"/>
      <c r="D476" s="9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11"/>
      <c r="D477" s="9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11"/>
      <c r="D478" s="9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11"/>
      <c r="D479" s="9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11"/>
      <c r="D480" s="9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11"/>
      <c r="D481" s="9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11"/>
      <c r="D482" s="9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11"/>
      <c r="D483" s="9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11"/>
      <c r="D484" s="9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11"/>
      <c r="D485" s="9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11"/>
      <c r="D486" s="9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11"/>
      <c r="D487" s="9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11"/>
      <c r="D488" s="9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11"/>
      <c r="D489" s="9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11"/>
      <c r="D490" s="9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11"/>
      <c r="D491" s="9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11"/>
      <c r="D492" s="9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11"/>
      <c r="D493" s="9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11"/>
      <c r="D494" s="9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11"/>
      <c r="D495" s="9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11"/>
      <c r="D496" s="9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11"/>
      <c r="D497" s="9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11"/>
      <c r="D498" s="9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11"/>
      <c r="D499" s="9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11"/>
      <c r="D500" s="9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11"/>
      <c r="D501" s="9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11"/>
      <c r="D502" s="9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11"/>
      <c r="D503" s="9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11"/>
      <c r="D504" s="9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11"/>
      <c r="D505" s="9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11"/>
      <c r="D506" s="9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11"/>
      <c r="D507" s="9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11"/>
      <c r="D508" s="9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11"/>
      <c r="D509" s="9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11"/>
      <c r="D510" s="9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11"/>
      <c r="D511" s="9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11"/>
      <c r="D512" s="9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11"/>
      <c r="D513" s="9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11"/>
      <c r="D514" s="9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11"/>
      <c r="D515" s="9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11"/>
      <c r="D516" s="9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11"/>
      <c r="D517" s="9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11"/>
      <c r="D518" s="9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11"/>
      <c r="D519" s="9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11"/>
      <c r="D520" s="9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11"/>
      <c r="D521" s="9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11"/>
      <c r="D522" s="9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11"/>
      <c r="D523" s="9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11"/>
      <c r="D524" s="9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11"/>
      <c r="D525" s="9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11"/>
      <c r="D526" s="9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11"/>
      <c r="D527" s="9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11"/>
      <c r="D528" s="9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11"/>
      <c r="D529" s="9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11"/>
      <c r="D530" s="9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11"/>
      <c r="D531" s="9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11"/>
      <c r="D532" s="9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11"/>
      <c r="D533" s="9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11"/>
      <c r="D534" s="9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11"/>
      <c r="D535" s="9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11"/>
      <c r="D536" s="9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11"/>
      <c r="D537" s="9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11"/>
      <c r="D538" s="9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11"/>
      <c r="D539" s="9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11"/>
      <c r="D540" s="9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11"/>
      <c r="D541" s="9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11"/>
      <c r="D542" s="9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11"/>
      <c r="D543" s="9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11"/>
      <c r="D544" s="9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11"/>
      <c r="D545" s="9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11"/>
      <c r="D546" s="9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11"/>
      <c r="D547" s="9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11"/>
      <c r="D548" s="9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11"/>
      <c r="D549" s="9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11"/>
      <c r="D550" s="9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11"/>
      <c r="D551" s="9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11"/>
      <c r="D552" s="9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11"/>
      <c r="D553" s="9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11"/>
      <c r="D554" s="9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11"/>
      <c r="D555" s="9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11"/>
      <c r="D556" s="9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11"/>
      <c r="D557" s="9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11"/>
      <c r="D558" s="9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11"/>
      <c r="D559" s="9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11"/>
      <c r="D560" s="9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11"/>
      <c r="D561" s="9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11"/>
      <c r="D562" s="9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11"/>
      <c r="D563" s="9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11"/>
      <c r="D564" s="9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11"/>
      <c r="D565" s="9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11"/>
      <c r="D566" s="9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11"/>
      <c r="D567" s="9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11"/>
      <c r="D568" s="9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11"/>
      <c r="D569" s="9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11"/>
      <c r="D570" s="9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11"/>
      <c r="D571" s="9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11"/>
      <c r="D572" s="9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11"/>
      <c r="D573" s="9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11"/>
      <c r="D574" s="9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11"/>
      <c r="D575" s="9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11"/>
      <c r="D576" s="9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11"/>
      <c r="D577" s="9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11"/>
      <c r="D578" s="9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11"/>
      <c r="D579" s="9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11"/>
      <c r="D580" s="9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11"/>
      <c r="D581" s="9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11"/>
      <c r="D582" s="9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11"/>
      <c r="D583" s="9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11"/>
      <c r="D584" s="9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11"/>
      <c r="D585" s="9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11"/>
      <c r="D586" s="9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11"/>
      <c r="D587" s="9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11"/>
      <c r="D588" s="9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11"/>
      <c r="D589" s="9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11"/>
      <c r="D590" s="9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11"/>
      <c r="D591" s="9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11"/>
      <c r="D592" s="9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11"/>
      <c r="D593" s="9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11"/>
      <c r="D594" s="9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11"/>
      <c r="D595" s="9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11"/>
      <c r="D596" s="9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11"/>
      <c r="D597" s="9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11"/>
      <c r="D598" s="9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11"/>
      <c r="D599" s="9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11"/>
      <c r="D600" s="9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11"/>
      <c r="D601" s="9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11"/>
      <c r="D602" s="9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11"/>
      <c r="D603" s="9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11"/>
      <c r="D604" s="9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11"/>
      <c r="D605" s="9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11"/>
      <c r="D606" s="9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11"/>
      <c r="D607" s="9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11"/>
      <c r="D608" s="9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11"/>
      <c r="D609" s="9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11"/>
      <c r="D610" s="9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11"/>
      <c r="D611" s="9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11"/>
      <c r="D612" s="9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11"/>
      <c r="D613" s="9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11"/>
      <c r="D614" s="9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11"/>
      <c r="D615" s="9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11"/>
      <c r="D616" s="9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11"/>
      <c r="D617" s="9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11"/>
      <c r="D618" s="9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11"/>
      <c r="D619" s="9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11"/>
      <c r="D620" s="9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11"/>
      <c r="D621" s="9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11"/>
      <c r="D622" s="9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11"/>
      <c r="D623" s="9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11"/>
      <c r="D624" s="9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11"/>
      <c r="D625" s="9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11"/>
      <c r="D626" s="9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11"/>
      <c r="D627" s="9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11"/>
      <c r="D628" s="9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11"/>
      <c r="D629" s="9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11"/>
      <c r="D630" s="9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11"/>
      <c r="D631" s="9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11"/>
      <c r="D632" s="9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11"/>
      <c r="D633" s="9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11"/>
      <c r="D634" s="9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11"/>
      <c r="D635" s="9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11"/>
      <c r="D636" s="9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11"/>
      <c r="D637" s="9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11"/>
      <c r="D638" s="9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11"/>
      <c r="D639" s="9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11"/>
      <c r="D640" s="9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11"/>
      <c r="D641" s="9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11"/>
      <c r="D642" s="9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11"/>
      <c r="D643" s="9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11"/>
      <c r="D644" s="9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11"/>
      <c r="D645" s="9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11"/>
      <c r="D646" s="9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11"/>
      <c r="D647" s="9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11"/>
      <c r="D648" s="9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11"/>
      <c r="D649" s="9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11"/>
      <c r="D650" s="9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11"/>
      <c r="D651" s="9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11"/>
      <c r="D652" s="9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11"/>
      <c r="D653" s="9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11"/>
      <c r="D654" s="9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11"/>
      <c r="D655" s="9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11"/>
      <c r="D656" s="9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11"/>
      <c r="D657" s="9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11"/>
      <c r="D658" s="9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11"/>
      <c r="D659" s="9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11"/>
      <c r="D660" s="9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11"/>
      <c r="D661" s="9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11"/>
      <c r="D662" s="9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11"/>
      <c r="D663" s="9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11"/>
      <c r="D664" s="9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11"/>
      <c r="D665" s="9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11"/>
      <c r="D666" s="9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11"/>
      <c r="D667" s="9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11"/>
      <c r="D668" s="9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11"/>
      <c r="D669" s="9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11"/>
      <c r="D670" s="9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11"/>
      <c r="D671" s="9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11"/>
      <c r="D672" s="9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11"/>
      <c r="D673" s="9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11"/>
      <c r="D674" s="9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11"/>
      <c r="D675" s="9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11"/>
      <c r="D676" s="9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11"/>
      <c r="D677" s="9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11"/>
      <c r="D678" s="9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11"/>
      <c r="D679" s="9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11"/>
      <c r="D680" s="9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11"/>
      <c r="D681" s="9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11"/>
      <c r="D682" s="9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11"/>
      <c r="D683" s="9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11"/>
      <c r="D684" s="9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11"/>
      <c r="D685" s="9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11"/>
      <c r="D686" s="9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11"/>
      <c r="D687" s="9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11"/>
      <c r="D688" s="9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11"/>
      <c r="D689" s="9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11"/>
      <c r="D690" s="9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11"/>
      <c r="D691" s="9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11"/>
      <c r="D692" s="9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11"/>
      <c r="D693" s="9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11"/>
      <c r="D694" s="9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11"/>
      <c r="D695" s="9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11"/>
      <c r="D696" s="9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11"/>
      <c r="D697" s="9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11"/>
      <c r="D698" s="9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11"/>
      <c r="D699" s="9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11"/>
      <c r="D700" s="9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11"/>
      <c r="D701" s="9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11"/>
      <c r="D702" s="9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11"/>
      <c r="D703" s="9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11"/>
      <c r="D704" s="9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11"/>
      <c r="D705" s="9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11"/>
      <c r="D706" s="9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11"/>
      <c r="D707" s="9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11"/>
      <c r="D708" s="9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11"/>
      <c r="D709" s="9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11"/>
      <c r="D710" s="9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11"/>
      <c r="D711" s="9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11"/>
      <c r="D712" s="9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11"/>
      <c r="D713" s="9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11"/>
      <c r="D714" s="9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11"/>
      <c r="D715" s="9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11"/>
      <c r="D716" s="9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11"/>
      <c r="D717" s="9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11"/>
      <c r="D718" s="9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11"/>
      <c r="D719" s="9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11"/>
      <c r="D720" s="9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11"/>
      <c r="D721" s="9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11"/>
      <c r="D722" s="9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11"/>
      <c r="D723" s="9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11"/>
      <c r="D724" s="9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11"/>
      <c r="D725" s="9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11"/>
      <c r="D726" s="9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11"/>
      <c r="D727" s="9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11"/>
      <c r="D728" s="9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11"/>
      <c r="D729" s="9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11"/>
      <c r="D730" s="9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11"/>
      <c r="D731" s="9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11"/>
      <c r="D732" s="9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11"/>
      <c r="D733" s="9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11"/>
      <c r="D734" s="9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11"/>
      <c r="D735" s="9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11"/>
      <c r="D736" s="9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11"/>
      <c r="D737" s="9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11"/>
      <c r="D738" s="9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11"/>
      <c r="D739" s="9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11"/>
      <c r="D740" s="9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11"/>
      <c r="D741" s="9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11"/>
      <c r="D742" s="9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11"/>
      <c r="D743" s="9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11"/>
      <c r="D744" s="9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11"/>
      <c r="D745" s="9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11"/>
      <c r="D746" s="9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11"/>
      <c r="D747" s="9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11"/>
      <c r="D748" s="9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11"/>
      <c r="D749" s="9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11"/>
      <c r="D750" s="9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11"/>
      <c r="D751" s="9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11"/>
      <c r="D752" s="9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11"/>
      <c r="D753" s="9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11"/>
      <c r="D754" s="9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11"/>
      <c r="D755" s="9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11"/>
      <c r="D756" s="9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11"/>
      <c r="D757" s="9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11"/>
      <c r="D758" s="9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11"/>
      <c r="D759" s="9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11"/>
      <c r="D760" s="9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11"/>
      <c r="D761" s="9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11"/>
      <c r="D762" s="9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11"/>
      <c r="D763" s="9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11"/>
      <c r="D764" s="9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11"/>
      <c r="D765" s="9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11"/>
      <c r="D766" s="9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11"/>
      <c r="D767" s="9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11"/>
      <c r="D768" s="9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11"/>
      <c r="D769" s="9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11"/>
      <c r="D770" s="9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11"/>
      <c r="D771" s="9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11"/>
      <c r="D772" s="9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11"/>
      <c r="D773" s="9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11"/>
      <c r="D774" s="9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11"/>
      <c r="D775" s="9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11"/>
      <c r="D776" s="9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11"/>
      <c r="D777" s="9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11"/>
      <c r="D778" s="9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11"/>
      <c r="D779" s="9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11"/>
      <c r="D780" s="9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11"/>
      <c r="D781" s="9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11"/>
      <c r="D782" s="9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11"/>
      <c r="D783" s="9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11"/>
      <c r="D784" s="9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11"/>
      <c r="D785" s="9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11"/>
      <c r="D786" s="9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11"/>
      <c r="D787" s="9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11"/>
      <c r="D788" s="9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11"/>
      <c r="D789" s="9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11"/>
      <c r="D790" s="9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11"/>
      <c r="D791" s="9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11"/>
      <c r="D792" s="9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11"/>
      <c r="D793" s="9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11"/>
      <c r="D794" s="9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11"/>
      <c r="D795" s="9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11"/>
      <c r="D796" s="9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11"/>
      <c r="D797" s="9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11"/>
      <c r="D798" s="9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11"/>
      <c r="D799" s="9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11"/>
      <c r="D800" s="9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11"/>
      <c r="D801" s="9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11"/>
      <c r="D802" s="9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11"/>
      <c r="D803" s="9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11"/>
      <c r="D804" s="9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11"/>
      <c r="D805" s="9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11"/>
      <c r="D806" s="9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11"/>
      <c r="D807" s="9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11"/>
      <c r="D808" s="9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11"/>
      <c r="D809" s="9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11"/>
      <c r="D810" s="9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11"/>
      <c r="D811" s="9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11"/>
      <c r="D812" s="9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11"/>
      <c r="D813" s="9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11"/>
      <c r="D814" s="9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11"/>
      <c r="D815" s="9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11"/>
      <c r="D816" s="9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11"/>
      <c r="D817" s="9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11"/>
      <c r="D818" s="9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11"/>
      <c r="D819" s="9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11"/>
      <c r="D820" s="9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11"/>
      <c r="D821" s="9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11"/>
      <c r="D822" s="9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11"/>
      <c r="D823" s="9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11"/>
      <c r="D824" s="9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11"/>
      <c r="D825" s="9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11"/>
      <c r="D826" s="9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11"/>
      <c r="D827" s="9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11"/>
      <c r="D828" s="9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11"/>
      <c r="D829" s="9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11"/>
      <c r="D830" s="9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11"/>
      <c r="D831" s="9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11"/>
      <c r="D832" s="9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11"/>
      <c r="D833" s="9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11"/>
      <c r="D834" s="9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11"/>
      <c r="D835" s="9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11"/>
      <c r="D836" s="9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11"/>
      <c r="D837" s="9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11"/>
      <c r="D838" s="9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11"/>
      <c r="D839" s="9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11"/>
      <c r="D840" s="9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11"/>
      <c r="D841" s="9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11"/>
      <c r="D842" s="9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11"/>
      <c r="D843" s="9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11"/>
      <c r="D844" s="9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11"/>
      <c r="D845" s="9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11"/>
      <c r="D846" s="9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11"/>
      <c r="D847" s="9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11"/>
      <c r="D848" s="9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11"/>
      <c r="D849" s="9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11"/>
      <c r="D850" s="9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11"/>
      <c r="D851" s="9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11"/>
      <c r="D852" s="9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11"/>
      <c r="D853" s="9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11"/>
      <c r="D854" s="9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11"/>
      <c r="D855" s="9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11"/>
      <c r="D856" s="9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11"/>
      <c r="D857" s="9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11"/>
      <c r="D858" s="9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11"/>
      <c r="D859" s="9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11"/>
      <c r="D860" s="9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11"/>
      <c r="D861" s="9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11"/>
      <c r="D862" s="9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11"/>
      <c r="D863" s="9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11"/>
      <c r="D864" s="9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11"/>
      <c r="D865" s="9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11"/>
      <c r="D866" s="9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11"/>
      <c r="D867" s="9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11"/>
      <c r="D868" s="9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11"/>
      <c r="D869" s="9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11"/>
      <c r="D870" s="9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11"/>
      <c r="D871" s="9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11"/>
      <c r="D872" s="9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11"/>
      <c r="D873" s="9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11"/>
      <c r="D874" s="9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11"/>
      <c r="D875" s="9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11"/>
      <c r="D876" s="9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11"/>
      <c r="D877" s="9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11"/>
      <c r="D878" s="9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11"/>
      <c r="D879" s="9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11"/>
      <c r="D880" s="9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11"/>
      <c r="D881" s="9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11"/>
      <c r="D882" s="9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11"/>
      <c r="D883" s="9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11"/>
      <c r="D884" s="9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11"/>
      <c r="D885" s="9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11"/>
      <c r="D886" s="9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11"/>
      <c r="D887" s="9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11"/>
      <c r="D888" s="9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11"/>
      <c r="D889" s="9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11"/>
      <c r="D890" s="9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11"/>
      <c r="D891" s="9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11"/>
      <c r="D892" s="9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11"/>
      <c r="D893" s="9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11"/>
      <c r="D894" s="9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11"/>
      <c r="D895" s="9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11"/>
      <c r="D896" s="9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11"/>
      <c r="D897" s="9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11"/>
      <c r="D898" s="9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11"/>
      <c r="D899" s="9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11"/>
      <c r="D900" s="9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11"/>
      <c r="D901" s="9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11"/>
      <c r="D902" s="9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11"/>
      <c r="D903" s="9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11"/>
      <c r="D904" s="9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11"/>
      <c r="D905" s="9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11"/>
      <c r="D906" s="9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11"/>
      <c r="D907" s="9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11"/>
      <c r="D908" s="9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11"/>
      <c r="D909" s="9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11"/>
      <c r="D910" s="9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11"/>
      <c r="D911" s="9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11"/>
      <c r="D912" s="9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11"/>
      <c r="D913" s="9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11"/>
      <c r="D914" s="9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11"/>
      <c r="D915" s="9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11"/>
      <c r="D916" s="9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11"/>
      <c r="D917" s="9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11"/>
      <c r="D918" s="9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11"/>
      <c r="D919" s="9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11"/>
      <c r="D920" s="9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11"/>
      <c r="D921" s="9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11"/>
      <c r="D922" s="9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11"/>
      <c r="D923" s="9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11"/>
      <c r="D924" s="9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11"/>
      <c r="D925" s="9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11"/>
      <c r="D926" s="9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11"/>
      <c r="D927" s="9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11"/>
      <c r="D928" s="9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11"/>
      <c r="D929" s="9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11"/>
      <c r="D930" s="9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11"/>
      <c r="D931" s="9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11"/>
      <c r="D932" s="9"/>
      <c r="E932" s="10"/>
      <c r="F932" s="10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11"/>
      <c r="D933" s="9"/>
      <c r="E933" s="10"/>
      <c r="F933" s="10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11"/>
      <c r="D934" s="9"/>
      <c r="E934" s="10"/>
      <c r="F934" s="10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11"/>
      <c r="D935" s="9"/>
      <c r="E935" s="10"/>
      <c r="F935" s="10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11"/>
      <c r="D936" s="9"/>
      <c r="E936" s="10"/>
      <c r="F936" s="10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11"/>
      <c r="D937" s="9"/>
      <c r="E937" s="10"/>
      <c r="F937" s="10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11"/>
      <c r="D938" s="9"/>
      <c r="E938" s="10"/>
      <c r="F938" s="10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11"/>
      <c r="D939" s="9"/>
      <c r="E939" s="10"/>
      <c r="F939" s="10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11"/>
      <c r="D940" s="9"/>
      <c r="E940" s="10"/>
      <c r="F940" s="10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11"/>
      <c r="D941" s="9"/>
      <c r="E941" s="10"/>
      <c r="F941" s="10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11"/>
      <c r="D942" s="9"/>
      <c r="E942" s="10"/>
      <c r="F942" s="10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11"/>
      <c r="D943" s="9"/>
      <c r="E943" s="10"/>
      <c r="F943" s="10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11"/>
      <c r="D944" s="9"/>
      <c r="E944" s="10"/>
      <c r="F944" s="10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11"/>
      <c r="D945" s="9"/>
      <c r="E945" s="10"/>
      <c r="F945" s="10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11"/>
      <c r="D946" s="9"/>
      <c r="E946" s="10"/>
      <c r="F946" s="10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11"/>
      <c r="D947" s="9"/>
      <c r="E947" s="10"/>
      <c r="F947" s="10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11"/>
      <c r="D948" s="9"/>
      <c r="E948" s="10"/>
      <c r="F948" s="10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11"/>
      <c r="D949" s="9"/>
      <c r="E949" s="10"/>
      <c r="F949" s="10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11"/>
      <c r="D950" s="9"/>
      <c r="E950" s="10"/>
      <c r="F950" s="10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11"/>
      <c r="D951" s="9"/>
      <c r="E951" s="10"/>
      <c r="F951" s="10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11"/>
      <c r="D952" s="9"/>
      <c r="E952" s="10"/>
      <c r="F952" s="10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11"/>
      <c r="D953" s="9"/>
      <c r="E953" s="10"/>
      <c r="F953" s="10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11"/>
      <c r="D954" s="9"/>
      <c r="E954" s="10"/>
      <c r="F954" s="10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11"/>
      <c r="D955" s="9"/>
      <c r="E955" s="10"/>
      <c r="F955" s="10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11"/>
      <c r="D956" s="9"/>
      <c r="E956" s="10"/>
      <c r="F956" s="10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11"/>
      <c r="D957" s="9"/>
      <c r="E957" s="10"/>
      <c r="F957" s="10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11"/>
      <c r="D958" s="9"/>
      <c r="E958" s="10"/>
      <c r="F958" s="10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11"/>
      <c r="D959" s="9"/>
      <c r="E959" s="10"/>
      <c r="F959" s="10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11"/>
      <c r="D960" s="9"/>
      <c r="E960" s="10"/>
      <c r="F960" s="10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11"/>
      <c r="D961" s="9"/>
      <c r="E961" s="10"/>
      <c r="F961" s="10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11"/>
      <c r="D962" s="9"/>
      <c r="E962" s="10"/>
      <c r="F962" s="10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11"/>
      <c r="D963" s="9"/>
      <c r="E963" s="10"/>
      <c r="F963" s="10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11"/>
      <c r="D964" s="9"/>
      <c r="E964" s="10"/>
      <c r="F964" s="10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11"/>
      <c r="D965" s="9"/>
      <c r="E965" s="10"/>
      <c r="F965" s="10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11"/>
      <c r="D966" s="9"/>
      <c r="E966" s="10"/>
      <c r="F966" s="10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11"/>
      <c r="D967" s="9"/>
      <c r="E967" s="10"/>
      <c r="F967" s="10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11"/>
      <c r="D968" s="9"/>
      <c r="E968" s="10"/>
      <c r="F968" s="10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11"/>
      <c r="D969" s="9"/>
      <c r="E969" s="10"/>
      <c r="F969" s="10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11"/>
      <c r="D970" s="9"/>
      <c r="E970" s="10"/>
      <c r="F970" s="10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11"/>
      <c r="D971" s="9"/>
      <c r="E971" s="10"/>
      <c r="F971" s="10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11"/>
      <c r="D972" s="9"/>
      <c r="E972" s="10"/>
      <c r="F972" s="10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11"/>
      <c r="D973" s="9"/>
      <c r="E973" s="10"/>
      <c r="F973" s="10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11"/>
      <c r="D974" s="9"/>
      <c r="E974" s="10"/>
      <c r="F974" s="10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11"/>
      <c r="D975" s="9"/>
      <c r="E975" s="10"/>
      <c r="F975" s="10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11"/>
      <c r="D976" s="9"/>
      <c r="E976" s="10"/>
      <c r="F976" s="10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11"/>
      <c r="D977" s="9"/>
      <c r="E977" s="10"/>
      <c r="F977" s="10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11"/>
      <c r="D978" s="9"/>
      <c r="E978" s="10"/>
      <c r="F978" s="10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11"/>
      <c r="D979" s="9"/>
      <c r="E979" s="10"/>
      <c r="F979" s="10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11"/>
      <c r="D980" s="9"/>
      <c r="E980" s="10"/>
      <c r="F980" s="10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11"/>
      <c r="D981" s="9"/>
      <c r="E981" s="10"/>
      <c r="F981" s="10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11"/>
      <c r="D982" s="9"/>
      <c r="E982" s="10"/>
      <c r="F982" s="10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11"/>
      <c r="D983" s="9"/>
      <c r="E983" s="10"/>
      <c r="F983" s="10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11"/>
      <c r="D984" s="9"/>
      <c r="E984" s="10"/>
      <c r="F984" s="10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11"/>
      <c r="D985" s="9"/>
      <c r="E985" s="10"/>
      <c r="F985" s="10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11"/>
      <c r="D986" s="9"/>
      <c r="E986" s="10"/>
      <c r="F986" s="10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11"/>
      <c r="D987" s="9"/>
      <c r="E987" s="10"/>
      <c r="F987" s="10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11"/>
      <c r="D988" s="9"/>
      <c r="E988" s="10"/>
      <c r="F988" s="10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11"/>
      <c r="D989" s="9"/>
      <c r="E989" s="10"/>
      <c r="F989" s="10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11"/>
      <c r="D990" s="9"/>
      <c r="E990" s="10"/>
      <c r="F990" s="10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11"/>
      <c r="D991" s="9"/>
      <c r="E991" s="10"/>
      <c r="F991" s="10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11"/>
      <c r="D992" s="9"/>
      <c r="E992" s="10"/>
      <c r="F992" s="10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11"/>
      <c r="D993" s="9"/>
      <c r="E993" s="10"/>
      <c r="F993" s="10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11"/>
      <c r="D994" s="9"/>
      <c r="E994" s="10"/>
      <c r="F994" s="10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11"/>
      <c r="D995" s="9"/>
      <c r="E995" s="10"/>
      <c r="F995" s="10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11"/>
      <c r="D996" s="9"/>
      <c r="E996" s="10"/>
      <c r="F996" s="10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11"/>
      <c r="D997" s="9"/>
      <c r="E997" s="10"/>
      <c r="F997" s="10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11"/>
      <c r="D998" s="9"/>
      <c r="E998" s="10"/>
      <c r="F998" s="10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11"/>
      <c r="D999" s="9"/>
      <c r="E999" s="10"/>
      <c r="F999" s="10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11"/>
      <c r="D1000" s="9"/>
      <c r="E1000" s="10"/>
      <c r="F1000" s="10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11"/>
      <c r="D1001" s="9"/>
      <c r="E1001" s="10"/>
      <c r="F1001" s="10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8.25"/>
    <col customWidth="1" min="3" max="3" width="28.88"/>
    <col customWidth="1" hidden="1" min="4" max="4" width="7.75"/>
    <col customWidth="1" min="5" max="7" width="11.88"/>
    <col customWidth="1" hidden="1" min="8" max="8" width="8.38"/>
    <col customWidth="1" min="9" max="11" width="8.38"/>
    <col customWidth="1" hidden="1" min="12" max="12" width="9.63"/>
    <col customWidth="1" hidden="1" min="13" max="13" width="7.5"/>
    <col customWidth="1" hidden="1" min="14" max="14" width="12.63"/>
    <col customWidth="1" hidden="1" min="15" max="15" width="6.88"/>
    <col customWidth="1" hidden="1" min="16" max="16" width="12.13"/>
    <col customWidth="1" hidden="1" min="17" max="17" width="10.63"/>
    <col customWidth="1" hidden="1" min="18" max="18" width="5.5"/>
    <col customWidth="1" hidden="1" min="19" max="19" width="7.38"/>
    <col customWidth="1" hidden="1" min="20" max="20" width="6.13"/>
    <col customWidth="1" hidden="1" min="21" max="21" width="6.63"/>
    <col customWidth="1" hidden="1" min="22" max="22" width="3.5"/>
    <col customWidth="1" hidden="1" min="23" max="23" width="7.13"/>
    <col customWidth="1" hidden="1" min="24" max="24" width="7.0"/>
    <col customWidth="1" hidden="1" min="25" max="25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tr">
        <f>IFERROR(__xludf.DUMMYFUNCTION("FILTER(Master!A:Z, Master!O:O = ""X"")"),"Adventuring Gear")</f>
        <v>Adventuring Gear</v>
      </c>
      <c r="B2" s="4" t="str">
        <f>IFERROR(__xludf.DUMMYFUNCTION("""COMPUTED_VALUE"""),"-")</f>
        <v>-</v>
      </c>
      <c r="C2" s="4" t="str">
        <f>IFERROR(__xludf.DUMMYFUNCTION("""COMPUTED_VALUE"""),"Bell")</f>
        <v>Bell</v>
      </c>
      <c r="D2" s="5" t="str">
        <f>IFERROR(__xludf.DUMMYFUNCTION("""COMPUTED_VALUE"""),"-")</f>
        <v>-</v>
      </c>
      <c r="E2" s="6">
        <f>IFERROR(__xludf.DUMMYFUNCTION("""COMPUTED_VALUE"""),1.0)</f>
        <v>1</v>
      </c>
      <c r="F2" s="6">
        <f>IFERROR(__xludf.DUMMYFUNCTION("""COMPUTED_VALUE"""),0.75)</f>
        <v>0.75</v>
      </c>
      <c r="G2" s="6">
        <f>IFERROR(__xludf.DUMMYFUNCTION("""COMPUTED_VALUE"""),1.5)</f>
        <v>1.5</v>
      </c>
      <c r="H2" s="4" t="str">
        <f>IFERROR(__xludf.DUMMYFUNCTION("""COMPUTED_VALUE"""),"PHB 2024")</f>
        <v>PHB 2024</v>
      </c>
      <c r="I2" s="4"/>
      <c r="J2" s="4" t="str">
        <f>IFERROR(__xludf.DUMMYFUNCTION("""COMPUTED_VALUE"""),"x")</f>
        <v>x</v>
      </c>
      <c r="K2" s="4" t="str">
        <f>IFERROR(__xludf.DUMMYFUNCTION("""COMPUTED_VALUE"""),"x")</f>
        <v>x</v>
      </c>
      <c r="L2" s="7" t="str">
        <f>IFERROR(__xludf.DUMMYFUNCTION("""COMPUTED_VALUE"""),"x")</f>
        <v>x</v>
      </c>
      <c r="M2" s="7"/>
      <c r="N2" s="7"/>
      <c r="O2" s="7" t="str">
        <f>IFERROR(__xludf.DUMMYFUNCTION("""COMPUTED_VALUE"""),"x")</f>
        <v>x</v>
      </c>
      <c r="P2" s="7"/>
      <c r="Q2" s="7"/>
      <c r="R2" s="7"/>
      <c r="S2" s="7"/>
      <c r="T2" s="4"/>
      <c r="U2" s="7"/>
      <c r="V2" s="7"/>
      <c r="W2" s="7"/>
      <c r="X2" s="7"/>
      <c r="Y2" s="7"/>
    </row>
    <row r="3">
      <c r="A3" s="4" t="str">
        <f>IFERROR(__xludf.DUMMYFUNCTION("""COMPUTED_VALUE"""),"Adventuring Gear")</f>
        <v>Adventuring Gear</v>
      </c>
      <c r="B3" s="4" t="str">
        <f>IFERROR(__xludf.DUMMYFUNCTION("""COMPUTED_VALUE"""),"-")</f>
        <v>-</v>
      </c>
      <c r="C3" s="4" t="str">
        <f>IFERROR(__xludf.DUMMYFUNCTION("""COMPUTED_VALUE"""),"Blanket")</f>
        <v>Blanket</v>
      </c>
      <c r="D3" s="5">
        <f>IFERROR(__xludf.DUMMYFUNCTION("""COMPUTED_VALUE"""),3.0)</f>
        <v>3</v>
      </c>
      <c r="E3" s="6">
        <f>IFERROR(__xludf.DUMMYFUNCTION("""COMPUTED_VALUE"""),0.5)</f>
        <v>0.5</v>
      </c>
      <c r="F3" s="6">
        <f>IFERROR(__xludf.DUMMYFUNCTION("""COMPUTED_VALUE"""),0.375)</f>
        <v>0.375</v>
      </c>
      <c r="G3" s="6">
        <f>IFERROR(__xludf.DUMMYFUNCTION("""COMPUTED_VALUE"""),0.75)</f>
        <v>0.75</v>
      </c>
      <c r="H3" s="4" t="str">
        <f>IFERROR(__xludf.DUMMYFUNCTION("""COMPUTED_VALUE"""),"PHB 2024")</f>
        <v>PHB 2024</v>
      </c>
      <c r="I3" s="4" t="str">
        <f>IFERROR(__xludf.DUMMYFUNCTION("""COMPUTED_VALUE"""),"x")</f>
        <v>x</v>
      </c>
      <c r="J3" s="4" t="str">
        <f>IFERROR(__xludf.DUMMYFUNCTION("""COMPUTED_VALUE"""),"x")</f>
        <v>x</v>
      </c>
      <c r="K3" s="4" t="str">
        <f>IFERROR(__xludf.DUMMYFUNCTION("""COMPUTED_VALUE"""),"x")</f>
        <v>x</v>
      </c>
      <c r="L3" s="7"/>
      <c r="M3" s="7"/>
      <c r="N3" s="7"/>
      <c r="O3" s="7" t="str">
        <f>IFERROR(__xludf.DUMMYFUNCTION("""COMPUTED_VALUE"""),"x")</f>
        <v>x</v>
      </c>
      <c r="P3" s="7" t="str">
        <f>IFERROR(__xludf.DUMMYFUNCTION("""COMPUTED_VALUE"""),"x")</f>
        <v>x</v>
      </c>
      <c r="Q3" s="7" t="str">
        <f>IFERROR(__xludf.DUMMYFUNCTION("""COMPUTED_VALUE"""),"x")</f>
        <v>x</v>
      </c>
      <c r="R3" s="7"/>
      <c r="S3" s="7"/>
      <c r="T3" s="4"/>
      <c r="U3" s="7"/>
      <c r="V3" s="7"/>
      <c r="W3" s="7"/>
      <c r="X3" s="7"/>
      <c r="Y3" s="7"/>
    </row>
    <row r="4">
      <c r="A4" s="4" t="str">
        <f>IFERROR(__xludf.DUMMYFUNCTION("""COMPUTED_VALUE"""),"Adventuring Gear")</f>
        <v>Adventuring Gear</v>
      </c>
      <c r="B4" s="4" t="str">
        <f>IFERROR(__xludf.DUMMYFUNCTION("""COMPUTED_VALUE"""),"-")</f>
        <v>-</v>
      </c>
      <c r="C4" s="4" t="str">
        <f>IFERROR(__xludf.DUMMYFUNCTION("""COMPUTED_VALUE"""),"Book")</f>
        <v>Book</v>
      </c>
      <c r="D4" s="5">
        <f>IFERROR(__xludf.DUMMYFUNCTION("""COMPUTED_VALUE"""),5.0)</f>
        <v>5</v>
      </c>
      <c r="E4" s="6">
        <f>IFERROR(__xludf.DUMMYFUNCTION("""COMPUTED_VALUE"""),25.0)</f>
        <v>25</v>
      </c>
      <c r="F4" s="6">
        <f>IFERROR(__xludf.DUMMYFUNCTION("""COMPUTED_VALUE"""),18.75)</f>
        <v>18.75</v>
      </c>
      <c r="G4" s="6">
        <f>IFERROR(__xludf.DUMMYFUNCTION("""COMPUTED_VALUE"""),37.5)</f>
        <v>37.5</v>
      </c>
      <c r="H4" s="4" t="str">
        <f>IFERROR(__xludf.DUMMYFUNCTION("""COMPUTED_VALUE"""),"PHB 2024")</f>
        <v>PHB 2024</v>
      </c>
      <c r="I4" s="4" t="str">
        <f>IFERROR(__xludf.DUMMYFUNCTION("""COMPUTED_VALUE"""),"x")</f>
        <v>x</v>
      </c>
      <c r="J4" s="4" t="str">
        <f>IFERROR(__xludf.DUMMYFUNCTION("""COMPUTED_VALUE"""),"x")</f>
        <v>x</v>
      </c>
      <c r="K4" s="4" t="str">
        <f>IFERROR(__xludf.DUMMYFUNCTION("""COMPUTED_VALUE"""),"x")</f>
        <v>x</v>
      </c>
      <c r="L4" s="7"/>
      <c r="M4" s="4"/>
      <c r="N4" s="7"/>
      <c r="O4" s="7" t="str">
        <f>IFERROR(__xludf.DUMMYFUNCTION("""COMPUTED_VALUE"""),"x")</f>
        <v>x</v>
      </c>
      <c r="P4" s="7"/>
      <c r="Q4" s="4"/>
      <c r="R4" s="7"/>
      <c r="S4" s="7"/>
      <c r="T4" s="7"/>
      <c r="U4" s="7" t="str">
        <f>IFERROR(__xludf.DUMMYFUNCTION("""COMPUTED_VALUE"""),"x")</f>
        <v>x</v>
      </c>
      <c r="V4" s="7"/>
      <c r="W4" s="7"/>
      <c r="X4" s="7"/>
      <c r="Y4" s="7"/>
    </row>
    <row r="5">
      <c r="A5" s="4" t="str">
        <f>IFERROR(__xludf.DUMMYFUNCTION("""COMPUTED_VALUE"""),"Adventuring Gear")</f>
        <v>Adventuring Gear</v>
      </c>
      <c r="B5" s="4" t="str">
        <f>IFERROR(__xludf.DUMMYFUNCTION("""COMPUTED_VALUE"""),"-")</f>
        <v>-</v>
      </c>
      <c r="C5" s="4" t="str">
        <f>IFERROR(__xludf.DUMMYFUNCTION("""COMPUTED_VALUE"""),"Candle")</f>
        <v>Candle</v>
      </c>
      <c r="D5" s="5" t="str">
        <f>IFERROR(__xludf.DUMMYFUNCTION("""COMPUTED_VALUE"""),"-")</f>
        <v>-</v>
      </c>
      <c r="E5" s="6">
        <f>IFERROR(__xludf.DUMMYFUNCTION("""COMPUTED_VALUE"""),0.01)</f>
        <v>0.01</v>
      </c>
      <c r="F5" s="6">
        <f>IFERROR(__xludf.DUMMYFUNCTION("""COMPUTED_VALUE"""),0.0075)</f>
        <v>0.0075</v>
      </c>
      <c r="G5" s="6">
        <f>IFERROR(__xludf.DUMMYFUNCTION("""COMPUTED_VALUE"""),0.015)</f>
        <v>0.015</v>
      </c>
      <c r="H5" s="4" t="str">
        <f>IFERROR(__xludf.DUMMYFUNCTION("""COMPUTED_VALUE"""),"PHB 2024")</f>
        <v>PHB 2024</v>
      </c>
      <c r="I5" s="4" t="str">
        <f>IFERROR(__xludf.DUMMYFUNCTION("""COMPUTED_VALUE"""),"x")</f>
        <v>x</v>
      </c>
      <c r="J5" s="4" t="str">
        <f>IFERROR(__xludf.DUMMYFUNCTION("""COMPUTED_VALUE"""),"x")</f>
        <v>x</v>
      </c>
      <c r="K5" s="4" t="str">
        <f>IFERROR(__xludf.DUMMYFUNCTION("""COMPUTED_VALUE"""),"x")</f>
        <v>x</v>
      </c>
      <c r="L5" s="7"/>
      <c r="M5" s="4"/>
      <c r="N5" s="7"/>
      <c r="O5" s="7" t="str">
        <f>IFERROR(__xludf.DUMMYFUNCTION("""COMPUTED_VALUE"""),"x")</f>
        <v>x</v>
      </c>
      <c r="P5" s="7" t="str">
        <f>IFERROR(__xludf.DUMMYFUNCTION("""COMPUTED_VALUE"""),"x")</f>
        <v>x</v>
      </c>
      <c r="Q5" s="4" t="str">
        <f>IFERROR(__xludf.DUMMYFUNCTION("""COMPUTED_VALUE"""),"x")</f>
        <v>x</v>
      </c>
      <c r="R5" s="7"/>
      <c r="S5" s="7"/>
      <c r="T5" s="7"/>
      <c r="U5" s="7" t="str">
        <f>IFERROR(__xludf.DUMMYFUNCTION("""COMPUTED_VALUE"""),"x")</f>
        <v>x</v>
      </c>
      <c r="V5" s="7"/>
      <c r="W5" s="7"/>
      <c r="X5" s="7"/>
      <c r="Y5" s="7"/>
    </row>
    <row r="6">
      <c r="A6" s="4" t="str">
        <f>IFERROR(__xludf.DUMMYFUNCTION("""COMPUTED_VALUE"""),"Adventuring Gear")</f>
        <v>Adventuring Gear</v>
      </c>
      <c r="B6" s="4" t="str">
        <f>IFERROR(__xludf.DUMMYFUNCTION("""COMPUTED_VALUE"""),"-")</f>
        <v>-</v>
      </c>
      <c r="C6" s="8" t="str">
        <f>IFERROR(__xludf.DUMMYFUNCTION("""COMPUTED_VALUE"""),"Case, Map or Scroll")</f>
        <v>Case, Map or Scroll</v>
      </c>
      <c r="D6" s="5">
        <f>IFERROR(__xludf.DUMMYFUNCTION("""COMPUTED_VALUE"""),1.0)</f>
        <v>1</v>
      </c>
      <c r="E6" s="6">
        <f>IFERROR(__xludf.DUMMYFUNCTION("""COMPUTED_VALUE"""),1.0)</f>
        <v>1</v>
      </c>
      <c r="F6" s="6">
        <f>IFERROR(__xludf.DUMMYFUNCTION("""COMPUTED_VALUE"""),0.75)</f>
        <v>0.75</v>
      </c>
      <c r="G6" s="6">
        <f>IFERROR(__xludf.DUMMYFUNCTION("""COMPUTED_VALUE"""),1.5)</f>
        <v>1.5</v>
      </c>
      <c r="H6" s="4" t="str">
        <f>IFERROR(__xludf.DUMMYFUNCTION("""COMPUTED_VALUE"""),"PHB 2024")</f>
        <v>PHB 2024</v>
      </c>
      <c r="I6" s="4" t="str">
        <f>IFERROR(__xludf.DUMMYFUNCTION("""COMPUTED_VALUE"""),"x")</f>
        <v>x</v>
      </c>
      <c r="J6" s="4" t="str">
        <f>IFERROR(__xludf.DUMMYFUNCTION("""COMPUTED_VALUE"""),"x")</f>
        <v>x</v>
      </c>
      <c r="K6" s="4" t="str">
        <f>IFERROR(__xludf.DUMMYFUNCTION("""COMPUTED_VALUE"""),"x")</f>
        <v>x</v>
      </c>
      <c r="L6" s="7"/>
      <c r="M6" s="7"/>
      <c r="N6" s="7"/>
      <c r="O6" s="7" t="str">
        <f>IFERROR(__xludf.DUMMYFUNCTION("""COMPUTED_VALUE"""),"x")</f>
        <v>x</v>
      </c>
      <c r="P6" s="7"/>
      <c r="Q6" s="7" t="str">
        <f>IFERROR(__xludf.DUMMYFUNCTION("""COMPUTED_VALUE"""),"x")</f>
        <v>x</v>
      </c>
      <c r="R6" s="7"/>
      <c r="S6" s="7"/>
      <c r="T6" s="7"/>
      <c r="U6" s="7" t="str">
        <f>IFERROR(__xludf.DUMMYFUNCTION("""COMPUTED_VALUE"""),"x")</f>
        <v>x</v>
      </c>
      <c r="V6" s="7"/>
      <c r="W6" s="4"/>
      <c r="X6" s="4"/>
      <c r="Y6" s="4"/>
    </row>
    <row r="7">
      <c r="A7" s="4" t="str">
        <f>IFERROR(__xludf.DUMMYFUNCTION("""COMPUTED_VALUE"""),"Adventuring Gear")</f>
        <v>Adventuring Gear</v>
      </c>
      <c r="B7" s="4" t="str">
        <f>IFERROR(__xludf.DUMMYFUNCTION("""COMPUTED_VALUE"""),"-")</f>
        <v>-</v>
      </c>
      <c r="C7" s="8" t="str">
        <f>IFERROR(__xludf.DUMMYFUNCTION("""COMPUTED_VALUE"""),"Flask")</f>
        <v>Flask</v>
      </c>
      <c r="D7" s="5">
        <f>IFERROR(__xludf.DUMMYFUNCTION("""COMPUTED_VALUE"""),1.0)</f>
        <v>1</v>
      </c>
      <c r="E7" s="6">
        <f>IFERROR(__xludf.DUMMYFUNCTION("""COMPUTED_VALUE"""),0.02)</f>
        <v>0.02</v>
      </c>
      <c r="F7" s="6">
        <f>IFERROR(__xludf.DUMMYFUNCTION("""COMPUTED_VALUE"""),0.015)</f>
        <v>0.015</v>
      </c>
      <c r="G7" s="6">
        <f>IFERROR(__xludf.DUMMYFUNCTION("""COMPUTED_VALUE"""),0.03)</f>
        <v>0.03</v>
      </c>
      <c r="H7" s="4" t="str">
        <f>IFERROR(__xludf.DUMMYFUNCTION("""COMPUTED_VALUE"""),"PHB 2024")</f>
        <v>PHB 2024</v>
      </c>
      <c r="I7" s="4" t="str">
        <f>IFERROR(__xludf.DUMMYFUNCTION("""COMPUTED_VALUE"""),"x")</f>
        <v>x</v>
      </c>
      <c r="J7" s="4" t="str">
        <f>IFERROR(__xludf.DUMMYFUNCTION("""COMPUTED_VALUE"""),"x")</f>
        <v>x</v>
      </c>
      <c r="K7" s="4" t="str">
        <f>IFERROR(__xludf.DUMMYFUNCTION("""COMPUTED_VALUE"""),"x")</f>
        <v>x</v>
      </c>
      <c r="L7" s="7"/>
      <c r="M7" s="7"/>
      <c r="N7" s="7"/>
      <c r="O7" s="7" t="str">
        <f>IFERROR(__xludf.DUMMYFUNCTION("""COMPUTED_VALUE"""),"x")</f>
        <v>x</v>
      </c>
      <c r="P7" s="7" t="str">
        <f>IFERROR(__xludf.DUMMYFUNCTION("""COMPUTED_VALUE"""),"x")</f>
        <v>x</v>
      </c>
      <c r="Q7" s="4" t="str">
        <f>IFERROR(__xludf.DUMMYFUNCTION("""COMPUTED_VALUE"""),"x")</f>
        <v>x</v>
      </c>
      <c r="R7" s="7"/>
      <c r="S7" s="7"/>
      <c r="T7" s="7" t="str">
        <f>IFERROR(__xludf.DUMMYFUNCTION("""COMPUTED_VALUE"""),"x")</f>
        <v>x</v>
      </c>
      <c r="U7" s="7"/>
      <c r="V7" s="7"/>
      <c r="W7" s="7"/>
      <c r="X7" s="7"/>
      <c r="Y7" s="7"/>
    </row>
    <row r="8">
      <c r="A8" s="4" t="str">
        <f>IFERROR(__xludf.DUMMYFUNCTION("""COMPUTED_VALUE"""),"Adventuring Gear")</f>
        <v>Adventuring Gear</v>
      </c>
      <c r="B8" s="4" t="str">
        <f>IFERROR(__xludf.DUMMYFUNCTION("""COMPUTED_VALUE"""),"-")</f>
        <v>-</v>
      </c>
      <c r="C8" s="8" t="str">
        <f>IFERROR(__xludf.DUMMYFUNCTION("""COMPUTED_VALUE"""),"Healer's Kit")</f>
        <v>Healer's Kit</v>
      </c>
      <c r="D8" s="5">
        <f>IFERROR(__xludf.DUMMYFUNCTION("""COMPUTED_VALUE"""),3.0)</f>
        <v>3</v>
      </c>
      <c r="E8" s="6">
        <f>IFERROR(__xludf.DUMMYFUNCTION("""COMPUTED_VALUE"""),5.0)</f>
        <v>5</v>
      </c>
      <c r="F8" s="6">
        <f>IFERROR(__xludf.DUMMYFUNCTION("""COMPUTED_VALUE"""),3.75)</f>
        <v>3.75</v>
      </c>
      <c r="G8" s="6">
        <f>IFERROR(__xludf.DUMMYFUNCTION("""COMPUTED_VALUE"""),7.5)</f>
        <v>7.5</v>
      </c>
      <c r="H8" s="4" t="str">
        <f>IFERROR(__xludf.DUMMYFUNCTION("""COMPUTED_VALUE"""),"PHB 2024")</f>
        <v>PHB 2024</v>
      </c>
      <c r="I8" s="4"/>
      <c r="J8" s="4"/>
      <c r="K8" s="4" t="str">
        <f>IFERROR(__xludf.DUMMYFUNCTION("""COMPUTED_VALUE"""),"x")</f>
        <v>x</v>
      </c>
      <c r="L8" s="7"/>
      <c r="M8" s="7"/>
      <c r="N8" s="7"/>
      <c r="O8" s="7" t="str">
        <f>IFERROR(__xludf.DUMMYFUNCTION("""COMPUTED_VALUE"""),"x")</f>
        <v>x</v>
      </c>
      <c r="P8" s="7"/>
      <c r="Q8" s="4" t="str">
        <f>IFERROR(__xludf.DUMMYFUNCTION("""COMPUTED_VALUE"""),"x")</f>
        <v>x</v>
      </c>
      <c r="R8" s="7"/>
      <c r="S8" s="7"/>
      <c r="T8" s="7"/>
      <c r="U8" s="7"/>
      <c r="V8" s="7"/>
      <c r="W8" s="7"/>
      <c r="X8" s="7"/>
      <c r="Y8" s="7"/>
    </row>
    <row r="9">
      <c r="A9" s="4" t="str">
        <f>IFERROR(__xludf.DUMMYFUNCTION("""COMPUTED_VALUE"""),"Adventuring Gear")</f>
        <v>Adventuring Gear</v>
      </c>
      <c r="B9" s="4" t="str">
        <f>IFERROR(__xludf.DUMMYFUNCTION("""COMPUTED_VALUE"""),"Holy Symbol")</f>
        <v>Holy Symbol</v>
      </c>
      <c r="C9" s="8" t="str">
        <f>IFERROR(__xludf.DUMMYFUNCTION("""COMPUTED_VALUE"""),"Amulet (worn or held)")</f>
        <v>Amulet (worn or held)</v>
      </c>
      <c r="D9" s="5">
        <f>IFERROR(__xludf.DUMMYFUNCTION("""COMPUTED_VALUE"""),1.0)</f>
        <v>1</v>
      </c>
      <c r="E9" s="6">
        <f>IFERROR(__xludf.DUMMYFUNCTION("""COMPUTED_VALUE"""),5.0)</f>
        <v>5</v>
      </c>
      <c r="F9" s="6">
        <f>IFERROR(__xludf.DUMMYFUNCTION("""COMPUTED_VALUE"""),3.75)</f>
        <v>3.75</v>
      </c>
      <c r="G9" s="6">
        <f>IFERROR(__xludf.DUMMYFUNCTION("""COMPUTED_VALUE"""),7.5)</f>
        <v>7.5</v>
      </c>
      <c r="H9" s="4" t="str">
        <f>IFERROR(__xludf.DUMMYFUNCTION("""COMPUTED_VALUE"""),"PHB 2024")</f>
        <v>PHB 2024</v>
      </c>
      <c r="I9" s="4" t="str">
        <f>IFERROR(__xludf.DUMMYFUNCTION("""COMPUTED_VALUE"""),"x")</f>
        <v>x</v>
      </c>
      <c r="J9" s="4" t="str">
        <f>IFERROR(__xludf.DUMMYFUNCTION("""COMPUTED_VALUE"""),"x")</f>
        <v>x</v>
      </c>
      <c r="K9" s="4" t="str">
        <f>IFERROR(__xludf.DUMMYFUNCTION("""COMPUTED_VALUE"""),"x")</f>
        <v>x</v>
      </c>
      <c r="L9" s="7"/>
      <c r="M9" s="7"/>
      <c r="N9" s="7"/>
      <c r="O9" s="7" t="str">
        <f>IFERROR(__xludf.DUMMYFUNCTION("""COMPUTED_VALUE"""),"x")</f>
        <v>x</v>
      </c>
      <c r="P9" s="7"/>
      <c r="Q9" s="7"/>
      <c r="R9" s="7"/>
      <c r="S9" s="7" t="str">
        <f>IFERROR(__xludf.DUMMYFUNCTION("""COMPUTED_VALUE"""),"x")</f>
        <v>x</v>
      </c>
      <c r="T9" s="4"/>
      <c r="U9" s="7"/>
      <c r="V9" s="7"/>
      <c r="W9" s="7"/>
      <c r="X9" s="7"/>
      <c r="Y9" s="7"/>
    </row>
    <row r="10">
      <c r="A10" s="4" t="str">
        <f>IFERROR(__xludf.DUMMYFUNCTION("""COMPUTED_VALUE"""),"Adventuring Gear")</f>
        <v>Adventuring Gear</v>
      </c>
      <c r="B10" s="4" t="str">
        <f>IFERROR(__xludf.DUMMYFUNCTION("""COMPUTED_VALUE"""),"Holy Symbol")</f>
        <v>Holy Symbol</v>
      </c>
      <c r="C10" s="8" t="str">
        <f>IFERROR(__xludf.DUMMYFUNCTION("""COMPUTED_VALUE"""),"Emblem (borne on fabric or a Shield)")</f>
        <v>Emblem (borne on fabric or a Shield)</v>
      </c>
      <c r="D10" s="5" t="str">
        <f>IFERROR(__xludf.DUMMYFUNCTION("""COMPUTED_VALUE"""),"-")</f>
        <v>-</v>
      </c>
      <c r="E10" s="6">
        <f>IFERROR(__xludf.DUMMYFUNCTION("""COMPUTED_VALUE"""),5.0)</f>
        <v>5</v>
      </c>
      <c r="F10" s="6">
        <f>IFERROR(__xludf.DUMMYFUNCTION("""COMPUTED_VALUE"""),3.75)</f>
        <v>3.75</v>
      </c>
      <c r="G10" s="6">
        <f>IFERROR(__xludf.DUMMYFUNCTION("""COMPUTED_VALUE"""),7.5)</f>
        <v>7.5</v>
      </c>
      <c r="H10" s="4" t="str">
        <f>IFERROR(__xludf.DUMMYFUNCTION("""COMPUTED_VALUE"""),"PHB 2024")</f>
        <v>PHB 2024</v>
      </c>
      <c r="I10" s="4" t="str">
        <f>IFERROR(__xludf.DUMMYFUNCTION("""COMPUTED_VALUE"""),"x")</f>
        <v>x</v>
      </c>
      <c r="J10" s="4" t="str">
        <f>IFERROR(__xludf.DUMMYFUNCTION("""COMPUTED_VALUE"""),"x")</f>
        <v>x</v>
      </c>
      <c r="K10" s="4" t="str">
        <f>IFERROR(__xludf.DUMMYFUNCTION("""COMPUTED_VALUE"""),"x")</f>
        <v>x</v>
      </c>
      <c r="L10" s="7"/>
      <c r="M10" s="7"/>
      <c r="N10" s="7"/>
      <c r="O10" s="7" t="str">
        <f>IFERROR(__xludf.DUMMYFUNCTION("""COMPUTED_VALUE"""),"x")</f>
        <v>x</v>
      </c>
      <c r="P10" s="7"/>
      <c r="Q10" s="7"/>
      <c r="R10" s="7"/>
      <c r="S10" s="4"/>
      <c r="T10" s="7"/>
      <c r="U10" s="4"/>
      <c r="V10" s="7"/>
      <c r="W10" s="7"/>
      <c r="X10" s="7"/>
      <c r="Y10" s="7"/>
    </row>
    <row r="11">
      <c r="A11" s="4" t="str">
        <f>IFERROR(__xludf.DUMMYFUNCTION("""COMPUTED_VALUE"""),"Adventuring Gear")</f>
        <v>Adventuring Gear</v>
      </c>
      <c r="B11" s="4" t="str">
        <f>IFERROR(__xludf.DUMMYFUNCTION("""COMPUTED_VALUE"""),"Holy Symbol")</f>
        <v>Holy Symbol</v>
      </c>
      <c r="C11" s="8" t="str">
        <f>IFERROR(__xludf.DUMMYFUNCTION("""COMPUTED_VALUE"""),"Reliquary (held)")</f>
        <v>Reliquary (held)</v>
      </c>
      <c r="D11" s="5">
        <f>IFERROR(__xludf.DUMMYFUNCTION("""COMPUTED_VALUE"""),2.0)</f>
        <v>2</v>
      </c>
      <c r="E11" s="6">
        <f>IFERROR(__xludf.DUMMYFUNCTION("""COMPUTED_VALUE"""),5.0)</f>
        <v>5</v>
      </c>
      <c r="F11" s="6">
        <f>IFERROR(__xludf.DUMMYFUNCTION("""COMPUTED_VALUE"""),3.75)</f>
        <v>3.75</v>
      </c>
      <c r="G11" s="6">
        <f>IFERROR(__xludf.DUMMYFUNCTION("""COMPUTED_VALUE"""),7.5)</f>
        <v>7.5</v>
      </c>
      <c r="H11" s="4" t="str">
        <f>IFERROR(__xludf.DUMMYFUNCTION("""COMPUTED_VALUE"""),"PHB 2024")</f>
        <v>PHB 2024</v>
      </c>
      <c r="I11" s="4" t="str">
        <f>IFERROR(__xludf.DUMMYFUNCTION("""COMPUTED_VALUE"""),"x")</f>
        <v>x</v>
      </c>
      <c r="J11" s="4" t="str">
        <f>IFERROR(__xludf.DUMMYFUNCTION("""COMPUTED_VALUE"""),"x")</f>
        <v>x</v>
      </c>
      <c r="K11" s="4" t="str">
        <f>IFERROR(__xludf.DUMMYFUNCTION("""COMPUTED_VALUE"""),"x")</f>
        <v>x</v>
      </c>
      <c r="L11" s="7"/>
      <c r="M11" s="7"/>
      <c r="N11" s="7"/>
      <c r="O11" s="7" t="str">
        <f>IFERROR(__xludf.DUMMYFUNCTION("""COMPUTED_VALUE"""),"x")</f>
        <v>x</v>
      </c>
      <c r="P11" s="7"/>
      <c r="Q11" s="7"/>
      <c r="R11" s="7"/>
      <c r="S11" s="4"/>
      <c r="T11" s="7"/>
      <c r="U11" s="4"/>
      <c r="V11" s="7"/>
      <c r="W11" s="7"/>
      <c r="X11" s="7"/>
      <c r="Y11" s="7"/>
    </row>
    <row r="12">
      <c r="A12" s="4" t="str">
        <f>IFERROR(__xludf.DUMMYFUNCTION("""COMPUTED_VALUE"""),"Adventuring Gear")</f>
        <v>Adventuring Gear</v>
      </c>
      <c r="B12" s="4" t="str">
        <f>IFERROR(__xludf.DUMMYFUNCTION("""COMPUTED_VALUE"""),"-")</f>
        <v>-</v>
      </c>
      <c r="C12" s="8" t="str">
        <f>IFERROR(__xludf.DUMMYFUNCTION("""COMPUTED_VALUE"""),"Holy Water")</f>
        <v>Holy Water</v>
      </c>
      <c r="D12" s="5">
        <f>IFERROR(__xludf.DUMMYFUNCTION("""COMPUTED_VALUE"""),1.0)</f>
        <v>1</v>
      </c>
      <c r="E12" s="6">
        <f>IFERROR(__xludf.DUMMYFUNCTION("""COMPUTED_VALUE"""),25.0)</f>
        <v>25</v>
      </c>
      <c r="F12" s="6">
        <f>IFERROR(__xludf.DUMMYFUNCTION("""COMPUTED_VALUE"""),18.75)</f>
        <v>18.75</v>
      </c>
      <c r="G12" s="6">
        <f>IFERROR(__xludf.DUMMYFUNCTION("""COMPUTED_VALUE"""),37.5)</f>
        <v>37.5</v>
      </c>
      <c r="H12" s="4" t="str">
        <f>IFERROR(__xludf.DUMMYFUNCTION("""COMPUTED_VALUE"""),"PHB 2024")</f>
        <v>PHB 2024</v>
      </c>
      <c r="I12" s="4" t="str">
        <f>IFERROR(__xludf.DUMMYFUNCTION("""COMPUTED_VALUE"""),"x")</f>
        <v>x</v>
      </c>
      <c r="J12" s="4" t="str">
        <f>IFERROR(__xludf.DUMMYFUNCTION("""COMPUTED_VALUE"""),"x")</f>
        <v>x</v>
      </c>
      <c r="K12" s="4" t="str">
        <f>IFERROR(__xludf.DUMMYFUNCTION("""COMPUTED_VALUE"""),"x")</f>
        <v>x</v>
      </c>
      <c r="L12" s="7"/>
      <c r="M12" s="7"/>
      <c r="N12" s="7"/>
      <c r="O12" s="7" t="str">
        <f>IFERROR(__xludf.DUMMYFUNCTION("""COMPUTED_VALUE"""),"x")</f>
        <v>x</v>
      </c>
      <c r="P12" s="7"/>
      <c r="Q12" s="7"/>
      <c r="R12" s="7"/>
      <c r="S12" s="7"/>
      <c r="T12" s="7"/>
      <c r="U12" s="4"/>
      <c r="V12" s="7"/>
      <c r="W12" s="7"/>
      <c r="X12" s="7"/>
      <c r="Y12" s="7"/>
    </row>
    <row r="13">
      <c r="A13" s="4" t="str">
        <f>IFERROR(__xludf.DUMMYFUNCTION("""COMPUTED_VALUE"""),"Adventuring Gear")</f>
        <v>Adventuring Gear</v>
      </c>
      <c r="B13" s="4" t="str">
        <f>IFERROR(__xludf.DUMMYFUNCTION("""COMPUTED_VALUE"""),"-")</f>
        <v>-</v>
      </c>
      <c r="C13" s="8" t="str">
        <f>IFERROR(__xludf.DUMMYFUNCTION("""COMPUTED_VALUE"""),"Ink")</f>
        <v>Ink</v>
      </c>
      <c r="D13" s="5" t="str">
        <f>IFERROR(__xludf.DUMMYFUNCTION("""COMPUTED_VALUE"""),"-")</f>
        <v>-</v>
      </c>
      <c r="E13" s="6">
        <f>IFERROR(__xludf.DUMMYFUNCTION("""COMPUTED_VALUE"""),10.0)</f>
        <v>10</v>
      </c>
      <c r="F13" s="6">
        <f>IFERROR(__xludf.DUMMYFUNCTION("""COMPUTED_VALUE"""),7.5)</f>
        <v>7.5</v>
      </c>
      <c r="G13" s="6">
        <f>IFERROR(__xludf.DUMMYFUNCTION("""COMPUTED_VALUE"""),15.0)</f>
        <v>15</v>
      </c>
      <c r="H13" s="4" t="str">
        <f>IFERROR(__xludf.DUMMYFUNCTION("""COMPUTED_VALUE"""),"PHB 2024")</f>
        <v>PHB 2024</v>
      </c>
      <c r="I13" s="4" t="str">
        <f>IFERROR(__xludf.DUMMYFUNCTION("""COMPUTED_VALUE"""),"x")</f>
        <v>x</v>
      </c>
      <c r="J13" s="4" t="str">
        <f>IFERROR(__xludf.DUMMYFUNCTION("""COMPUTED_VALUE"""),"x")</f>
        <v>x</v>
      </c>
      <c r="K13" s="4" t="str">
        <f>IFERROR(__xludf.DUMMYFUNCTION("""COMPUTED_VALUE"""),"x")</f>
        <v>x</v>
      </c>
      <c r="L13" s="7"/>
      <c r="M13" s="7"/>
      <c r="N13" s="7"/>
      <c r="O13" s="7" t="str">
        <f>IFERROR(__xludf.DUMMYFUNCTION("""COMPUTED_VALUE"""),"x")</f>
        <v>x</v>
      </c>
      <c r="P13" s="7" t="str">
        <f>IFERROR(__xludf.DUMMYFUNCTION("""COMPUTED_VALUE"""),"x")</f>
        <v>x</v>
      </c>
      <c r="Q13" s="7" t="str">
        <f>IFERROR(__xludf.DUMMYFUNCTION("""COMPUTED_VALUE"""),"x")</f>
        <v>x</v>
      </c>
      <c r="R13" s="7"/>
      <c r="S13" s="7"/>
      <c r="T13" s="7"/>
      <c r="U13" s="4" t="str">
        <f>IFERROR(__xludf.DUMMYFUNCTION("""COMPUTED_VALUE"""),"x")</f>
        <v>x</v>
      </c>
      <c r="V13" s="7"/>
      <c r="W13" s="7" t="str">
        <f>IFERROR(__xludf.DUMMYFUNCTION("""COMPUTED_VALUE"""),"x")</f>
        <v>x</v>
      </c>
      <c r="X13" s="7"/>
      <c r="Y13" s="7"/>
    </row>
    <row r="14">
      <c r="A14" s="4" t="str">
        <f>IFERROR(__xludf.DUMMYFUNCTION("""COMPUTED_VALUE"""),"Adventuring Gear")</f>
        <v>Adventuring Gear</v>
      </c>
      <c r="B14" s="4" t="str">
        <f>IFERROR(__xludf.DUMMYFUNCTION("""COMPUTED_VALUE"""),"-")</f>
        <v>-</v>
      </c>
      <c r="C14" s="8" t="str">
        <f>IFERROR(__xludf.DUMMYFUNCTION("""COMPUTED_VALUE"""),"Ink Pen")</f>
        <v>Ink Pen</v>
      </c>
      <c r="D14" s="5" t="str">
        <f>IFERROR(__xludf.DUMMYFUNCTION("""COMPUTED_VALUE"""),"-")</f>
        <v>-</v>
      </c>
      <c r="E14" s="6">
        <f>IFERROR(__xludf.DUMMYFUNCTION("""COMPUTED_VALUE"""),0.02)</f>
        <v>0.02</v>
      </c>
      <c r="F14" s="6">
        <f>IFERROR(__xludf.DUMMYFUNCTION("""COMPUTED_VALUE"""),0.015)</f>
        <v>0.015</v>
      </c>
      <c r="G14" s="6">
        <f>IFERROR(__xludf.DUMMYFUNCTION("""COMPUTED_VALUE"""),0.03)</f>
        <v>0.03</v>
      </c>
      <c r="H14" s="4" t="str">
        <f>IFERROR(__xludf.DUMMYFUNCTION("""COMPUTED_VALUE"""),"PHB 2024")</f>
        <v>PHB 2024</v>
      </c>
      <c r="I14" s="4"/>
      <c r="J14" s="4" t="str">
        <f>IFERROR(__xludf.DUMMYFUNCTION("""COMPUTED_VALUE"""),"x")</f>
        <v>x</v>
      </c>
      <c r="K14" s="4" t="str">
        <f>IFERROR(__xludf.DUMMYFUNCTION("""COMPUTED_VALUE"""),"x")</f>
        <v>x</v>
      </c>
      <c r="L14" s="7"/>
      <c r="M14" s="7"/>
      <c r="N14" s="7"/>
      <c r="O14" s="7" t="str">
        <f>IFERROR(__xludf.DUMMYFUNCTION("""COMPUTED_VALUE"""),"x")</f>
        <v>x</v>
      </c>
      <c r="P14" s="7" t="str">
        <f>IFERROR(__xludf.DUMMYFUNCTION("""COMPUTED_VALUE"""),"x")</f>
        <v>x</v>
      </c>
      <c r="Q14" s="7" t="str">
        <f>IFERROR(__xludf.DUMMYFUNCTION("""COMPUTED_VALUE"""),"x")</f>
        <v>x</v>
      </c>
      <c r="R14" s="7"/>
      <c r="S14" s="7"/>
      <c r="T14" s="7"/>
      <c r="U14" s="4" t="str">
        <f>IFERROR(__xludf.DUMMYFUNCTION("""COMPUTED_VALUE"""),"x")</f>
        <v>x</v>
      </c>
      <c r="V14" s="7"/>
      <c r="W14" s="7" t="str">
        <f>IFERROR(__xludf.DUMMYFUNCTION("""COMPUTED_VALUE"""),"x")</f>
        <v>x</v>
      </c>
      <c r="X14" s="7"/>
      <c r="Y14" s="7"/>
    </row>
    <row r="15">
      <c r="A15" s="4" t="str">
        <f>IFERROR(__xludf.DUMMYFUNCTION("""COMPUTED_VALUE"""),"Adventuring Gear")</f>
        <v>Adventuring Gear</v>
      </c>
      <c r="B15" s="4" t="str">
        <f>IFERROR(__xludf.DUMMYFUNCTION("""COMPUTED_VALUE"""),"-")</f>
        <v>-</v>
      </c>
      <c r="C15" s="8" t="str">
        <f>IFERROR(__xludf.DUMMYFUNCTION("""COMPUTED_VALUE"""),"Lamp")</f>
        <v>Lamp</v>
      </c>
      <c r="D15" s="5">
        <f>IFERROR(__xludf.DUMMYFUNCTION("""COMPUTED_VALUE"""),1.0)</f>
        <v>1</v>
      </c>
      <c r="E15" s="6">
        <f>IFERROR(__xludf.DUMMYFUNCTION("""COMPUTED_VALUE"""),0.5)</f>
        <v>0.5</v>
      </c>
      <c r="F15" s="6">
        <f>IFERROR(__xludf.DUMMYFUNCTION("""COMPUTED_VALUE"""),0.375)</f>
        <v>0.375</v>
      </c>
      <c r="G15" s="6">
        <f>IFERROR(__xludf.DUMMYFUNCTION("""COMPUTED_VALUE"""),0.75)</f>
        <v>0.75</v>
      </c>
      <c r="H15" s="4" t="str">
        <f>IFERROR(__xludf.DUMMYFUNCTION("""COMPUTED_VALUE"""),"PHB 2024")</f>
        <v>PHB 2024</v>
      </c>
      <c r="I15" s="4"/>
      <c r="J15" s="4" t="str">
        <f>IFERROR(__xludf.DUMMYFUNCTION("""COMPUTED_VALUE"""),"x")</f>
        <v>x</v>
      </c>
      <c r="K15" s="4" t="str">
        <f>IFERROR(__xludf.DUMMYFUNCTION("""COMPUTED_VALUE"""),"x")</f>
        <v>x</v>
      </c>
      <c r="L15" s="7" t="str">
        <f>IFERROR(__xludf.DUMMYFUNCTION("""COMPUTED_VALUE"""),"x")</f>
        <v>x</v>
      </c>
      <c r="M15" s="7"/>
      <c r="N15" s="7"/>
      <c r="O15" s="7" t="str">
        <f>IFERROR(__xludf.DUMMYFUNCTION("""COMPUTED_VALUE"""),"x")</f>
        <v>x</v>
      </c>
      <c r="P15" s="7" t="str">
        <f>IFERROR(__xludf.DUMMYFUNCTION("""COMPUTED_VALUE"""),"x")</f>
        <v>x</v>
      </c>
      <c r="Q15" s="4"/>
      <c r="R15" s="7"/>
      <c r="S15" s="7"/>
      <c r="T15" s="7"/>
      <c r="U15" s="7"/>
      <c r="V15" s="7"/>
      <c r="W15" s="7"/>
      <c r="X15" s="7"/>
      <c r="Y15" s="7"/>
    </row>
    <row r="16">
      <c r="A16" s="4" t="str">
        <f>IFERROR(__xludf.DUMMYFUNCTION("""COMPUTED_VALUE"""),"Adventuring Gear")</f>
        <v>Adventuring Gear</v>
      </c>
      <c r="B16" s="4" t="str">
        <f>IFERROR(__xludf.DUMMYFUNCTION("""COMPUTED_VALUE"""),"-")</f>
        <v>-</v>
      </c>
      <c r="C16" s="8" t="str">
        <f>IFERROR(__xludf.DUMMYFUNCTION("""COMPUTED_VALUE"""),"Lantern, Hooded")</f>
        <v>Lantern, Hooded</v>
      </c>
      <c r="D16" s="5">
        <f>IFERROR(__xludf.DUMMYFUNCTION("""COMPUTED_VALUE"""),2.0)</f>
        <v>2</v>
      </c>
      <c r="E16" s="6">
        <f>IFERROR(__xludf.DUMMYFUNCTION("""COMPUTED_VALUE"""),5.0)</f>
        <v>5</v>
      </c>
      <c r="F16" s="6">
        <f>IFERROR(__xludf.DUMMYFUNCTION("""COMPUTED_VALUE"""),3.75)</f>
        <v>3.75</v>
      </c>
      <c r="G16" s="6">
        <f>IFERROR(__xludf.DUMMYFUNCTION("""COMPUTED_VALUE"""),7.5)</f>
        <v>7.5</v>
      </c>
      <c r="H16" s="4" t="str">
        <f>IFERROR(__xludf.DUMMYFUNCTION("""COMPUTED_VALUE"""),"PHB 2024")</f>
        <v>PHB 2024</v>
      </c>
      <c r="I16" s="4"/>
      <c r="J16" s="4" t="str">
        <f>IFERROR(__xludf.DUMMYFUNCTION("""COMPUTED_VALUE"""),"x")</f>
        <v>x</v>
      </c>
      <c r="K16" s="4" t="str">
        <f>IFERROR(__xludf.DUMMYFUNCTION("""COMPUTED_VALUE"""),"x")</f>
        <v>x</v>
      </c>
      <c r="L16" s="4" t="str">
        <f>IFERROR(__xludf.DUMMYFUNCTION("""COMPUTED_VALUE"""),"x")</f>
        <v>x</v>
      </c>
      <c r="M16" s="7"/>
      <c r="N16" s="7"/>
      <c r="O16" s="7" t="str">
        <f>IFERROR(__xludf.DUMMYFUNCTION("""COMPUTED_VALUE"""),"x")</f>
        <v>x</v>
      </c>
      <c r="P16" s="7" t="str">
        <f>IFERROR(__xludf.DUMMYFUNCTION("""COMPUTED_VALUE"""),"x")</f>
        <v>x</v>
      </c>
      <c r="Q16" s="7" t="str">
        <f>IFERROR(__xludf.DUMMYFUNCTION("""COMPUTED_VALUE"""),"x")</f>
        <v>x</v>
      </c>
      <c r="R16" s="7"/>
      <c r="S16" s="7"/>
      <c r="T16" s="7"/>
      <c r="U16" s="7"/>
      <c r="V16" s="7"/>
      <c r="W16" s="7"/>
      <c r="X16" s="7"/>
      <c r="Y16" s="7"/>
    </row>
    <row r="17">
      <c r="A17" s="4" t="str">
        <f>IFERROR(__xludf.DUMMYFUNCTION("""COMPUTED_VALUE"""),"Adventuring Gear")</f>
        <v>Adventuring Gear</v>
      </c>
      <c r="B17" s="4" t="str">
        <f>IFERROR(__xludf.DUMMYFUNCTION("""COMPUTED_VALUE"""),"-")</f>
        <v>-</v>
      </c>
      <c r="C17" s="8" t="str">
        <f>IFERROR(__xludf.DUMMYFUNCTION("""COMPUTED_VALUE"""),"Oil")</f>
        <v>Oil</v>
      </c>
      <c r="D17" s="5">
        <f>IFERROR(__xludf.DUMMYFUNCTION("""COMPUTED_VALUE"""),1.0)</f>
        <v>1</v>
      </c>
      <c r="E17" s="6">
        <f>IFERROR(__xludf.DUMMYFUNCTION("""COMPUTED_VALUE"""),0.1)</f>
        <v>0.1</v>
      </c>
      <c r="F17" s="6">
        <f>IFERROR(__xludf.DUMMYFUNCTION("""COMPUTED_VALUE"""),0.07500000000000001)</f>
        <v>0.075</v>
      </c>
      <c r="G17" s="6">
        <f>IFERROR(__xludf.DUMMYFUNCTION("""COMPUTED_VALUE"""),0.15000000000000002)</f>
        <v>0.15</v>
      </c>
      <c r="H17" s="4" t="str">
        <f>IFERROR(__xludf.DUMMYFUNCTION("""COMPUTED_VALUE"""),"PHB 2024")</f>
        <v>PHB 2024</v>
      </c>
      <c r="I17" s="4" t="str">
        <f>IFERROR(__xludf.DUMMYFUNCTION("""COMPUTED_VALUE"""),"x")</f>
        <v>x</v>
      </c>
      <c r="J17" s="4" t="str">
        <f>IFERROR(__xludf.DUMMYFUNCTION("""COMPUTED_VALUE"""),"x")</f>
        <v>x</v>
      </c>
      <c r="K17" s="4" t="str">
        <f>IFERROR(__xludf.DUMMYFUNCTION("""COMPUTED_VALUE"""),"x")</f>
        <v>x</v>
      </c>
      <c r="L17" s="7"/>
      <c r="M17" s="7"/>
      <c r="N17" s="7"/>
      <c r="O17" s="7" t="str">
        <f>IFERROR(__xludf.DUMMYFUNCTION("""COMPUTED_VALUE"""),"x")</f>
        <v>x</v>
      </c>
      <c r="P17" s="4"/>
      <c r="Q17" s="7"/>
      <c r="R17" s="7"/>
      <c r="S17" s="7"/>
      <c r="T17" s="7" t="str">
        <f>IFERROR(__xludf.DUMMYFUNCTION("""COMPUTED_VALUE"""),"x")</f>
        <v>x</v>
      </c>
      <c r="U17" s="7"/>
      <c r="V17" s="7"/>
      <c r="W17" s="7" t="str">
        <f>IFERROR(__xludf.DUMMYFUNCTION("""COMPUTED_VALUE"""),"x")</f>
        <v>x</v>
      </c>
      <c r="X17" s="7"/>
      <c r="Y17" s="7"/>
    </row>
    <row r="18">
      <c r="A18" s="4" t="str">
        <f>IFERROR(__xludf.DUMMYFUNCTION("""COMPUTED_VALUE"""),"Adventuring Gear")</f>
        <v>Adventuring Gear</v>
      </c>
      <c r="B18" s="4" t="str">
        <f>IFERROR(__xludf.DUMMYFUNCTION("""COMPUTED_VALUE"""),"-")</f>
        <v>-</v>
      </c>
      <c r="C18" s="8" t="str">
        <f>IFERROR(__xludf.DUMMYFUNCTION("""COMPUTED_VALUE"""),"Paper")</f>
        <v>Paper</v>
      </c>
      <c r="D18" s="5" t="str">
        <f>IFERROR(__xludf.DUMMYFUNCTION("""COMPUTED_VALUE"""),"-")</f>
        <v>-</v>
      </c>
      <c r="E18" s="6">
        <f>IFERROR(__xludf.DUMMYFUNCTION("""COMPUTED_VALUE"""),0.2)</f>
        <v>0.2</v>
      </c>
      <c r="F18" s="6">
        <f>IFERROR(__xludf.DUMMYFUNCTION("""COMPUTED_VALUE"""),0.15000000000000002)</f>
        <v>0.15</v>
      </c>
      <c r="G18" s="6">
        <f>IFERROR(__xludf.DUMMYFUNCTION("""COMPUTED_VALUE"""),0.30000000000000004)</f>
        <v>0.3</v>
      </c>
      <c r="H18" s="4" t="str">
        <f>IFERROR(__xludf.DUMMYFUNCTION("""COMPUTED_VALUE"""),"PHB 2024")</f>
        <v>PHB 2024</v>
      </c>
      <c r="I18" s="4"/>
      <c r="J18" s="4" t="str">
        <f>IFERROR(__xludf.DUMMYFUNCTION("""COMPUTED_VALUE"""),"x")</f>
        <v>x</v>
      </c>
      <c r="K18" s="4" t="str">
        <f>IFERROR(__xludf.DUMMYFUNCTION("""COMPUTED_VALUE"""),"x")</f>
        <v>x</v>
      </c>
      <c r="L18" s="7"/>
      <c r="M18" s="7"/>
      <c r="N18" s="7"/>
      <c r="O18" s="7" t="str">
        <f>IFERROR(__xludf.DUMMYFUNCTION("""COMPUTED_VALUE"""),"x")</f>
        <v>x</v>
      </c>
      <c r="P18" s="7" t="str">
        <f>IFERROR(__xludf.DUMMYFUNCTION("""COMPUTED_VALUE"""),"x")</f>
        <v>x</v>
      </c>
      <c r="Q18" s="7" t="str">
        <f>IFERROR(__xludf.DUMMYFUNCTION("""COMPUTED_VALUE"""),"x")</f>
        <v>x</v>
      </c>
      <c r="R18" s="4"/>
      <c r="S18" s="7"/>
      <c r="T18" s="7"/>
      <c r="U18" s="7" t="str">
        <f>IFERROR(__xludf.DUMMYFUNCTION("""COMPUTED_VALUE"""),"x")</f>
        <v>x</v>
      </c>
      <c r="V18" s="7"/>
      <c r="W18" s="7"/>
      <c r="X18" s="7"/>
      <c r="Y18" s="7"/>
    </row>
    <row r="19">
      <c r="A19" s="4" t="str">
        <f>IFERROR(__xludf.DUMMYFUNCTION("""COMPUTED_VALUE"""),"Adventuring Gear")</f>
        <v>Adventuring Gear</v>
      </c>
      <c r="B19" s="4" t="str">
        <f>IFERROR(__xludf.DUMMYFUNCTION("""COMPUTED_VALUE"""),"-")</f>
        <v>-</v>
      </c>
      <c r="C19" s="8" t="str">
        <f>IFERROR(__xludf.DUMMYFUNCTION("""COMPUTED_VALUE"""),"Parchment")</f>
        <v>Parchment</v>
      </c>
      <c r="D19" s="5" t="str">
        <f>IFERROR(__xludf.DUMMYFUNCTION("""COMPUTED_VALUE"""),"-")</f>
        <v>-</v>
      </c>
      <c r="E19" s="6">
        <f>IFERROR(__xludf.DUMMYFUNCTION("""COMPUTED_VALUE"""),0.1)</f>
        <v>0.1</v>
      </c>
      <c r="F19" s="6">
        <f>IFERROR(__xludf.DUMMYFUNCTION("""COMPUTED_VALUE"""),0.07500000000000001)</f>
        <v>0.075</v>
      </c>
      <c r="G19" s="6">
        <f>IFERROR(__xludf.DUMMYFUNCTION("""COMPUTED_VALUE"""),0.15000000000000002)</f>
        <v>0.15</v>
      </c>
      <c r="H19" s="4" t="str">
        <f>IFERROR(__xludf.DUMMYFUNCTION("""COMPUTED_VALUE"""),"PHB 2024")</f>
        <v>PHB 2024</v>
      </c>
      <c r="I19" s="4" t="str">
        <f>IFERROR(__xludf.DUMMYFUNCTION("""COMPUTED_VALUE"""),"x")</f>
        <v>x</v>
      </c>
      <c r="J19" s="4" t="str">
        <f>IFERROR(__xludf.DUMMYFUNCTION("""COMPUTED_VALUE"""),"x")</f>
        <v>x</v>
      </c>
      <c r="K19" s="4" t="str">
        <f>IFERROR(__xludf.DUMMYFUNCTION("""COMPUTED_VALUE"""),"x")</f>
        <v>x</v>
      </c>
      <c r="L19" s="7"/>
      <c r="M19" s="7"/>
      <c r="N19" s="7"/>
      <c r="O19" s="7" t="str">
        <f>IFERROR(__xludf.DUMMYFUNCTION("""COMPUTED_VALUE"""),"x")</f>
        <v>x</v>
      </c>
      <c r="P19" s="7" t="str">
        <f>IFERROR(__xludf.DUMMYFUNCTION("""COMPUTED_VALUE"""),"x")</f>
        <v>x</v>
      </c>
      <c r="Q19" s="4" t="str">
        <f>IFERROR(__xludf.DUMMYFUNCTION("""COMPUTED_VALUE"""),"x")</f>
        <v>x</v>
      </c>
      <c r="R19" s="7"/>
      <c r="S19" s="7"/>
      <c r="T19" s="7"/>
      <c r="U19" s="7" t="str">
        <f>IFERROR(__xludf.DUMMYFUNCTION("""COMPUTED_VALUE"""),"x")</f>
        <v>x</v>
      </c>
      <c r="V19" s="7"/>
      <c r="W19" s="7"/>
      <c r="X19" s="7"/>
      <c r="Y19" s="7"/>
    </row>
    <row r="20">
      <c r="A20" s="4" t="str">
        <f>IFERROR(__xludf.DUMMYFUNCTION("""COMPUTED_VALUE"""),"Adventuring Gear")</f>
        <v>Adventuring Gear</v>
      </c>
      <c r="B20" s="4" t="str">
        <f>IFERROR(__xludf.DUMMYFUNCTION("""COMPUTED_VALUE"""),"-")</f>
        <v>-</v>
      </c>
      <c r="C20" s="8" t="str">
        <f>IFERROR(__xludf.DUMMYFUNCTION("""COMPUTED_VALUE"""),"Perfume")</f>
        <v>Perfume</v>
      </c>
      <c r="D20" s="5" t="str">
        <f>IFERROR(__xludf.DUMMYFUNCTION("""COMPUTED_VALUE"""),"-")</f>
        <v>-</v>
      </c>
      <c r="E20" s="6">
        <f>IFERROR(__xludf.DUMMYFUNCTION("""COMPUTED_VALUE"""),5.0)</f>
        <v>5</v>
      </c>
      <c r="F20" s="6">
        <f>IFERROR(__xludf.DUMMYFUNCTION("""COMPUTED_VALUE"""),3.75)</f>
        <v>3.75</v>
      </c>
      <c r="G20" s="6">
        <f>IFERROR(__xludf.DUMMYFUNCTION("""COMPUTED_VALUE"""),7.5)</f>
        <v>7.5</v>
      </c>
      <c r="H20" s="4" t="str">
        <f>IFERROR(__xludf.DUMMYFUNCTION("""COMPUTED_VALUE"""),"PHB 2024")</f>
        <v>PHB 2024</v>
      </c>
      <c r="I20" s="4"/>
      <c r="J20" s="4"/>
      <c r="K20" s="4" t="str">
        <f>IFERROR(__xludf.DUMMYFUNCTION("""COMPUTED_VALUE"""),"x")</f>
        <v>x</v>
      </c>
      <c r="L20" s="4"/>
      <c r="M20" s="7"/>
      <c r="N20" s="7"/>
      <c r="O20" s="4" t="str">
        <f>IFERROR(__xludf.DUMMYFUNCTION("""COMPUTED_VALUE"""),"x")</f>
        <v>x</v>
      </c>
      <c r="P20" s="7"/>
      <c r="Q20" s="7"/>
      <c r="R20" s="7"/>
      <c r="S20" s="7"/>
      <c r="T20" s="7" t="str">
        <f>IFERROR(__xludf.DUMMYFUNCTION("""COMPUTED_VALUE"""),"x")</f>
        <v>x</v>
      </c>
      <c r="U20" s="7"/>
      <c r="V20" s="7"/>
      <c r="W20" s="7"/>
      <c r="X20" s="7"/>
      <c r="Y20" s="7"/>
    </row>
    <row r="21">
      <c r="A21" s="4" t="str">
        <f>IFERROR(__xludf.DUMMYFUNCTION("""COMPUTED_VALUE"""),"Adventuring Gear")</f>
        <v>Adventuring Gear</v>
      </c>
      <c r="B21" s="4" t="str">
        <f>IFERROR(__xludf.DUMMYFUNCTION("""COMPUTED_VALUE"""),"-")</f>
        <v>-</v>
      </c>
      <c r="C21" s="8" t="str">
        <f>IFERROR(__xludf.DUMMYFUNCTION("""COMPUTED_VALUE"""),"Potion of Healing")</f>
        <v>Potion of Healing</v>
      </c>
      <c r="D21" s="5">
        <f>IFERROR(__xludf.DUMMYFUNCTION("""COMPUTED_VALUE"""),0.5)</f>
        <v>0.5</v>
      </c>
      <c r="E21" s="6">
        <f>IFERROR(__xludf.DUMMYFUNCTION("""COMPUTED_VALUE"""),50.0)</f>
        <v>50</v>
      </c>
      <c r="F21" s="6">
        <f>IFERROR(__xludf.DUMMYFUNCTION("""COMPUTED_VALUE"""),37.5)</f>
        <v>37.5</v>
      </c>
      <c r="G21" s="6">
        <f>IFERROR(__xludf.DUMMYFUNCTION("""COMPUTED_VALUE"""),75.0)</f>
        <v>75</v>
      </c>
      <c r="H21" s="4" t="str">
        <f>IFERROR(__xludf.DUMMYFUNCTION("""COMPUTED_VALUE"""),"PHB 2024")</f>
        <v>PHB 2024</v>
      </c>
      <c r="I21" s="4"/>
      <c r="J21" s="4" t="str">
        <f>IFERROR(__xludf.DUMMYFUNCTION("""COMPUTED_VALUE"""),"x")</f>
        <v>x</v>
      </c>
      <c r="K21" s="4" t="str">
        <f>IFERROR(__xludf.DUMMYFUNCTION("""COMPUTED_VALUE"""),"x")</f>
        <v>x</v>
      </c>
      <c r="L21" s="7"/>
      <c r="M21" s="7"/>
      <c r="N21" s="7"/>
      <c r="O21" s="4" t="str">
        <f>IFERROR(__xludf.DUMMYFUNCTION("""COMPUTED_VALUE"""),"x")</f>
        <v>x</v>
      </c>
      <c r="P21" s="4"/>
      <c r="Q21" s="4"/>
      <c r="R21" s="7"/>
      <c r="S21" s="7"/>
      <c r="T21" s="7" t="str">
        <f>IFERROR(__xludf.DUMMYFUNCTION("""COMPUTED_VALUE"""),"x")</f>
        <v>x</v>
      </c>
      <c r="U21" s="7"/>
      <c r="V21" s="7"/>
      <c r="W21" s="7"/>
      <c r="X21" s="7"/>
      <c r="Y21" s="7"/>
    </row>
    <row r="22">
      <c r="A22" s="4" t="str">
        <f>IFERROR(__xludf.DUMMYFUNCTION("""COMPUTED_VALUE"""),"Adventuring Gear")</f>
        <v>Adventuring Gear</v>
      </c>
      <c r="B22" s="4" t="str">
        <f>IFERROR(__xludf.DUMMYFUNCTION("""COMPUTED_VALUE"""),"-")</f>
        <v>-</v>
      </c>
      <c r="C22" s="8" t="str">
        <f>IFERROR(__xludf.DUMMYFUNCTION("""COMPUTED_VALUE"""),"Rations")</f>
        <v>Rations</v>
      </c>
      <c r="D22" s="5">
        <f>IFERROR(__xludf.DUMMYFUNCTION("""COMPUTED_VALUE"""),2.0)</f>
        <v>2</v>
      </c>
      <c r="E22" s="6">
        <f>IFERROR(__xludf.DUMMYFUNCTION("""COMPUTED_VALUE"""),0.5)</f>
        <v>0.5</v>
      </c>
      <c r="F22" s="6">
        <f>IFERROR(__xludf.DUMMYFUNCTION("""COMPUTED_VALUE"""),0.375)</f>
        <v>0.375</v>
      </c>
      <c r="G22" s="6">
        <f>IFERROR(__xludf.DUMMYFUNCTION("""COMPUTED_VALUE"""),0.75)</f>
        <v>0.75</v>
      </c>
      <c r="H22" s="4" t="str">
        <f>IFERROR(__xludf.DUMMYFUNCTION("""COMPUTED_VALUE"""),"PHB 2024")</f>
        <v>PHB 2024</v>
      </c>
      <c r="I22" s="4" t="str">
        <f>IFERROR(__xludf.DUMMYFUNCTION("""COMPUTED_VALUE"""),"x")</f>
        <v>x</v>
      </c>
      <c r="J22" s="4" t="str">
        <f>IFERROR(__xludf.DUMMYFUNCTION("""COMPUTED_VALUE"""),"x")</f>
        <v>x</v>
      </c>
      <c r="K22" s="4" t="str">
        <f>IFERROR(__xludf.DUMMYFUNCTION("""COMPUTED_VALUE"""),"x")</f>
        <v>x</v>
      </c>
      <c r="L22" s="4"/>
      <c r="M22" s="7"/>
      <c r="N22" s="7"/>
      <c r="O22" s="7" t="str">
        <f>IFERROR(__xludf.DUMMYFUNCTION("""COMPUTED_VALUE"""),"x")</f>
        <v>x</v>
      </c>
      <c r="P22" s="7"/>
      <c r="Q22" s="4" t="str">
        <f>IFERROR(__xludf.DUMMYFUNCTION("""COMPUTED_VALUE"""),"x")</f>
        <v>x</v>
      </c>
      <c r="R22" s="7" t="str">
        <f>IFERROR(__xludf.DUMMYFUNCTION("""COMPUTED_VALUE"""),"x")</f>
        <v>x</v>
      </c>
      <c r="S22" s="7"/>
      <c r="T22" s="7"/>
      <c r="U22" s="7" t="str">
        <f>IFERROR(__xludf.DUMMYFUNCTION("""COMPUTED_VALUE"""),"x")</f>
        <v>x</v>
      </c>
      <c r="V22" s="7"/>
      <c r="W22" s="7"/>
      <c r="X22" s="7"/>
      <c r="Y22" s="7"/>
    </row>
    <row r="23">
      <c r="A23" s="4" t="str">
        <f>IFERROR(__xludf.DUMMYFUNCTION("""COMPUTED_VALUE"""),"Adventuring Gear")</f>
        <v>Adventuring Gear</v>
      </c>
      <c r="B23" s="4" t="str">
        <f>IFERROR(__xludf.DUMMYFUNCTION("""COMPUTED_VALUE"""),"-")</f>
        <v>-</v>
      </c>
      <c r="C23" s="8" t="str">
        <f>IFERROR(__xludf.DUMMYFUNCTION("""COMPUTED_VALUE"""),"Torch")</f>
        <v>Torch</v>
      </c>
      <c r="D23" s="5">
        <f>IFERROR(__xludf.DUMMYFUNCTION("""COMPUTED_VALUE"""),1.0)</f>
        <v>1</v>
      </c>
      <c r="E23" s="6">
        <f>IFERROR(__xludf.DUMMYFUNCTION("""COMPUTED_VALUE"""),0.01)</f>
        <v>0.01</v>
      </c>
      <c r="F23" s="6">
        <f>IFERROR(__xludf.DUMMYFUNCTION("""COMPUTED_VALUE"""),0.0075)</f>
        <v>0.0075</v>
      </c>
      <c r="G23" s="6">
        <f>IFERROR(__xludf.DUMMYFUNCTION("""COMPUTED_VALUE"""),0.015)</f>
        <v>0.015</v>
      </c>
      <c r="H23" s="4" t="str">
        <f>IFERROR(__xludf.DUMMYFUNCTION("""COMPUTED_VALUE"""),"PHB 2024")</f>
        <v>PHB 2024</v>
      </c>
      <c r="I23" s="4" t="str">
        <f>IFERROR(__xludf.DUMMYFUNCTION("""COMPUTED_VALUE"""),"x")</f>
        <v>x</v>
      </c>
      <c r="J23" s="4" t="str">
        <f>IFERROR(__xludf.DUMMYFUNCTION("""COMPUTED_VALUE"""),"x")</f>
        <v>x</v>
      </c>
      <c r="K23" s="4" t="str">
        <f>IFERROR(__xludf.DUMMYFUNCTION("""COMPUTED_VALUE"""),"x")</f>
        <v>x</v>
      </c>
      <c r="L23" s="7"/>
      <c r="M23" s="7"/>
      <c r="N23" s="7"/>
      <c r="O23" s="4" t="str">
        <f>IFERROR(__xludf.DUMMYFUNCTION("""COMPUTED_VALUE"""),"x")</f>
        <v>x</v>
      </c>
      <c r="P23" s="7"/>
      <c r="Q23" s="7" t="str">
        <f>IFERROR(__xludf.DUMMYFUNCTION("""COMPUTED_VALUE"""),"x")</f>
        <v>x</v>
      </c>
      <c r="R23" s="7"/>
      <c r="S23" s="7"/>
      <c r="T23" s="7"/>
      <c r="U23" s="4"/>
      <c r="V23" s="7"/>
      <c r="W23" s="7"/>
      <c r="X23" s="7"/>
      <c r="Y23" s="7"/>
    </row>
    <row r="24">
      <c r="A24" s="4" t="str">
        <f>IFERROR(__xludf.DUMMYFUNCTION("""COMPUTED_VALUE"""),"Adventuring Gear")</f>
        <v>Adventuring Gear</v>
      </c>
      <c r="B24" s="4" t="str">
        <f>IFERROR(__xludf.DUMMYFUNCTION("""COMPUTED_VALUE"""),"-")</f>
        <v>-</v>
      </c>
      <c r="C24" s="8" t="str">
        <f>IFERROR(__xludf.DUMMYFUNCTION("""COMPUTED_VALUE"""),"Vial")</f>
        <v>Vial</v>
      </c>
      <c r="D24" s="5" t="str">
        <f>IFERROR(__xludf.DUMMYFUNCTION("""COMPUTED_VALUE"""),"-")</f>
        <v>-</v>
      </c>
      <c r="E24" s="6">
        <f>IFERROR(__xludf.DUMMYFUNCTION("""COMPUTED_VALUE"""),1.0)</f>
        <v>1</v>
      </c>
      <c r="F24" s="6">
        <f>IFERROR(__xludf.DUMMYFUNCTION("""COMPUTED_VALUE"""),0.75)</f>
        <v>0.75</v>
      </c>
      <c r="G24" s="6">
        <f>IFERROR(__xludf.DUMMYFUNCTION("""COMPUTED_VALUE"""),1.5)</f>
        <v>1.5</v>
      </c>
      <c r="H24" s="4" t="str">
        <f>IFERROR(__xludf.DUMMYFUNCTION("""COMPUTED_VALUE"""),"PHB 2024")</f>
        <v>PHB 2024</v>
      </c>
      <c r="I24" s="4" t="str">
        <f>IFERROR(__xludf.DUMMYFUNCTION("""COMPUTED_VALUE"""),"x")</f>
        <v>x</v>
      </c>
      <c r="J24" s="4" t="str">
        <f>IFERROR(__xludf.DUMMYFUNCTION("""COMPUTED_VALUE"""),"x")</f>
        <v>x</v>
      </c>
      <c r="K24" s="4" t="str">
        <f>IFERROR(__xludf.DUMMYFUNCTION("""COMPUTED_VALUE"""),"x")</f>
        <v>x</v>
      </c>
      <c r="L24" s="7"/>
      <c r="M24" s="7"/>
      <c r="N24" s="7"/>
      <c r="O24" s="7" t="str">
        <f>IFERROR(__xludf.DUMMYFUNCTION("""COMPUTED_VALUE"""),"x")</f>
        <v>x</v>
      </c>
      <c r="P24" s="4" t="str">
        <f>IFERROR(__xludf.DUMMYFUNCTION("""COMPUTED_VALUE"""),"x")</f>
        <v>x</v>
      </c>
      <c r="Q24" s="4" t="str">
        <f>IFERROR(__xludf.DUMMYFUNCTION("""COMPUTED_VALUE"""),"x")</f>
        <v>x</v>
      </c>
      <c r="R24" s="7"/>
      <c r="S24" s="7"/>
      <c r="T24" s="7" t="str">
        <f>IFERROR(__xludf.DUMMYFUNCTION("""COMPUTED_VALUE"""),"x")</f>
        <v>x</v>
      </c>
      <c r="U24" s="4" t="str">
        <f>IFERROR(__xludf.DUMMYFUNCTION("""COMPUTED_VALUE"""),"x")</f>
        <v>x</v>
      </c>
      <c r="V24" s="7"/>
      <c r="W24" s="7" t="str">
        <f>IFERROR(__xludf.DUMMYFUNCTION("""COMPUTED_VALUE"""),"x")</f>
        <v>x</v>
      </c>
      <c r="X24" s="7"/>
      <c r="Y24" s="7"/>
    </row>
    <row r="25">
      <c r="A25" s="4" t="str">
        <f>IFERROR(__xludf.DUMMYFUNCTION("""COMPUTED_VALUE"""),"Adventuring Gear")</f>
        <v>Adventuring Gear</v>
      </c>
      <c r="B25" s="4" t="str">
        <f>IFERROR(__xludf.DUMMYFUNCTION("""COMPUTED_VALUE"""),"-")</f>
        <v>-</v>
      </c>
      <c r="C25" s="8" t="str">
        <f>IFERROR(__xludf.DUMMYFUNCTION("""COMPUTED_VALUE"""),"Waterskin")</f>
        <v>Waterskin</v>
      </c>
      <c r="D25" s="5">
        <f>IFERROR(__xludf.DUMMYFUNCTION("""COMPUTED_VALUE"""),5.0)</f>
        <v>5</v>
      </c>
      <c r="E25" s="6">
        <f>IFERROR(__xludf.DUMMYFUNCTION("""COMPUTED_VALUE"""),0.2)</f>
        <v>0.2</v>
      </c>
      <c r="F25" s="6">
        <f>IFERROR(__xludf.DUMMYFUNCTION("""COMPUTED_VALUE"""),0.15000000000000002)</f>
        <v>0.15</v>
      </c>
      <c r="G25" s="6">
        <f>IFERROR(__xludf.DUMMYFUNCTION("""COMPUTED_VALUE"""),0.30000000000000004)</f>
        <v>0.3</v>
      </c>
      <c r="H25" s="4" t="str">
        <f>IFERROR(__xludf.DUMMYFUNCTION("""COMPUTED_VALUE"""),"PHB 2024")</f>
        <v>PHB 2024</v>
      </c>
      <c r="I25" s="4" t="str">
        <f>IFERROR(__xludf.DUMMYFUNCTION("""COMPUTED_VALUE"""),"x")</f>
        <v>x</v>
      </c>
      <c r="J25" s="4" t="str">
        <f>IFERROR(__xludf.DUMMYFUNCTION("""COMPUTED_VALUE"""),"x")</f>
        <v>x</v>
      </c>
      <c r="K25" s="4" t="str">
        <f>IFERROR(__xludf.DUMMYFUNCTION("""COMPUTED_VALUE"""),"x")</f>
        <v>x</v>
      </c>
      <c r="L25" s="7"/>
      <c r="M25" s="7"/>
      <c r="N25" s="7" t="str">
        <f>IFERROR(__xludf.DUMMYFUNCTION("""COMPUTED_VALUE"""),"x")</f>
        <v>x</v>
      </c>
      <c r="O25" s="7" t="str">
        <f>IFERROR(__xludf.DUMMYFUNCTION("""COMPUTED_VALUE"""),"x")</f>
        <v>x</v>
      </c>
      <c r="P25" s="4"/>
      <c r="Q25" s="7" t="str">
        <f>IFERROR(__xludf.DUMMYFUNCTION("""COMPUTED_VALUE"""),"x")</f>
        <v>x</v>
      </c>
      <c r="R25" s="7"/>
      <c r="S25" s="7"/>
      <c r="T25" s="7"/>
      <c r="U25" s="7"/>
      <c r="V25" s="7"/>
      <c r="W25" s="7"/>
      <c r="X25" s="7"/>
      <c r="Y25" s="7"/>
    </row>
    <row r="26">
      <c r="A26" s="4" t="str">
        <f>IFERROR(__xludf.DUMMYFUNCTION("""COMPUTED_VALUE"""),"Tools")</f>
        <v>Tools</v>
      </c>
      <c r="B26" s="4" t="str">
        <f>IFERROR(__xludf.DUMMYFUNCTION("""COMPUTED_VALUE"""),"Artisan's Tools")</f>
        <v>Artisan's Tools</v>
      </c>
      <c r="C26" s="8" t="str">
        <f>IFERROR(__xludf.DUMMYFUNCTION("""COMPUTED_VALUE"""),"Calligrapher's Supplies")</f>
        <v>Calligrapher's Supplies</v>
      </c>
      <c r="D26" s="5">
        <f>IFERROR(__xludf.DUMMYFUNCTION("""COMPUTED_VALUE"""),5.0)</f>
        <v>5</v>
      </c>
      <c r="E26" s="6">
        <f>IFERROR(__xludf.DUMMYFUNCTION("""COMPUTED_VALUE"""),10.0)</f>
        <v>10</v>
      </c>
      <c r="F26" s="6">
        <f>IFERROR(__xludf.DUMMYFUNCTION("""COMPUTED_VALUE"""),7.5)</f>
        <v>7.5</v>
      </c>
      <c r="G26" s="6">
        <f>IFERROR(__xludf.DUMMYFUNCTION("""COMPUTED_VALUE"""),15.0)</f>
        <v>15</v>
      </c>
      <c r="H26" s="4" t="str">
        <f>IFERROR(__xludf.DUMMYFUNCTION("""COMPUTED_VALUE"""),"PHB 2024")</f>
        <v>PHB 2024</v>
      </c>
      <c r="I26" s="4"/>
      <c r="J26" s="4" t="str">
        <f>IFERROR(__xludf.DUMMYFUNCTION("""COMPUTED_VALUE"""),"x")</f>
        <v>x</v>
      </c>
      <c r="K26" s="4" t="str">
        <f>IFERROR(__xludf.DUMMYFUNCTION("""COMPUTED_VALUE"""),"x")</f>
        <v>x</v>
      </c>
      <c r="L26" s="7"/>
      <c r="M26" s="7"/>
      <c r="N26" s="7"/>
      <c r="O26" s="7" t="str">
        <f>IFERROR(__xludf.DUMMYFUNCTION("""COMPUTED_VALUE"""),"x")</f>
        <v>x</v>
      </c>
      <c r="P26" s="7"/>
      <c r="Q26" s="7"/>
      <c r="R26" s="7"/>
      <c r="S26" s="7"/>
      <c r="T26" s="7"/>
      <c r="U26" s="7" t="str">
        <f>IFERROR(__xludf.DUMMYFUNCTION("""COMPUTED_VALUE"""),"x")</f>
        <v>x</v>
      </c>
      <c r="V26" s="7"/>
      <c r="W26" s="4"/>
      <c r="X26" s="7"/>
      <c r="Y26" s="7"/>
    </row>
    <row r="27">
      <c r="A27" s="4" t="str">
        <f>IFERROR(__xludf.DUMMYFUNCTION("""COMPUTED_VALUE"""),"Tools")</f>
        <v>Tools</v>
      </c>
      <c r="B27" s="4" t="str">
        <f>IFERROR(__xludf.DUMMYFUNCTION("""COMPUTED_VALUE"""),"-")</f>
        <v>-</v>
      </c>
      <c r="C27" s="8" t="str">
        <f>IFERROR(__xludf.DUMMYFUNCTION("""COMPUTED_VALUE"""),"Herbalism Kit")</f>
        <v>Herbalism Kit</v>
      </c>
      <c r="D27" s="5">
        <f>IFERROR(__xludf.DUMMYFUNCTION("""COMPUTED_VALUE"""),3.0)</f>
        <v>3</v>
      </c>
      <c r="E27" s="6">
        <f>IFERROR(__xludf.DUMMYFUNCTION("""COMPUTED_VALUE"""),5.0)</f>
        <v>5</v>
      </c>
      <c r="F27" s="6">
        <f>IFERROR(__xludf.DUMMYFUNCTION("""COMPUTED_VALUE"""),3.75)</f>
        <v>3.75</v>
      </c>
      <c r="G27" s="6">
        <f>IFERROR(__xludf.DUMMYFUNCTION("""COMPUTED_VALUE"""),7.5)</f>
        <v>7.5</v>
      </c>
      <c r="H27" s="4" t="str">
        <f>IFERROR(__xludf.DUMMYFUNCTION("""COMPUTED_VALUE"""),"PHB 2024")</f>
        <v>PHB 2024</v>
      </c>
      <c r="I27" s="4"/>
      <c r="J27" s="4" t="str">
        <f>IFERROR(__xludf.DUMMYFUNCTION("""COMPUTED_VALUE"""),"x")</f>
        <v>x</v>
      </c>
      <c r="K27" s="4" t="str">
        <f>IFERROR(__xludf.DUMMYFUNCTION("""COMPUTED_VALUE"""),"x")</f>
        <v>x</v>
      </c>
      <c r="L27" s="7"/>
      <c r="M27" s="7"/>
      <c r="N27" s="7"/>
      <c r="O27" s="7" t="str">
        <f>IFERROR(__xludf.DUMMYFUNCTION("""COMPUTED_VALUE"""),"x")</f>
        <v>x</v>
      </c>
      <c r="P27" s="7"/>
      <c r="Q27" s="7" t="str">
        <f>IFERROR(__xludf.DUMMYFUNCTION("""COMPUTED_VALUE"""),"x")</f>
        <v>x</v>
      </c>
      <c r="R27" s="7"/>
      <c r="S27" s="7"/>
      <c r="T27" s="7"/>
      <c r="U27" s="7"/>
      <c r="V27" s="7"/>
      <c r="W27" s="4"/>
      <c r="X27" s="7"/>
      <c r="Y27" s="7"/>
    </row>
    <row r="28">
      <c r="A28" s="4" t="str">
        <f>IFERROR(__xludf.DUMMYFUNCTION("""COMPUTED_VALUE"""),"Tools")</f>
        <v>Tools</v>
      </c>
      <c r="B28" s="4" t="str">
        <f>IFERROR(__xludf.DUMMYFUNCTION("""COMPUTED_VALUE"""),"Musical Instrument")</f>
        <v>Musical Instrument</v>
      </c>
      <c r="C28" s="8" t="str">
        <f>IFERROR(__xludf.DUMMYFUNCTION("""COMPUTED_VALUE"""),"Flute")</f>
        <v>Flute</v>
      </c>
      <c r="D28" s="5">
        <f>IFERROR(__xludf.DUMMYFUNCTION("""COMPUTED_VALUE"""),1.0)</f>
        <v>1</v>
      </c>
      <c r="E28" s="6">
        <f>IFERROR(__xludf.DUMMYFUNCTION("""COMPUTED_VALUE"""),2.0)</f>
        <v>2</v>
      </c>
      <c r="F28" s="6">
        <f>IFERROR(__xludf.DUMMYFUNCTION("""COMPUTED_VALUE"""),1.5)</f>
        <v>1.5</v>
      </c>
      <c r="G28" s="6">
        <f>IFERROR(__xludf.DUMMYFUNCTION("""COMPUTED_VALUE"""),3.0)</f>
        <v>3</v>
      </c>
      <c r="H28" s="4" t="str">
        <f>IFERROR(__xludf.DUMMYFUNCTION("""COMPUTED_VALUE"""),"PHB 2024")</f>
        <v>PHB 2024</v>
      </c>
      <c r="I28" s="4" t="str">
        <f>IFERROR(__xludf.DUMMYFUNCTION("""COMPUTED_VALUE"""),"x")</f>
        <v>x</v>
      </c>
      <c r="J28" s="4" t="str">
        <f>IFERROR(__xludf.DUMMYFUNCTION("""COMPUTED_VALUE"""),"x")</f>
        <v>x</v>
      </c>
      <c r="K28" s="4" t="str">
        <f>IFERROR(__xludf.DUMMYFUNCTION("""COMPUTED_VALUE"""),"x")</f>
        <v>x</v>
      </c>
      <c r="L28" s="7"/>
      <c r="M28" s="7"/>
      <c r="N28" s="7"/>
      <c r="O28" s="4" t="str">
        <f>IFERROR(__xludf.DUMMYFUNCTION("""COMPUTED_VALUE"""),"x")</f>
        <v>x</v>
      </c>
      <c r="P28" s="4"/>
      <c r="Q28" s="4"/>
      <c r="R28" s="7"/>
      <c r="S28" s="7"/>
      <c r="T28" s="7"/>
      <c r="U28" s="4"/>
      <c r="V28" s="7"/>
      <c r="W28" s="7"/>
      <c r="X28" s="7" t="str">
        <f>IFERROR(__xludf.DUMMYFUNCTION("""COMPUTED_VALUE"""),"x")</f>
        <v>x</v>
      </c>
      <c r="Y28" s="7"/>
    </row>
    <row r="29">
      <c r="A29" s="4" t="str">
        <f>IFERROR(__xludf.DUMMYFUNCTION("""COMPUTED_VALUE"""),"Tools")</f>
        <v>Tools</v>
      </c>
      <c r="B29" s="4" t="str">
        <f>IFERROR(__xludf.DUMMYFUNCTION("""COMPUTED_VALUE"""),"Musical Instrument")</f>
        <v>Musical Instrument</v>
      </c>
      <c r="C29" s="8" t="str">
        <f>IFERROR(__xludf.DUMMYFUNCTION("""COMPUTED_VALUE"""),"Horn")</f>
        <v>Horn</v>
      </c>
      <c r="D29" s="5">
        <f>IFERROR(__xludf.DUMMYFUNCTION("""COMPUTED_VALUE"""),2.0)</f>
        <v>2</v>
      </c>
      <c r="E29" s="6">
        <f>IFERROR(__xludf.DUMMYFUNCTION("""COMPUTED_VALUE"""),3.0)</f>
        <v>3</v>
      </c>
      <c r="F29" s="6">
        <f>IFERROR(__xludf.DUMMYFUNCTION("""COMPUTED_VALUE"""),2.25)</f>
        <v>2.25</v>
      </c>
      <c r="G29" s="6">
        <f>IFERROR(__xludf.DUMMYFUNCTION("""COMPUTED_VALUE"""),4.5)</f>
        <v>4.5</v>
      </c>
      <c r="H29" s="4" t="str">
        <f>IFERROR(__xludf.DUMMYFUNCTION("""COMPUTED_VALUE"""),"PHB 2024")</f>
        <v>PHB 2024</v>
      </c>
      <c r="I29" s="4"/>
      <c r="J29" s="4" t="str">
        <f>IFERROR(__xludf.DUMMYFUNCTION("""COMPUTED_VALUE"""),"x")</f>
        <v>x</v>
      </c>
      <c r="K29" s="4" t="str">
        <f>IFERROR(__xludf.DUMMYFUNCTION("""COMPUTED_VALUE"""),"x")</f>
        <v>x</v>
      </c>
      <c r="L29" s="7"/>
      <c r="M29" s="4"/>
      <c r="N29" s="7"/>
      <c r="O29" s="7" t="str">
        <f>IFERROR(__xludf.DUMMYFUNCTION("""COMPUTED_VALUE"""),"x")</f>
        <v>x</v>
      </c>
      <c r="P29" s="7"/>
      <c r="Q29" s="4"/>
      <c r="R29" s="7"/>
      <c r="S29" s="7"/>
      <c r="T29" s="7"/>
      <c r="U29" s="7"/>
      <c r="V29" s="7"/>
      <c r="W29" s="7"/>
      <c r="X29" s="7" t="str">
        <f>IFERROR(__xludf.DUMMYFUNCTION("""COMPUTED_VALUE"""),"x")</f>
        <v>x</v>
      </c>
      <c r="Y29" s="7"/>
    </row>
    <row r="30">
      <c r="A30" s="4" t="str">
        <f>IFERROR(__xludf.DUMMYFUNCTION("""COMPUTED_VALUE"""),"Tools")</f>
        <v>Tools</v>
      </c>
      <c r="B30" s="4" t="str">
        <f>IFERROR(__xludf.DUMMYFUNCTION("""COMPUTED_VALUE"""),"Musical Instrument")</f>
        <v>Musical Instrument</v>
      </c>
      <c r="C30" s="8" t="str">
        <f>IFERROR(__xludf.DUMMYFUNCTION("""COMPUTED_VALUE"""),"Lute")</f>
        <v>Lute</v>
      </c>
      <c r="D30" s="5">
        <f>IFERROR(__xludf.DUMMYFUNCTION("""COMPUTED_VALUE"""),2.0)</f>
        <v>2</v>
      </c>
      <c r="E30" s="6">
        <f>IFERROR(__xludf.DUMMYFUNCTION("""COMPUTED_VALUE"""),12.0)</f>
        <v>12</v>
      </c>
      <c r="F30" s="6">
        <f>IFERROR(__xludf.DUMMYFUNCTION("""COMPUTED_VALUE"""),9.0)</f>
        <v>9</v>
      </c>
      <c r="G30" s="6">
        <f>IFERROR(__xludf.DUMMYFUNCTION("""COMPUTED_VALUE"""),18.0)</f>
        <v>18</v>
      </c>
      <c r="H30" s="4" t="str">
        <f>IFERROR(__xludf.DUMMYFUNCTION("""COMPUTED_VALUE"""),"PHB 2024")</f>
        <v>PHB 2024</v>
      </c>
      <c r="I30" s="4" t="str">
        <f>IFERROR(__xludf.DUMMYFUNCTION("""COMPUTED_VALUE"""),"x")</f>
        <v>x</v>
      </c>
      <c r="J30" s="4" t="str">
        <f>IFERROR(__xludf.DUMMYFUNCTION("""COMPUTED_VALUE"""),"x")</f>
        <v>x</v>
      </c>
      <c r="K30" s="4" t="str">
        <f>IFERROR(__xludf.DUMMYFUNCTION("""COMPUTED_VALUE"""),"x")</f>
        <v>x</v>
      </c>
      <c r="L30" s="7"/>
      <c r="M30" s="7"/>
      <c r="N30" s="7"/>
      <c r="O30" s="4" t="str">
        <f>IFERROR(__xludf.DUMMYFUNCTION("""COMPUTED_VALUE"""),"x")</f>
        <v>x</v>
      </c>
      <c r="P30" s="7"/>
      <c r="Q30" s="4"/>
      <c r="R30" s="7"/>
      <c r="S30" s="7"/>
      <c r="T30" s="7"/>
      <c r="U30" s="4"/>
      <c r="V30" s="7"/>
      <c r="W30" s="7"/>
      <c r="X30" s="7" t="str">
        <f>IFERROR(__xludf.DUMMYFUNCTION("""COMPUTED_VALUE"""),"x")</f>
        <v>x</v>
      </c>
      <c r="Y30" s="7"/>
    </row>
    <row r="31">
      <c r="A31" s="4" t="str">
        <f>IFERROR(__xludf.DUMMYFUNCTION("""COMPUTED_VALUE"""),"Tools")</f>
        <v>Tools</v>
      </c>
      <c r="B31" s="4" t="str">
        <f>IFERROR(__xludf.DUMMYFUNCTION("""COMPUTED_VALUE"""),"Musical Instrument")</f>
        <v>Musical Instrument</v>
      </c>
      <c r="C31" s="8" t="str">
        <f>IFERROR(__xludf.DUMMYFUNCTION("""COMPUTED_VALUE"""),"Lyre")</f>
        <v>Lyre</v>
      </c>
      <c r="D31" s="5">
        <f>IFERROR(__xludf.DUMMYFUNCTION("""COMPUTED_VALUE"""),2.0)</f>
        <v>2</v>
      </c>
      <c r="E31" s="6">
        <f>IFERROR(__xludf.DUMMYFUNCTION("""COMPUTED_VALUE"""),20.0)</f>
        <v>20</v>
      </c>
      <c r="F31" s="6">
        <f>IFERROR(__xludf.DUMMYFUNCTION("""COMPUTED_VALUE"""),15.0)</f>
        <v>15</v>
      </c>
      <c r="G31" s="6">
        <f>IFERROR(__xludf.DUMMYFUNCTION("""COMPUTED_VALUE"""),30.0)</f>
        <v>30</v>
      </c>
      <c r="H31" s="4" t="str">
        <f>IFERROR(__xludf.DUMMYFUNCTION("""COMPUTED_VALUE"""),"PHB 2024")</f>
        <v>PHB 2024</v>
      </c>
      <c r="I31" s="4" t="str">
        <f>IFERROR(__xludf.DUMMYFUNCTION("""COMPUTED_VALUE"""),"x")</f>
        <v>x</v>
      </c>
      <c r="J31" s="4" t="str">
        <f>IFERROR(__xludf.DUMMYFUNCTION("""COMPUTED_VALUE"""),"x")</f>
        <v>x</v>
      </c>
      <c r="K31" s="4" t="str">
        <f>IFERROR(__xludf.DUMMYFUNCTION("""COMPUTED_VALUE"""),"x")</f>
        <v>x</v>
      </c>
      <c r="L31" s="4"/>
      <c r="M31" s="7"/>
      <c r="N31" s="7"/>
      <c r="O31" s="7" t="str">
        <f>IFERROR(__xludf.DUMMYFUNCTION("""COMPUTED_VALUE"""),"x")</f>
        <v>x</v>
      </c>
      <c r="P31" s="7"/>
      <c r="Q31" s="4"/>
      <c r="R31" s="7"/>
      <c r="S31" s="7"/>
      <c r="T31" s="7"/>
      <c r="U31" s="7"/>
      <c r="V31" s="7"/>
      <c r="W31" s="7"/>
      <c r="X31" s="7" t="str">
        <f>IFERROR(__xludf.DUMMYFUNCTION("""COMPUTED_VALUE"""),"x")</f>
        <v>x</v>
      </c>
      <c r="Y31" s="7"/>
    </row>
    <row r="32">
      <c r="A32" s="4"/>
      <c r="B32" s="4"/>
      <c r="C32" s="8"/>
      <c r="D32" s="5"/>
      <c r="E32" s="6"/>
      <c r="F32" s="6"/>
      <c r="G32" s="6"/>
      <c r="H32" s="4"/>
      <c r="I32" s="4"/>
      <c r="J32" s="4"/>
      <c r="K32" s="4"/>
      <c r="L32" s="7"/>
      <c r="M32" s="7"/>
      <c r="N32" s="7"/>
      <c r="O32" s="7"/>
      <c r="P32" s="4"/>
      <c r="Q32" s="4"/>
      <c r="R32" s="7"/>
      <c r="S32" s="7"/>
      <c r="T32" s="7"/>
      <c r="U32" s="7"/>
      <c r="V32" s="7"/>
      <c r="W32" s="7"/>
      <c r="X32" s="7"/>
      <c r="Y32" s="7"/>
    </row>
    <row r="33">
      <c r="A33" s="4"/>
      <c r="B33" s="4"/>
      <c r="C33" s="8"/>
      <c r="D33" s="5"/>
      <c r="E33" s="6"/>
      <c r="F33" s="6"/>
      <c r="G33" s="6"/>
      <c r="H33" s="4"/>
      <c r="I33" s="4"/>
      <c r="J33" s="4"/>
      <c r="K33" s="4"/>
      <c r="L33" s="7"/>
      <c r="M33" s="7"/>
      <c r="N33" s="7"/>
      <c r="O33" s="7"/>
      <c r="P33" s="7"/>
      <c r="Q33" s="4"/>
      <c r="R33" s="7"/>
      <c r="S33" s="7"/>
      <c r="T33" s="7"/>
      <c r="U33" s="7"/>
      <c r="V33" s="7"/>
      <c r="W33" s="7"/>
      <c r="X33" s="7"/>
      <c r="Y33" s="7"/>
    </row>
    <row r="34">
      <c r="A34" s="4"/>
      <c r="B34" s="4"/>
      <c r="C34" s="8"/>
      <c r="D34" s="5"/>
      <c r="E34" s="6"/>
      <c r="F34" s="6"/>
      <c r="G34" s="6"/>
      <c r="H34" s="4"/>
      <c r="I34" s="4"/>
      <c r="J34" s="4"/>
      <c r="K34" s="4"/>
      <c r="L34" s="7"/>
      <c r="M34" s="7"/>
      <c r="N34" s="7"/>
      <c r="O34" s="7"/>
      <c r="P34" s="4"/>
      <c r="Q34" s="7"/>
      <c r="R34" s="4"/>
      <c r="S34" s="7"/>
      <c r="T34" s="7"/>
      <c r="U34" s="7"/>
      <c r="V34" s="7"/>
      <c r="W34" s="7"/>
      <c r="X34" s="7"/>
      <c r="Y34" s="7"/>
    </row>
    <row r="35">
      <c r="A35" s="4"/>
      <c r="B35" s="4"/>
      <c r="C35" s="8"/>
      <c r="D35" s="5"/>
      <c r="E35" s="6"/>
      <c r="F35" s="6"/>
      <c r="G35" s="6"/>
      <c r="H35" s="4"/>
      <c r="I35" s="4"/>
      <c r="J35" s="4"/>
      <c r="K35" s="4"/>
      <c r="L35" s="7"/>
      <c r="M35" s="7"/>
      <c r="N35" s="7"/>
      <c r="O35" s="7"/>
      <c r="P35" s="7"/>
      <c r="Q35" s="4"/>
      <c r="R35" s="4"/>
      <c r="S35" s="7"/>
      <c r="T35" s="7"/>
      <c r="U35" s="7"/>
      <c r="V35" s="7"/>
      <c r="W35" s="7"/>
      <c r="X35" s="7"/>
      <c r="Y35" s="7"/>
    </row>
    <row r="36">
      <c r="A36" s="4"/>
      <c r="B36" s="4"/>
      <c r="C36" s="8"/>
      <c r="D36" s="5"/>
      <c r="E36" s="6"/>
      <c r="F36" s="6"/>
      <c r="G36" s="6"/>
      <c r="H36" s="4"/>
      <c r="I36" s="4"/>
      <c r="J36" s="4"/>
      <c r="K36" s="4"/>
      <c r="L36" s="7"/>
      <c r="M36" s="7"/>
      <c r="N36" s="7"/>
      <c r="O36" s="7"/>
      <c r="P36" s="7"/>
      <c r="Q36" s="7"/>
      <c r="R36" s="4"/>
      <c r="S36" s="7"/>
      <c r="T36" s="4"/>
      <c r="U36" s="4"/>
      <c r="V36" s="7"/>
      <c r="W36" s="7"/>
      <c r="X36" s="7"/>
      <c r="Y36" s="7"/>
    </row>
    <row r="37">
      <c r="A37" s="4"/>
      <c r="B37" s="4"/>
      <c r="C37" s="8"/>
      <c r="D37" s="5"/>
      <c r="E37" s="6"/>
      <c r="F37" s="6"/>
      <c r="G37" s="6"/>
      <c r="H37" s="4"/>
      <c r="I37" s="4"/>
      <c r="J37" s="4"/>
      <c r="K37" s="4"/>
      <c r="L37" s="7"/>
      <c r="M37" s="7"/>
      <c r="N37" s="7"/>
      <c r="O37" s="7"/>
      <c r="P37" s="7"/>
      <c r="Q37" s="7"/>
      <c r="R37" s="4"/>
      <c r="S37" s="7"/>
      <c r="T37" s="7"/>
      <c r="U37" s="7"/>
      <c r="V37" s="7"/>
      <c r="W37" s="4"/>
      <c r="X37" s="7"/>
      <c r="Y37" s="7"/>
    </row>
    <row r="38">
      <c r="A38" s="4"/>
      <c r="B38" s="4"/>
      <c r="C38" s="8"/>
      <c r="D38" s="5"/>
      <c r="E38" s="6"/>
      <c r="F38" s="6"/>
      <c r="G38" s="6"/>
      <c r="H38" s="4"/>
      <c r="I38" s="4"/>
      <c r="J38" s="4"/>
      <c r="K38" s="4"/>
      <c r="L38" s="4"/>
      <c r="M38" s="7"/>
      <c r="N38" s="7"/>
      <c r="O38" s="7"/>
      <c r="P38" s="7"/>
      <c r="Q38" s="4"/>
      <c r="R38" s="7"/>
      <c r="S38" s="7"/>
      <c r="T38" s="7"/>
      <c r="U38" s="7"/>
      <c r="V38" s="7"/>
      <c r="W38" s="4"/>
      <c r="X38" s="7"/>
      <c r="Y38" s="7"/>
    </row>
    <row r="39">
      <c r="A39" s="4"/>
      <c r="B39" s="4"/>
      <c r="C39" s="8"/>
      <c r="D39" s="5"/>
      <c r="E39" s="6"/>
      <c r="F39" s="6"/>
      <c r="G39" s="6"/>
      <c r="H39" s="4"/>
      <c r="I39" s="4"/>
      <c r="J39" s="4"/>
      <c r="K39" s="4"/>
      <c r="L39" s="7"/>
      <c r="M39" s="7"/>
      <c r="N39" s="7"/>
      <c r="O39" s="4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4"/>
      <c r="B40" s="8"/>
      <c r="C40" s="4"/>
      <c r="D40" s="5"/>
      <c r="E40" s="6"/>
      <c r="F40" s="6"/>
      <c r="G40" s="6"/>
      <c r="H40" s="4"/>
      <c r="I40" s="4"/>
      <c r="J40" s="4"/>
      <c r="K40" s="4"/>
      <c r="L40" s="7"/>
      <c r="M40" s="7"/>
      <c r="N40" s="7"/>
      <c r="O40" s="7"/>
      <c r="P40" s="7"/>
      <c r="Q40" s="7"/>
      <c r="R40" s="7"/>
      <c r="S40" s="7"/>
      <c r="T40" s="7"/>
      <c r="U40" s="4"/>
      <c r="V40" s="7"/>
      <c r="W40" s="7"/>
      <c r="X40" s="7"/>
      <c r="Y40" s="7"/>
    </row>
    <row r="41">
      <c r="A41" s="4"/>
      <c r="B41" s="8"/>
      <c r="C41" s="8"/>
      <c r="D41" s="5"/>
      <c r="E41" s="6"/>
      <c r="F41" s="6"/>
      <c r="G41" s="6"/>
      <c r="H41" s="4"/>
      <c r="I41" s="4"/>
      <c r="J41" s="4"/>
      <c r="K41" s="4"/>
      <c r="L41" s="7"/>
      <c r="M41" s="7"/>
      <c r="N41" s="7"/>
      <c r="O41" s="7"/>
      <c r="P41" s="7"/>
      <c r="Q41" s="7"/>
      <c r="R41" s="7"/>
      <c r="S41" s="7"/>
      <c r="T41" s="7"/>
      <c r="U41" s="4"/>
      <c r="V41" s="7"/>
      <c r="W41" s="7"/>
      <c r="X41" s="7"/>
      <c r="Y41" s="7"/>
    </row>
    <row r="42">
      <c r="A42" s="4"/>
      <c r="B42" s="8"/>
      <c r="C42" s="8"/>
      <c r="D42" s="5"/>
      <c r="E42" s="6"/>
      <c r="F42" s="6"/>
      <c r="G42" s="6"/>
      <c r="H42" s="4"/>
      <c r="I42" s="4"/>
      <c r="J42" s="4"/>
      <c r="K42" s="4"/>
      <c r="L42" s="7"/>
      <c r="M42" s="7"/>
      <c r="N42" s="7"/>
      <c r="O42" s="7"/>
      <c r="P42" s="7"/>
      <c r="Q42" s="7"/>
      <c r="R42" s="7"/>
      <c r="S42" s="7"/>
      <c r="T42" s="7"/>
      <c r="U42" s="4"/>
      <c r="V42" s="7"/>
      <c r="W42" s="7"/>
      <c r="X42" s="7"/>
      <c r="Y42" s="7"/>
    </row>
    <row r="43">
      <c r="A43" s="4"/>
      <c r="B43" s="4"/>
      <c r="C43" s="8"/>
      <c r="D43" s="5"/>
      <c r="E43" s="6"/>
      <c r="F43" s="6"/>
      <c r="G43" s="6"/>
      <c r="H43" s="4"/>
      <c r="I43" s="4"/>
      <c r="J43" s="4"/>
      <c r="K43" s="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4"/>
      <c r="B44" s="4"/>
      <c r="C44" s="8"/>
      <c r="D44" s="5"/>
      <c r="E44" s="6"/>
      <c r="F44" s="6"/>
      <c r="G44" s="6"/>
      <c r="H44" s="4"/>
      <c r="I44" s="4"/>
      <c r="J44" s="4"/>
      <c r="K44" s="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4"/>
      <c r="B45" s="4"/>
      <c r="C45" s="8"/>
      <c r="D45" s="5"/>
      <c r="E45" s="6"/>
      <c r="F45" s="6"/>
      <c r="G45" s="6"/>
      <c r="H45" s="4"/>
      <c r="I45" s="4"/>
      <c r="J45" s="4"/>
      <c r="K45" s="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4"/>
      <c r="B46" s="4"/>
      <c r="C46" s="8"/>
      <c r="D46" s="5"/>
      <c r="E46" s="6"/>
      <c r="F46" s="6"/>
      <c r="G46" s="6"/>
      <c r="H46" s="4"/>
      <c r="I46" s="4"/>
      <c r="J46" s="4"/>
      <c r="K46" s="4"/>
      <c r="L46" s="7"/>
      <c r="M46" s="7"/>
      <c r="N46" s="7"/>
      <c r="O46" s="4"/>
      <c r="P46" s="4"/>
      <c r="Q46" s="4"/>
      <c r="R46" s="7"/>
      <c r="S46" s="7"/>
      <c r="T46" s="4"/>
      <c r="U46" s="7"/>
      <c r="V46" s="7"/>
      <c r="W46" s="7"/>
      <c r="X46" s="7"/>
      <c r="Y46" s="7"/>
    </row>
    <row r="47">
      <c r="A47" s="4"/>
      <c r="B47" s="4"/>
      <c r="C47" s="8"/>
      <c r="D47" s="5"/>
      <c r="E47" s="6"/>
      <c r="F47" s="6"/>
      <c r="G47" s="6"/>
      <c r="H47" s="4"/>
      <c r="I47" s="4"/>
      <c r="J47" s="4"/>
      <c r="K47" s="4"/>
      <c r="L47" s="4"/>
      <c r="M47" s="7"/>
      <c r="N47" s="7"/>
      <c r="O47" s="7"/>
      <c r="P47" s="7"/>
      <c r="Q47" s="4"/>
      <c r="R47" s="7"/>
      <c r="S47" s="7"/>
      <c r="T47" s="7"/>
      <c r="U47" s="7"/>
      <c r="V47" s="7"/>
      <c r="W47" s="4"/>
      <c r="X47" s="7"/>
      <c r="Y47" s="7"/>
    </row>
    <row r="48">
      <c r="A48" s="4"/>
      <c r="B48" s="4"/>
      <c r="C48" s="8"/>
      <c r="D48" s="5"/>
      <c r="E48" s="6"/>
      <c r="F48" s="6"/>
      <c r="G48" s="6"/>
      <c r="H48" s="4"/>
      <c r="I48" s="4"/>
      <c r="J48" s="4"/>
      <c r="K48" s="4"/>
      <c r="L48" s="7"/>
      <c r="M48" s="7"/>
      <c r="N48" s="7"/>
      <c r="O48" s="4"/>
      <c r="P48" s="7"/>
      <c r="Q48" s="4"/>
      <c r="R48" s="7"/>
      <c r="S48" s="7"/>
      <c r="T48" s="7"/>
      <c r="U48" s="7"/>
      <c r="V48" s="7"/>
      <c r="W48" s="7"/>
      <c r="X48" s="7"/>
      <c r="Y48" s="7"/>
    </row>
    <row r="49">
      <c r="A49" s="4"/>
      <c r="B49" s="4"/>
      <c r="C49" s="8"/>
      <c r="D49" s="5"/>
      <c r="E49" s="6"/>
      <c r="F49" s="6"/>
      <c r="G49" s="6"/>
      <c r="H49" s="4"/>
      <c r="I49" s="4"/>
      <c r="J49" s="4"/>
      <c r="K49" s="4"/>
      <c r="L49" s="7"/>
      <c r="M49" s="7"/>
      <c r="N49" s="7"/>
      <c r="O49" s="4"/>
      <c r="P49" s="7"/>
      <c r="Q49" s="7"/>
      <c r="R49" s="7"/>
      <c r="S49" s="4"/>
      <c r="T49" s="7"/>
      <c r="U49" s="7"/>
      <c r="V49" s="7"/>
      <c r="W49" s="7"/>
      <c r="X49" s="7"/>
      <c r="Y49" s="7"/>
    </row>
    <row r="50">
      <c r="A50" s="4"/>
      <c r="B50" s="4"/>
      <c r="C50" s="8"/>
      <c r="D50" s="5"/>
      <c r="E50" s="6"/>
      <c r="F50" s="6"/>
      <c r="G50" s="6"/>
      <c r="H50" s="4"/>
      <c r="I50" s="4"/>
      <c r="J50" s="4"/>
      <c r="K50" s="4"/>
      <c r="L50" s="7"/>
      <c r="M50" s="7"/>
      <c r="N50" s="7"/>
      <c r="O50" s="4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4"/>
      <c r="B51" s="4"/>
      <c r="C51" s="8"/>
      <c r="D51" s="5"/>
      <c r="E51" s="6"/>
      <c r="F51" s="6"/>
      <c r="G51" s="6"/>
      <c r="H51" s="4"/>
      <c r="I51" s="4"/>
      <c r="J51" s="4"/>
      <c r="K51" s="4"/>
      <c r="L51" s="7"/>
      <c r="M51" s="7"/>
      <c r="N51" s="7"/>
      <c r="O51" s="4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4"/>
      <c r="B52" s="4"/>
      <c r="C52" s="8"/>
      <c r="D52" s="5"/>
      <c r="E52" s="6"/>
      <c r="F52" s="6"/>
      <c r="G52" s="6"/>
      <c r="H52" s="4"/>
      <c r="I52" s="4"/>
      <c r="J52" s="4"/>
      <c r="K52" s="4"/>
      <c r="L52" s="7"/>
      <c r="M52" s="7"/>
      <c r="N52" s="7"/>
      <c r="O52" s="4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4"/>
      <c r="B53" s="4"/>
      <c r="C53" s="8"/>
      <c r="D53" s="5"/>
      <c r="E53" s="6"/>
      <c r="F53" s="6"/>
      <c r="G53" s="6"/>
      <c r="H53" s="4"/>
      <c r="I53" s="4"/>
      <c r="J53" s="4"/>
      <c r="K53" s="4"/>
      <c r="L53" s="4"/>
      <c r="M53" s="7"/>
      <c r="N53" s="7"/>
      <c r="O53" s="7"/>
      <c r="P53" s="7"/>
      <c r="Q53" s="4"/>
      <c r="R53" s="7"/>
      <c r="S53" s="7"/>
      <c r="T53" s="7"/>
      <c r="U53" s="7"/>
      <c r="V53" s="7"/>
      <c r="W53" s="7"/>
      <c r="X53" s="7"/>
      <c r="Y53" s="7"/>
    </row>
    <row r="54">
      <c r="A54" s="4"/>
      <c r="B54" s="4"/>
      <c r="C54" s="8"/>
      <c r="D54" s="5"/>
      <c r="E54" s="6"/>
      <c r="F54" s="6"/>
      <c r="G54" s="6"/>
      <c r="H54" s="4"/>
      <c r="I54" s="4"/>
      <c r="J54" s="4"/>
      <c r="K54" s="4"/>
      <c r="L54" s="7"/>
      <c r="M54" s="7"/>
      <c r="N54" s="7"/>
      <c r="O54" s="4"/>
      <c r="P54" s="4"/>
      <c r="Q54" s="4"/>
      <c r="R54" s="7"/>
      <c r="S54" s="7"/>
      <c r="T54" s="7"/>
      <c r="U54" s="4"/>
      <c r="V54" s="7"/>
      <c r="W54" s="4"/>
      <c r="X54" s="7"/>
      <c r="Y54" s="7"/>
    </row>
    <row r="55">
      <c r="A55" s="4"/>
      <c r="B55" s="4"/>
      <c r="C55" s="8"/>
      <c r="D55" s="5"/>
      <c r="E55" s="6"/>
      <c r="F55" s="6"/>
      <c r="G55" s="6"/>
      <c r="H55" s="4"/>
      <c r="I55" s="4"/>
      <c r="J55" s="4"/>
      <c r="K55" s="4"/>
      <c r="L55" s="7"/>
      <c r="M55" s="7"/>
      <c r="N55" s="7"/>
      <c r="O55" s="4"/>
      <c r="P55" s="4"/>
      <c r="Q55" s="4"/>
      <c r="R55" s="7"/>
      <c r="S55" s="7"/>
      <c r="T55" s="7"/>
      <c r="U55" s="4"/>
      <c r="V55" s="7"/>
      <c r="W55" s="4"/>
      <c r="X55" s="7"/>
      <c r="Y55" s="7"/>
    </row>
    <row r="56">
      <c r="A56" s="4"/>
      <c r="B56" s="4"/>
      <c r="C56" s="8"/>
      <c r="D56" s="5"/>
      <c r="E56" s="6"/>
      <c r="F56" s="6"/>
      <c r="G56" s="6"/>
      <c r="H56" s="4"/>
      <c r="I56" s="4"/>
      <c r="J56" s="4"/>
      <c r="K56" s="4"/>
      <c r="L56" s="7"/>
      <c r="M56" s="7"/>
      <c r="N56" s="7"/>
      <c r="O56" s="7"/>
      <c r="P56" s="4"/>
      <c r="Q56" s="4"/>
      <c r="R56" s="7"/>
      <c r="S56" s="7"/>
      <c r="T56" s="7"/>
      <c r="U56" s="7"/>
      <c r="V56" s="7"/>
      <c r="W56" s="7"/>
      <c r="X56" s="7"/>
      <c r="Y56" s="7"/>
    </row>
    <row r="57">
      <c r="A57" s="4"/>
      <c r="B57" s="4"/>
      <c r="C57" s="8"/>
      <c r="D57" s="5"/>
      <c r="E57" s="6"/>
      <c r="F57" s="6"/>
      <c r="G57" s="6"/>
      <c r="H57" s="4"/>
      <c r="I57" s="4"/>
      <c r="J57" s="4"/>
      <c r="K57" s="4"/>
      <c r="L57" s="7"/>
      <c r="M57" s="7"/>
      <c r="N57" s="7"/>
      <c r="O57" s="7"/>
      <c r="P57" s="4"/>
      <c r="Q57" s="4"/>
      <c r="R57" s="7"/>
      <c r="S57" s="7"/>
      <c r="T57" s="7"/>
      <c r="U57" s="7"/>
      <c r="V57" s="7"/>
      <c r="W57" s="7"/>
      <c r="X57" s="7"/>
      <c r="Y57" s="7"/>
    </row>
    <row r="58">
      <c r="A58" s="4"/>
      <c r="B58" s="4"/>
      <c r="C58" s="8"/>
      <c r="D58" s="5"/>
      <c r="E58" s="6"/>
      <c r="F58" s="6"/>
      <c r="G58" s="6"/>
      <c r="H58" s="4"/>
      <c r="I58" s="4"/>
      <c r="J58" s="4"/>
      <c r="K58" s="4"/>
      <c r="L58" s="4"/>
      <c r="M58" s="7"/>
      <c r="N58" s="7"/>
      <c r="O58" s="4"/>
      <c r="P58" s="4"/>
      <c r="Q58" s="7"/>
      <c r="R58" s="7"/>
      <c r="S58" s="7"/>
      <c r="T58" s="7"/>
      <c r="U58" s="7"/>
      <c r="V58" s="7"/>
      <c r="W58" s="7"/>
      <c r="X58" s="7"/>
      <c r="Y58" s="7"/>
    </row>
    <row r="59">
      <c r="A59" s="4"/>
      <c r="B59" s="4"/>
      <c r="C59" s="8"/>
      <c r="D59" s="5"/>
      <c r="E59" s="6"/>
      <c r="F59" s="6"/>
      <c r="G59" s="6"/>
      <c r="H59" s="4"/>
      <c r="I59" s="4"/>
      <c r="J59" s="4"/>
      <c r="K59" s="4"/>
      <c r="L59" s="4"/>
      <c r="M59" s="7"/>
      <c r="N59" s="7"/>
      <c r="O59" s="7"/>
      <c r="P59" s="7"/>
      <c r="Q59" s="4"/>
      <c r="R59" s="7"/>
      <c r="S59" s="7"/>
      <c r="T59" s="7"/>
      <c r="U59" s="7"/>
      <c r="V59" s="7"/>
      <c r="W59" s="4"/>
      <c r="X59" s="7"/>
      <c r="Y59" s="7"/>
    </row>
    <row r="60">
      <c r="A60" s="4"/>
      <c r="B60" s="4"/>
      <c r="C60" s="8"/>
      <c r="D60" s="5"/>
      <c r="E60" s="6"/>
      <c r="F60" s="6"/>
      <c r="G60" s="6"/>
      <c r="H60" s="4"/>
      <c r="I60" s="4"/>
      <c r="J60" s="4"/>
      <c r="K60" s="4"/>
      <c r="L60" s="4"/>
      <c r="M60" s="7"/>
      <c r="N60" s="7"/>
      <c r="O60" s="4"/>
      <c r="P60" s="4"/>
      <c r="Q60" s="4"/>
      <c r="R60" s="7"/>
      <c r="S60" s="7"/>
      <c r="T60" s="7"/>
      <c r="U60" s="7"/>
      <c r="V60" s="7"/>
      <c r="W60" s="7"/>
      <c r="X60" s="7"/>
      <c r="Y60" s="7"/>
    </row>
    <row r="61">
      <c r="A61" s="4"/>
      <c r="B61" s="4"/>
      <c r="C61" s="8"/>
      <c r="D61" s="5"/>
      <c r="E61" s="6"/>
      <c r="F61" s="6"/>
      <c r="G61" s="6"/>
      <c r="H61" s="4"/>
      <c r="I61" s="4"/>
      <c r="J61" s="4"/>
      <c r="K61" s="4"/>
      <c r="L61" s="4"/>
      <c r="M61" s="7"/>
      <c r="N61" s="7"/>
      <c r="O61" s="7"/>
      <c r="P61" s="4"/>
      <c r="Q61" s="4"/>
      <c r="R61" s="7"/>
      <c r="S61" s="7"/>
      <c r="T61" s="7"/>
      <c r="U61" s="7"/>
      <c r="V61" s="7"/>
      <c r="W61" s="4"/>
      <c r="X61" s="7"/>
      <c r="Y61" s="7"/>
    </row>
    <row r="62">
      <c r="A62" s="4"/>
      <c r="B62" s="4"/>
      <c r="C62" s="8"/>
      <c r="D62" s="5"/>
      <c r="E62" s="6"/>
      <c r="F62" s="6"/>
      <c r="G62" s="6"/>
      <c r="H62" s="4"/>
      <c r="I62" s="4"/>
      <c r="J62" s="4"/>
      <c r="K62" s="4"/>
      <c r="L62" s="7"/>
      <c r="M62" s="7"/>
      <c r="N62" s="7"/>
      <c r="O62" s="4"/>
      <c r="P62" s="7"/>
      <c r="Q62" s="7"/>
      <c r="R62" s="7"/>
      <c r="S62" s="4"/>
      <c r="T62" s="7"/>
      <c r="U62" s="7"/>
      <c r="V62" s="7"/>
      <c r="W62" s="7"/>
      <c r="X62" s="7"/>
      <c r="Y62" s="7"/>
    </row>
    <row r="63">
      <c r="A63" s="4"/>
      <c r="B63" s="4"/>
      <c r="C63" s="8"/>
      <c r="D63" s="5"/>
      <c r="E63" s="6"/>
      <c r="F63" s="6"/>
      <c r="G63" s="6"/>
      <c r="H63" s="4"/>
      <c r="I63" s="4"/>
      <c r="J63" s="4"/>
      <c r="K63" s="4"/>
      <c r="L63" s="4"/>
      <c r="M63" s="7"/>
      <c r="N63" s="7"/>
      <c r="O63" s="7"/>
      <c r="P63" s="7"/>
      <c r="Q63" s="7"/>
      <c r="R63" s="7"/>
      <c r="S63" s="7"/>
      <c r="T63" s="7"/>
      <c r="U63" s="7"/>
      <c r="V63" s="7"/>
      <c r="W63" s="4"/>
      <c r="X63" s="7"/>
      <c r="Y63" s="7"/>
    </row>
    <row r="64">
      <c r="A64" s="4"/>
      <c r="B64" s="4"/>
      <c r="C64" s="8"/>
      <c r="D64" s="5"/>
      <c r="E64" s="6"/>
      <c r="F64" s="6"/>
      <c r="G64" s="6"/>
      <c r="H64" s="4"/>
      <c r="I64" s="4"/>
      <c r="J64" s="4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4"/>
      <c r="B65" s="4"/>
      <c r="C65" s="8"/>
      <c r="D65" s="5"/>
      <c r="E65" s="6"/>
      <c r="F65" s="6"/>
      <c r="G65" s="6"/>
      <c r="H65" s="4"/>
      <c r="I65" s="4"/>
      <c r="J65" s="4"/>
      <c r="K65" s="4"/>
      <c r="L65" s="4"/>
      <c r="M65" s="7"/>
      <c r="N65" s="7"/>
      <c r="O65" s="7"/>
      <c r="P65" s="4"/>
      <c r="Q65" s="4"/>
      <c r="R65" s="7"/>
      <c r="S65" s="7"/>
      <c r="T65" s="7"/>
      <c r="U65" s="7"/>
      <c r="V65" s="7"/>
      <c r="W65" s="7"/>
      <c r="X65" s="7"/>
      <c r="Y65" s="7"/>
    </row>
    <row r="66">
      <c r="A66" s="4"/>
      <c r="B66" s="4"/>
      <c r="C66" s="8"/>
      <c r="D66" s="5"/>
      <c r="E66" s="6"/>
      <c r="F66" s="6"/>
      <c r="G66" s="6"/>
      <c r="H66" s="4"/>
      <c r="I66" s="4"/>
      <c r="J66" s="4"/>
      <c r="K66" s="4"/>
      <c r="L66" s="7"/>
      <c r="M66" s="7"/>
      <c r="N66" s="7"/>
      <c r="O66" s="7"/>
      <c r="P66" s="4"/>
      <c r="Q66" s="7"/>
      <c r="R66" s="7"/>
      <c r="S66" s="7"/>
      <c r="T66" s="7"/>
      <c r="U66" s="7"/>
      <c r="V66" s="7"/>
      <c r="W66" s="7"/>
      <c r="X66" s="7"/>
      <c r="Y66" s="7"/>
    </row>
    <row r="67">
      <c r="A67" s="4"/>
      <c r="B67" s="4"/>
      <c r="C67" s="8"/>
      <c r="D67" s="5"/>
      <c r="E67" s="6"/>
      <c r="F67" s="6"/>
      <c r="G67" s="6"/>
      <c r="H67" s="4"/>
      <c r="I67" s="4"/>
      <c r="J67" s="4"/>
      <c r="K67" s="4"/>
      <c r="L67" s="7"/>
      <c r="M67" s="7"/>
      <c r="N67" s="7"/>
      <c r="O67" s="4"/>
      <c r="P67" s="7"/>
      <c r="Q67" s="7"/>
      <c r="R67" s="7"/>
      <c r="S67" s="7"/>
      <c r="T67" s="4"/>
      <c r="U67" s="7"/>
      <c r="V67" s="7"/>
      <c r="W67" s="4"/>
      <c r="X67" s="7"/>
      <c r="Y67" s="7"/>
    </row>
    <row r="68">
      <c r="A68" s="4"/>
      <c r="B68" s="4"/>
      <c r="C68" s="8"/>
      <c r="D68" s="5"/>
      <c r="E68" s="6"/>
      <c r="F68" s="6"/>
      <c r="G68" s="6"/>
      <c r="H68" s="4"/>
      <c r="I68" s="4"/>
      <c r="J68" s="4"/>
      <c r="K68" s="4"/>
      <c r="L68" s="7"/>
      <c r="M68" s="7"/>
      <c r="N68" s="7"/>
      <c r="O68" s="4"/>
      <c r="P68" s="4"/>
      <c r="Q68" s="4"/>
      <c r="R68" s="7"/>
      <c r="S68" s="7"/>
      <c r="T68" s="7"/>
      <c r="U68" s="4"/>
      <c r="V68" s="7"/>
      <c r="W68" s="7"/>
      <c r="X68" s="7"/>
      <c r="Y68" s="7"/>
    </row>
    <row r="69">
      <c r="A69" s="4"/>
      <c r="B69" s="4"/>
      <c r="C69" s="8"/>
      <c r="D69" s="5"/>
      <c r="E69" s="6"/>
      <c r="F69" s="6"/>
      <c r="G69" s="6"/>
      <c r="H69" s="4"/>
      <c r="I69" s="4"/>
      <c r="J69" s="4"/>
      <c r="K69" s="4"/>
      <c r="L69" s="7"/>
      <c r="M69" s="7"/>
      <c r="N69" s="7"/>
      <c r="O69" s="4"/>
      <c r="P69" s="4"/>
      <c r="Q69" s="4"/>
      <c r="R69" s="7"/>
      <c r="S69" s="7"/>
      <c r="T69" s="7"/>
      <c r="U69" s="4"/>
      <c r="V69" s="7"/>
      <c r="W69" s="7"/>
      <c r="X69" s="7"/>
      <c r="Y69" s="7"/>
    </row>
    <row r="70">
      <c r="A70" s="4"/>
      <c r="B70" s="4"/>
      <c r="C70" s="8"/>
      <c r="D70" s="5"/>
      <c r="E70" s="6"/>
      <c r="F70" s="6"/>
      <c r="G70" s="6"/>
      <c r="H70" s="4"/>
      <c r="I70" s="4"/>
      <c r="J70" s="4"/>
      <c r="K70" s="4"/>
      <c r="L70" s="7"/>
      <c r="M70" s="7"/>
      <c r="N70" s="7"/>
      <c r="O70" s="4"/>
      <c r="P70" s="7"/>
      <c r="Q70" s="7"/>
      <c r="R70" s="7"/>
      <c r="S70" s="7"/>
      <c r="T70" s="4"/>
      <c r="U70" s="7"/>
      <c r="V70" s="7"/>
      <c r="W70" s="7"/>
      <c r="X70" s="7"/>
      <c r="Y70" s="7"/>
    </row>
    <row r="71">
      <c r="A71" s="4"/>
      <c r="B71" s="4"/>
      <c r="C71" s="8"/>
      <c r="D71" s="5"/>
      <c r="E71" s="6"/>
      <c r="F71" s="6"/>
      <c r="G71" s="6"/>
      <c r="H71" s="4"/>
      <c r="I71" s="4"/>
      <c r="J71" s="4"/>
      <c r="K71" s="4"/>
      <c r="L71" s="7"/>
      <c r="M71" s="7"/>
      <c r="N71" s="7"/>
      <c r="O71" s="7"/>
      <c r="P71" s="7"/>
      <c r="Q71" s="7"/>
      <c r="R71" s="7"/>
      <c r="S71" s="7"/>
      <c r="T71" s="4"/>
      <c r="U71" s="7"/>
      <c r="V71" s="7"/>
      <c r="W71" s="4"/>
      <c r="X71" s="7"/>
      <c r="Y71" s="7"/>
    </row>
    <row r="72">
      <c r="A72" s="4"/>
      <c r="B72" s="4"/>
      <c r="C72" s="8"/>
      <c r="D72" s="5"/>
      <c r="E72" s="6"/>
      <c r="F72" s="6"/>
      <c r="G72" s="6"/>
      <c r="H72" s="4"/>
      <c r="I72" s="4"/>
      <c r="J72" s="4"/>
      <c r="K72" s="4"/>
      <c r="L72" s="7"/>
      <c r="M72" s="7"/>
      <c r="N72" s="7"/>
      <c r="O72" s="7"/>
      <c r="P72" s="7"/>
      <c r="Q72" s="4"/>
      <c r="R72" s="7"/>
      <c r="S72" s="7"/>
      <c r="T72" s="7"/>
      <c r="U72" s="7"/>
      <c r="V72" s="7"/>
      <c r="W72" s="7"/>
      <c r="X72" s="7"/>
      <c r="Y72" s="7"/>
    </row>
    <row r="73">
      <c r="A73" s="4"/>
      <c r="B73" s="4"/>
      <c r="C73" s="8"/>
      <c r="D73" s="5"/>
      <c r="E73" s="6"/>
      <c r="F73" s="6"/>
      <c r="G73" s="6"/>
      <c r="H73" s="4"/>
      <c r="I73" s="4"/>
      <c r="J73" s="4"/>
      <c r="K73" s="4"/>
      <c r="L73" s="4"/>
      <c r="M73" s="7"/>
      <c r="N73" s="7"/>
      <c r="O73" s="7"/>
      <c r="P73" s="4"/>
      <c r="Q73" s="4"/>
      <c r="R73" s="7"/>
      <c r="S73" s="7"/>
      <c r="T73" s="7"/>
      <c r="U73" s="7"/>
      <c r="V73" s="7"/>
      <c r="W73" s="7"/>
      <c r="X73" s="7"/>
      <c r="Y73" s="7"/>
    </row>
    <row r="74">
      <c r="A74" s="4"/>
      <c r="B74" s="4"/>
      <c r="C74" s="8"/>
      <c r="D74" s="5"/>
      <c r="E74" s="6"/>
      <c r="F74" s="6"/>
      <c r="G74" s="6"/>
      <c r="H74" s="4"/>
      <c r="I74" s="4"/>
      <c r="J74" s="4"/>
      <c r="K74" s="4"/>
      <c r="L74" s="7"/>
      <c r="M74" s="7"/>
      <c r="N74" s="7"/>
      <c r="O74" s="4"/>
      <c r="P74" s="7"/>
      <c r="Q74" s="7"/>
      <c r="R74" s="7"/>
      <c r="S74" s="7"/>
      <c r="T74" s="4"/>
      <c r="U74" s="7"/>
      <c r="V74" s="7"/>
      <c r="W74" s="7"/>
      <c r="X74" s="7"/>
      <c r="Y74" s="7"/>
    </row>
    <row r="75">
      <c r="A75" s="4"/>
      <c r="B75" s="4"/>
      <c r="C75" s="8"/>
      <c r="D75" s="5"/>
      <c r="E75" s="6"/>
      <c r="F75" s="6"/>
      <c r="G75" s="6"/>
      <c r="H75" s="4"/>
      <c r="I75" s="4"/>
      <c r="J75" s="4"/>
      <c r="K75" s="4"/>
      <c r="L75" s="7"/>
      <c r="M75" s="7"/>
      <c r="N75" s="7"/>
      <c r="O75" s="7"/>
      <c r="P75" s="4"/>
      <c r="Q75" s="4"/>
      <c r="R75" s="4"/>
      <c r="S75" s="7"/>
      <c r="T75" s="4"/>
      <c r="U75" s="4"/>
      <c r="V75" s="7"/>
      <c r="W75" s="4"/>
      <c r="X75" s="4"/>
      <c r="Y75" s="4"/>
    </row>
    <row r="76">
      <c r="A76" s="4"/>
      <c r="B76" s="4"/>
      <c r="C76" s="8"/>
      <c r="D76" s="5"/>
      <c r="E76" s="6"/>
      <c r="F76" s="6"/>
      <c r="G76" s="6"/>
      <c r="H76" s="4"/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4"/>
      <c r="B77" s="4"/>
      <c r="C77" s="8"/>
      <c r="D77" s="5"/>
      <c r="E77" s="6"/>
      <c r="F77" s="6"/>
      <c r="G77" s="6"/>
      <c r="H77" s="4"/>
      <c r="I77" s="4"/>
      <c r="J77" s="4"/>
      <c r="K77" s="4"/>
      <c r="L77" s="7"/>
      <c r="M77" s="4"/>
      <c r="N77" s="7"/>
      <c r="O77" s="7"/>
      <c r="P77" s="7"/>
      <c r="Q77" s="4"/>
      <c r="R77" s="7"/>
      <c r="S77" s="7"/>
      <c r="T77" s="7"/>
      <c r="U77" s="7"/>
      <c r="V77" s="7"/>
      <c r="W77" s="7"/>
      <c r="X77" s="7"/>
      <c r="Y77" s="7"/>
    </row>
    <row r="78">
      <c r="A78" s="4"/>
      <c r="B78" s="4"/>
      <c r="C78" s="8"/>
      <c r="D78" s="5"/>
      <c r="E78" s="6"/>
      <c r="F78" s="6"/>
      <c r="G78" s="6"/>
      <c r="H78" s="4"/>
      <c r="I78" s="4"/>
      <c r="J78" s="4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"/>
      <c r="X78" s="7"/>
      <c r="Y78" s="7"/>
    </row>
    <row r="79">
      <c r="A79" s="4"/>
      <c r="B79" s="4"/>
      <c r="C79" s="8"/>
      <c r="D79" s="5"/>
      <c r="E79" s="6"/>
      <c r="F79" s="6"/>
      <c r="G79" s="6"/>
      <c r="H79" s="4"/>
      <c r="I79" s="4"/>
      <c r="J79" s="4"/>
      <c r="K79" s="4"/>
      <c r="L79" s="7"/>
      <c r="M79" s="7"/>
      <c r="N79" s="7"/>
      <c r="O79" s="4"/>
      <c r="P79" s="7"/>
      <c r="Q79" s="4"/>
      <c r="R79" s="4"/>
      <c r="S79" s="7"/>
      <c r="T79" s="7"/>
      <c r="U79" s="4"/>
      <c r="V79" s="7"/>
      <c r="W79" s="7"/>
      <c r="X79" s="7"/>
      <c r="Y79" s="7"/>
    </row>
    <row r="80">
      <c r="A80" s="4"/>
      <c r="B80" s="4"/>
      <c r="C80" s="8"/>
      <c r="D80" s="5"/>
      <c r="E80" s="6"/>
      <c r="F80" s="6"/>
      <c r="G80" s="6"/>
      <c r="H80" s="4"/>
      <c r="I80" s="4"/>
      <c r="J80" s="4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4"/>
      <c r="B81" s="4"/>
      <c r="C81" s="8"/>
      <c r="D81" s="5"/>
      <c r="E81" s="6"/>
      <c r="F81" s="6"/>
      <c r="G81" s="6"/>
      <c r="H81" s="4"/>
      <c r="I81" s="4"/>
      <c r="J81" s="4"/>
      <c r="K81" s="4"/>
      <c r="L81" s="7"/>
      <c r="M81" s="7"/>
      <c r="N81" s="7"/>
      <c r="O81" s="7"/>
      <c r="P81" s="4"/>
      <c r="Q81" s="4"/>
      <c r="R81" s="7"/>
      <c r="S81" s="7"/>
      <c r="T81" s="7"/>
      <c r="U81" s="7"/>
      <c r="V81" s="7"/>
      <c r="W81" s="4"/>
      <c r="X81" s="7"/>
      <c r="Y81" s="7"/>
    </row>
    <row r="82">
      <c r="A82" s="4"/>
      <c r="B82" s="4"/>
      <c r="C82" s="8"/>
      <c r="D82" s="5"/>
      <c r="E82" s="6"/>
      <c r="F82" s="6"/>
      <c r="G82" s="6"/>
      <c r="H82" s="4"/>
      <c r="I82" s="4"/>
      <c r="J82" s="4"/>
      <c r="K82" s="4"/>
      <c r="L82" s="7"/>
      <c r="M82" s="7"/>
      <c r="N82" s="7"/>
      <c r="O82" s="7"/>
      <c r="P82" s="4"/>
      <c r="Q82" s="4"/>
      <c r="R82" s="4"/>
      <c r="S82" s="7"/>
      <c r="T82" s="7"/>
      <c r="U82" s="7"/>
      <c r="V82" s="7"/>
      <c r="W82" s="7"/>
      <c r="X82" s="7"/>
      <c r="Y82" s="7"/>
    </row>
    <row r="83">
      <c r="A83" s="4"/>
      <c r="B83" s="4"/>
      <c r="C83" s="8"/>
      <c r="D83" s="5"/>
      <c r="E83" s="6"/>
      <c r="F83" s="6"/>
      <c r="G83" s="6"/>
      <c r="H83" s="4"/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4"/>
      <c r="B84" s="4"/>
      <c r="C84" s="8"/>
      <c r="D84" s="5"/>
      <c r="E84" s="6"/>
      <c r="F84" s="6"/>
      <c r="G84" s="6"/>
      <c r="H84" s="4"/>
      <c r="I84" s="4"/>
      <c r="J84" s="4"/>
      <c r="K84" s="4"/>
      <c r="L84" s="7"/>
      <c r="M84" s="7"/>
      <c r="N84" s="7"/>
      <c r="O84" s="7"/>
      <c r="P84" s="4"/>
      <c r="Q84" s="4"/>
      <c r="R84" s="7"/>
      <c r="S84" s="7"/>
      <c r="T84" s="7"/>
      <c r="U84" s="7"/>
      <c r="V84" s="7"/>
      <c r="W84" s="7"/>
      <c r="X84" s="7"/>
      <c r="Y84" s="7"/>
    </row>
    <row r="85">
      <c r="A85" s="4"/>
      <c r="B85" s="4"/>
      <c r="C85" s="8"/>
      <c r="D85" s="5"/>
      <c r="E85" s="6"/>
      <c r="F85" s="6"/>
      <c r="G85" s="6"/>
      <c r="H85" s="4"/>
      <c r="I85" s="4"/>
      <c r="J85" s="4"/>
      <c r="K85" s="4"/>
      <c r="L85" s="7"/>
      <c r="M85" s="7"/>
      <c r="N85" s="7"/>
      <c r="O85" s="7"/>
      <c r="P85" s="7"/>
      <c r="Q85" s="4"/>
      <c r="R85" s="7"/>
      <c r="S85" s="7"/>
      <c r="T85" s="7"/>
      <c r="U85" s="7"/>
      <c r="V85" s="7"/>
      <c r="W85" s="7"/>
      <c r="X85" s="7"/>
      <c r="Y85" s="7"/>
    </row>
    <row r="86">
      <c r="A86" s="4"/>
      <c r="B86" s="4"/>
      <c r="C86" s="8"/>
      <c r="D86" s="5"/>
      <c r="E86" s="6"/>
      <c r="F86" s="6"/>
      <c r="G86" s="6"/>
      <c r="H86" s="4"/>
      <c r="I86" s="4"/>
      <c r="J86" s="4"/>
      <c r="K86" s="4"/>
      <c r="L86" s="7"/>
      <c r="M86" s="7"/>
      <c r="N86" s="7"/>
      <c r="O86" s="7"/>
      <c r="P86" s="7"/>
      <c r="Q86" s="7"/>
      <c r="R86" s="7"/>
      <c r="S86" s="7"/>
      <c r="T86" s="7"/>
      <c r="U86" s="4"/>
      <c r="V86" s="7"/>
      <c r="W86" s="7"/>
      <c r="X86" s="7"/>
      <c r="Y86" s="7"/>
    </row>
    <row r="87">
      <c r="A87" s="4"/>
      <c r="B87" s="4"/>
      <c r="C87" s="8"/>
      <c r="D87" s="5"/>
      <c r="E87" s="6"/>
      <c r="F87" s="6"/>
      <c r="G87" s="6"/>
      <c r="H87" s="4"/>
      <c r="I87" s="4"/>
      <c r="J87" s="4"/>
      <c r="K87" s="4"/>
      <c r="L87" s="7"/>
      <c r="M87" s="7"/>
      <c r="N87" s="7"/>
      <c r="O87" s="7"/>
      <c r="P87" s="7"/>
      <c r="Q87" s="7"/>
      <c r="R87" s="7"/>
      <c r="S87" s="7"/>
      <c r="T87" s="7"/>
      <c r="U87" s="4"/>
      <c r="V87" s="7"/>
      <c r="W87" s="7"/>
      <c r="X87" s="7"/>
      <c r="Y87" s="7"/>
    </row>
    <row r="88">
      <c r="A88" s="4"/>
      <c r="B88" s="4"/>
      <c r="C88" s="8"/>
      <c r="D88" s="5"/>
      <c r="E88" s="6"/>
      <c r="F88" s="6"/>
      <c r="G88" s="6"/>
      <c r="H88" s="4"/>
      <c r="I88" s="4"/>
      <c r="J88" s="4"/>
      <c r="K88" s="4"/>
      <c r="L88" s="4"/>
      <c r="M88" s="7"/>
      <c r="N88" s="7"/>
      <c r="O88" s="7"/>
      <c r="P88" s="7"/>
      <c r="Q88" s="7"/>
      <c r="R88" s="7"/>
      <c r="S88" s="7"/>
      <c r="T88" s="7"/>
      <c r="U88" s="7"/>
      <c r="V88" s="7"/>
      <c r="W88" s="4"/>
      <c r="X88" s="7"/>
      <c r="Y88" s="7"/>
    </row>
    <row r="89">
      <c r="A89" s="4"/>
      <c r="B89" s="4"/>
      <c r="C89" s="8"/>
      <c r="D89" s="5"/>
      <c r="E89" s="6"/>
      <c r="F89" s="6"/>
      <c r="G89" s="6"/>
      <c r="H89" s="4"/>
      <c r="I89" s="4"/>
      <c r="J89" s="4"/>
      <c r="K89" s="4"/>
      <c r="L89" s="7"/>
      <c r="M89" s="7"/>
      <c r="N89" s="7"/>
      <c r="O89" s="7"/>
      <c r="P89" s="7"/>
      <c r="Q89" s="4"/>
      <c r="R89" s="7"/>
      <c r="S89" s="7"/>
      <c r="T89" s="7"/>
      <c r="U89" s="7"/>
      <c r="V89" s="7"/>
      <c r="W89" s="7"/>
      <c r="X89" s="7"/>
      <c r="Y89" s="7"/>
    </row>
    <row r="90">
      <c r="A90" s="4"/>
      <c r="B90" s="4"/>
      <c r="C90" s="8"/>
      <c r="D90" s="5"/>
      <c r="E90" s="6"/>
      <c r="F90" s="6"/>
      <c r="G90" s="6"/>
      <c r="H90" s="4"/>
      <c r="I90" s="4"/>
      <c r="J90" s="4"/>
      <c r="K90" s="4"/>
      <c r="L90" s="7"/>
      <c r="M90" s="7"/>
      <c r="N90" s="7"/>
      <c r="O90" s="7"/>
      <c r="P90" s="4"/>
      <c r="Q90" s="7"/>
      <c r="R90" s="7"/>
      <c r="S90" s="7"/>
      <c r="T90" s="7"/>
      <c r="U90" s="7"/>
      <c r="V90" s="7"/>
      <c r="W90" s="7"/>
      <c r="X90" s="7"/>
      <c r="Y90" s="7"/>
    </row>
    <row r="91">
      <c r="A91" s="4"/>
      <c r="B91" s="4"/>
      <c r="C91" s="8"/>
      <c r="D91" s="5"/>
      <c r="E91" s="6"/>
      <c r="F91" s="6"/>
      <c r="G91" s="6"/>
      <c r="H91" s="4"/>
      <c r="I91" s="4"/>
      <c r="J91" s="4"/>
      <c r="K91" s="4"/>
      <c r="L91" s="7"/>
      <c r="M91" s="7"/>
      <c r="N91" s="7"/>
      <c r="O91" s="7"/>
      <c r="P91" s="7"/>
      <c r="Q91" s="4"/>
      <c r="R91" s="4"/>
      <c r="S91" s="7"/>
      <c r="T91" s="7"/>
      <c r="U91" s="7"/>
      <c r="V91" s="7"/>
      <c r="W91" s="7"/>
      <c r="X91" s="7"/>
      <c r="Y91" s="7"/>
    </row>
    <row r="92">
      <c r="A92" s="4"/>
      <c r="B92" s="4"/>
      <c r="C92" s="8"/>
      <c r="D92" s="5"/>
      <c r="E92" s="6"/>
      <c r="F92" s="6"/>
      <c r="G92" s="6"/>
      <c r="H92" s="4"/>
      <c r="I92" s="4"/>
      <c r="J92" s="4"/>
      <c r="K92" s="4"/>
      <c r="L92" s="7"/>
      <c r="M92" s="7"/>
      <c r="N92" s="7"/>
      <c r="O92" s="7"/>
      <c r="P92" s="7"/>
      <c r="Q92" s="4"/>
      <c r="R92" s="7"/>
      <c r="S92" s="7"/>
      <c r="T92" s="7"/>
      <c r="U92" s="7"/>
      <c r="V92" s="7"/>
      <c r="W92" s="7"/>
      <c r="X92" s="7"/>
      <c r="Y92" s="7"/>
    </row>
    <row r="93">
      <c r="A93" s="4"/>
      <c r="B93" s="4"/>
      <c r="C93" s="8"/>
      <c r="D93" s="5"/>
      <c r="E93" s="6"/>
      <c r="F93" s="6"/>
      <c r="G93" s="6"/>
      <c r="H93" s="4"/>
      <c r="I93" s="4"/>
      <c r="J93" s="4"/>
      <c r="K93" s="4"/>
      <c r="L93" s="7"/>
      <c r="M93" s="7"/>
      <c r="N93" s="7"/>
      <c r="O93" s="4"/>
      <c r="P93" s="7"/>
      <c r="Q93" s="4"/>
      <c r="R93" s="7"/>
      <c r="S93" s="7"/>
      <c r="T93" s="7"/>
      <c r="U93" s="7"/>
      <c r="V93" s="7"/>
      <c r="W93" s="7"/>
      <c r="X93" s="7"/>
      <c r="Y93" s="7"/>
    </row>
    <row r="94">
      <c r="A94" s="4"/>
      <c r="B94" s="4"/>
      <c r="C94" s="8"/>
      <c r="D94" s="5"/>
      <c r="E94" s="6"/>
      <c r="F94" s="6"/>
      <c r="G94" s="6"/>
      <c r="H94" s="4"/>
      <c r="I94" s="4"/>
      <c r="J94" s="4"/>
      <c r="K94" s="4"/>
      <c r="L94" s="7"/>
      <c r="M94" s="7"/>
      <c r="N94" s="7"/>
      <c r="O94" s="4"/>
      <c r="P94" s="4"/>
      <c r="Q94" s="4"/>
      <c r="R94" s="7"/>
      <c r="S94" s="7"/>
      <c r="T94" s="4"/>
      <c r="U94" s="4"/>
      <c r="V94" s="7"/>
      <c r="W94" s="4"/>
      <c r="X94" s="7"/>
      <c r="Y94" s="7"/>
    </row>
    <row r="95">
      <c r="A95" s="4"/>
      <c r="B95" s="4"/>
      <c r="C95" s="8"/>
      <c r="D95" s="5"/>
      <c r="E95" s="6"/>
      <c r="F95" s="6"/>
      <c r="G95" s="6"/>
      <c r="H95" s="4"/>
      <c r="I95" s="4"/>
      <c r="J95" s="4"/>
      <c r="K95" s="4"/>
      <c r="L95" s="7"/>
      <c r="M95" s="7"/>
      <c r="N95" s="4"/>
      <c r="O95" s="4"/>
      <c r="P95" s="7"/>
      <c r="Q95" s="4"/>
      <c r="R95" s="7"/>
      <c r="S95" s="7"/>
      <c r="T95" s="7"/>
      <c r="U95" s="7"/>
      <c r="V95" s="7"/>
      <c r="W95" s="7"/>
      <c r="X95" s="7"/>
      <c r="Y95" s="7"/>
    </row>
    <row r="96">
      <c r="A96" s="4"/>
      <c r="B96" s="4"/>
      <c r="C96" s="8"/>
      <c r="D96" s="5"/>
      <c r="E96" s="6"/>
      <c r="F96" s="6"/>
      <c r="G96" s="6"/>
      <c r="H96" s="4"/>
      <c r="I96" s="4"/>
      <c r="J96" s="4"/>
      <c r="K96" s="4"/>
      <c r="L96" s="7"/>
      <c r="M96" s="7"/>
      <c r="N96" s="7"/>
      <c r="O96" s="7"/>
      <c r="P96" s="7"/>
      <c r="Q96" s="4"/>
      <c r="R96" s="7"/>
      <c r="S96" s="7"/>
      <c r="T96" s="7"/>
      <c r="U96" s="7"/>
      <c r="V96" s="7"/>
      <c r="W96" s="7"/>
      <c r="X96" s="7"/>
      <c r="Y96" s="7"/>
    </row>
    <row r="97">
      <c r="A97" s="4"/>
      <c r="B97" s="4"/>
      <c r="C97" s="8"/>
      <c r="D97" s="5"/>
      <c r="E97" s="6"/>
      <c r="F97" s="6"/>
      <c r="G97" s="6"/>
      <c r="H97" s="4"/>
      <c r="I97" s="4"/>
      <c r="J97" s="4"/>
      <c r="K97" s="4"/>
      <c r="L97" s="4"/>
      <c r="M97" s="7"/>
      <c r="N97" s="7"/>
      <c r="O97" s="7"/>
      <c r="P97" s="7"/>
      <c r="Q97" s="4"/>
      <c r="R97" s="7"/>
      <c r="S97" s="7"/>
      <c r="T97" s="7"/>
      <c r="U97" s="7"/>
      <c r="V97" s="7"/>
      <c r="W97" s="4"/>
      <c r="X97" s="7"/>
      <c r="Y97" s="7"/>
    </row>
    <row r="98">
      <c r="A98" s="4"/>
      <c r="B98" s="4"/>
      <c r="C98" s="8"/>
      <c r="D98" s="5"/>
      <c r="E98" s="6"/>
      <c r="F98" s="6"/>
      <c r="G98" s="6"/>
      <c r="H98" s="4"/>
      <c r="I98" s="4"/>
      <c r="J98" s="4"/>
      <c r="K98" s="4"/>
      <c r="L98" s="7"/>
      <c r="M98" s="7"/>
      <c r="N98" s="7"/>
      <c r="O98" s="7"/>
      <c r="P98" s="7"/>
      <c r="Q98" s="4"/>
      <c r="R98" s="7"/>
      <c r="S98" s="7"/>
      <c r="T98" s="7"/>
      <c r="U98" s="7"/>
      <c r="V98" s="7"/>
      <c r="W98" s="7"/>
      <c r="X98" s="7"/>
      <c r="Y98" s="7"/>
    </row>
    <row r="99">
      <c r="A99" s="4"/>
      <c r="B99" s="4"/>
      <c r="C99" s="8"/>
      <c r="D99" s="5"/>
      <c r="E99" s="6"/>
      <c r="F99" s="6"/>
      <c r="G99" s="6"/>
      <c r="H99" s="4"/>
      <c r="I99" s="4"/>
      <c r="J99" s="4"/>
      <c r="K99" s="4"/>
      <c r="L99" s="4"/>
      <c r="M99" s="7"/>
      <c r="N99" s="7"/>
      <c r="O99" s="7"/>
      <c r="P99" s="7"/>
      <c r="Q99" s="4"/>
      <c r="R99" s="7"/>
      <c r="S99" s="7"/>
      <c r="T99" s="7"/>
      <c r="U99" s="7"/>
      <c r="V99" s="7"/>
      <c r="W99" s="7"/>
      <c r="X99" s="7"/>
      <c r="Y99" s="7"/>
    </row>
    <row r="100">
      <c r="A100" s="4"/>
      <c r="B100" s="4"/>
      <c r="C100" s="8"/>
      <c r="D100" s="5"/>
      <c r="E100" s="6"/>
      <c r="F100" s="6"/>
      <c r="G100" s="6"/>
      <c r="H100" s="4"/>
      <c r="I100" s="4"/>
      <c r="J100" s="4"/>
      <c r="K100" s="4"/>
      <c r="L100" s="4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4"/>
      <c r="B101" s="4"/>
      <c r="C101" s="8"/>
      <c r="D101" s="5"/>
      <c r="E101" s="6"/>
      <c r="F101" s="6"/>
      <c r="G101" s="6"/>
      <c r="H101" s="4"/>
      <c r="I101" s="4"/>
      <c r="J101" s="4"/>
      <c r="K101" s="4"/>
      <c r="L101" s="4"/>
      <c r="M101" s="7"/>
      <c r="N101" s="7"/>
      <c r="O101" s="7"/>
      <c r="P101" s="7"/>
      <c r="Q101" s="4"/>
      <c r="R101" s="7"/>
      <c r="S101" s="7"/>
      <c r="T101" s="7"/>
      <c r="U101" s="7"/>
      <c r="V101" s="7"/>
      <c r="W101" s="7"/>
      <c r="X101" s="7"/>
      <c r="Y101" s="7"/>
    </row>
    <row r="102">
      <c r="A102" s="4"/>
      <c r="B102" s="4"/>
      <c r="C102" s="8"/>
      <c r="D102" s="5"/>
      <c r="E102" s="6"/>
      <c r="F102" s="6"/>
      <c r="G102" s="6"/>
      <c r="H102" s="4"/>
      <c r="I102" s="4"/>
      <c r="J102" s="4"/>
      <c r="K102" s="4"/>
      <c r="L102" s="4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4"/>
      <c r="B103" s="4"/>
      <c r="C103" s="8"/>
      <c r="D103" s="5"/>
      <c r="E103" s="6"/>
      <c r="F103" s="6"/>
      <c r="G103" s="6"/>
      <c r="H103" s="4"/>
      <c r="I103" s="4"/>
      <c r="J103" s="4"/>
      <c r="K103" s="4"/>
      <c r="L103" s="7"/>
      <c r="M103" s="7"/>
      <c r="N103" s="7"/>
      <c r="O103" s="7"/>
      <c r="P103" s="7"/>
      <c r="Q103" s="4"/>
      <c r="R103" s="7"/>
      <c r="S103" s="7"/>
      <c r="T103" s="7"/>
      <c r="U103" s="4"/>
      <c r="V103" s="7"/>
      <c r="W103" s="7"/>
      <c r="X103" s="7"/>
      <c r="Y103" s="7"/>
    </row>
    <row r="104">
      <c r="A104" s="4"/>
      <c r="B104" s="4"/>
      <c r="C104" s="8"/>
      <c r="D104" s="5"/>
      <c r="E104" s="6"/>
      <c r="F104" s="6"/>
      <c r="G104" s="6"/>
      <c r="H104" s="4"/>
      <c r="I104" s="4"/>
      <c r="J104" s="4"/>
      <c r="K104" s="4"/>
      <c r="L104" s="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4"/>
      <c r="B105" s="4"/>
      <c r="C105" s="8"/>
      <c r="D105" s="5"/>
      <c r="E105" s="6"/>
      <c r="F105" s="6"/>
      <c r="G105" s="6"/>
      <c r="H105" s="4"/>
      <c r="I105" s="4"/>
      <c r="J105" s="4"/>
      <c r="K105" s="4"/>
      <c r="L105" s="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4"/>
      <c r="B106" s="4"/>
      <c r="C106" s="8"/>
      <c r="D106" s="5"/>
      <c r="E106" s="6"/>
      <c r="F106" s="6"/>
      <c r="G106" s="6"/>
      <c r="H106" s="4"/>
      <c r="I106" s="4"/>
      <c r="J106" s="4"/>
      <c r="K106" s="4"/>
      <c r="L106" s="4"/>
      <c r="M106" s="7"/>
      <c r="N106" s="7"/>
      <c r="O106" s="7"/>
      <c r="P106" s="7"/>
      <c r="Q106" s="4"/>
      <c r="R106" s="7"/>
      <c r="S106" s="7"/>
      <c r="T106" s="7"/>
      <c r="U106" s="7"/>
      <c r="V106" s="7"/>
      <c r="W106" s="4"/>
      <c r="X106" s="7"/>
      <c r="Y106" s="7"/>
    </row>
    <row r="107">
      <c r="A107" s="4"/>
      <c r="B107" s="4"/>
      <c r="C107" s="8"/>
      <c r="D107" s="5"/>
      <c r="E107" s="6"/>
      <c r="F107" s="6"/>
      <c r="G107" s="6"/>
      <c r="H107" s="4"/>
      <c r="I107" s="4"/>
      <c r="J107" s="4"/>
      <c r="K107" s="4"/>
      <c r="L107" s="7"/>
      <c r="M107" s="4"/>
      <c r="N107" s="7"/>
      <c r="O107" s="7"/>
      <c r="P107" s="7"/>
      <c r="Q107" s="4"/>
      <c r="R107" s="7"/>
      <c r="S107" s="7"/>
      <c r="T107" s="7"/>
      <c r="U107" s="7"/>
      <c r="V107" s="7"/>
      <c r="W107" s="4"/>
      <c r="X107" s="7"/>
      <c r="Y107" s="7"/>
    </row>
    <row r="108">
      <c r="A108" s="4"/>
      <c r="B108" s="4"/>
      <c r="C108" s="8"/>
      <c r="D108" s="5"/>
      <c r="E108" s="6"/>
      <c r="F108" s="6"/>
      <c r="G108" s="6"/>
      <c r="H108" s="4"/>
      <c r="I108" s="4"/>
      <c r="J108" s="4"/>
      <c r="K108" s="4"/>
      <c r="L108" s="7"/>
      <c r="M108" s="4"/>
      <c r="N108" s="7"/>
      <c r="O108" s="7"/>
      <c r="P108" s="7"/>
      <c r="Q108" s="4"/>
      <c r="R108" s="7"/>
      <c r="S108" s="7"/>
      <c r="T108" s="7"/>
      <c r="U108" s="7"/>
      <c r="V108" s="7"/>
      <c r="W108" s="4"/>
      <c r="X108" s="7"/>
      <c r="Y108" s="7"/>
    </row>
    <row r="109">
      <c r="A109" s="4"/>
      <c r="B109" s="4"/>
      <c r="C109" s="8"/>
      <c r="D109" s="5"/>
      <c r="E109" s="6"/>
      <c r="F109" s="6"/>
      <c r="G109" s="6"/>
      <c r="H109" s="4"/>
      <c r="I109" s="4"/>
      <c r="J109" s="4"/>
      <c r="K109" s="4"/>
      <c r="L109" s="7"/>
      <c r="M109" s="7"/>
      <c r="N109" s="4"/>
      <c r="O109" s="7"/>
      <c r="P109" s="7"/>
      <c r="Q109" s="4"/>
      <c r="R109" s="7"/>
      <c r="S109" s="7"/>
      <c r="T109" s="7"/>
      <c r="U109" s="7"/>
      <c r="V109" s="7"/>
      <c r="W109" s="7"/>
      <c r="X109" s="7"/>
      <c r="Y109" s="7"/>
    </row>
    <row r="110">
      <c r="A110" s="4"/>
      <c r="B110" s="4"/>
      <c r="C110" s="8"/>
      <c r="D110" s="5"/>
      <c r="E110" s="6"/>
      <c r="F110" s="6"/>
      <c r="G110" s="6"/>
      <c r="H110" s="4"/>
      <c r="I110" s="4"/>
      <c r="J110" s="4"/>
      <c r="K110" s="4"/>
      <c r="L110" s="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4"/>
      <c r="B111" s="4"/>
      <c r="C111" s="8"/>
      <c r="D111" s="5"/>
      <c r="E111" s="6"/>
      <c r="F111" s="6"/>
      <c r="G111" s="6"/>
      <c r="H111" s="4"/>
      <c r="I111" s="4"/>
      <c r="J111" s="4"/>
      <c r="K111" s="4"/>
      <c r="L111" s="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4"/>
      <c r="B112" s="4"/>
      <c r="C112" s="8"/>
      <c r="D112" s="5"/>
      <c r="E112" s="6"/>
      <c r="F112" s="6"/>
      <c r="G112" s="6"/>
      <c r="H112" s="4"/>
      <c r="I112" s="4"/>
      <c r="J112" s="4"/>
      <c r="K112" s="4"/>
      <c r="L112" s="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4"/>
      <c r="B113" s="4"/>
      <c r="C113" s="8"/>
      <c r="D113" s="5"/>
      <c r="E113" s="6"/>
      <c r="F113" s="6"/>
      <c r="G113" s="6"/>
      <c r="H113" s="4"/>
      <c r="I113" s="4"/>
      <c r="J113" s="4"/>
      <c r="K113" s="4"/>
      <c r="L113" s="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4"/>
      <c r="B114" s="4"/>
      <c r="C114" s="8"/>
      <c r="D114" s="5"/>
      <c r="E114" s="6"/>
      <c r="F114" s="6"/>
      <c r="G114" s="6"/>
      <c r="H114" s="4"/>
      <c r="I114" s="4"/>
      <c r="J114" s="4"/>
      <c r="K114" s="4"/>
      <c r="L114" s="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4"/>
      <c r="B115" s="4"/>
      <c r="C115" s="8"/>
      <c r="D115" s="5"/>
      <c r="E115" s="6"/>
      <c r="F115" s="6"/>
      <c r="G115" s="6"/>
      <c r="H115" s="4"/>
      <c r="I115" s="4"/>
      <c r="J115" s="4"/>
      <c r="K115" s="4"/>
      <c r="L115" s="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4"/>
      <c r="B116" s="4"/>
      <c r="C116" s="8"/>
      <c r="D116" s="5"/>
      <c r="E116" s="6"/>
      <c r="F116" s="6"/>
      <c r="G116" s="6"/>
      <c r="H116" s="4"/>
      <c r="I116" s="4"/>
      <c r="J116" s="4"/>
      <c r="K116" s="4"/>
      <c r="L116" s="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4"/>
      <c r="B117" s="4"/>
      <c r="C117" s="8"/>
      <c r="D117" s="5"/>
      <c r="E117" s="6"/>
      <c r="F117" s="6"/>
      <c r="G117" s="6"/>
      <c r="H117" s="4"/>
      <c r="I117" s="4"/>
      <c r="J117" s="4"/>
      <c r="K117" s="4"/>
      <c r="L117" s="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4"/>
      <c r="B118" s="4"/>
      <c r="C118" s="8"/>
      <c r="D118" s="5"/>
      <c r="E118" s="6"/>
      <c r="F118" s="6"/>
      <c r="G118" s="6"/>
      <c r="H118" s="4"/>
      <c r="I118" s="4"/>
      <c r="J118" s="4"/>
      <c r="K118" s="4"/>
      <c r="L118" s="4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4"/>
      <c r="B119" s="4"/>
      <c r="C119" s="8"/>
      <c r="D119" s="5"/>
      <c r="E119" s="6"/>
      <c r="F119" s="6"/>
      <c r="G119" s="6"/>
      <c r="H119" s="4"/>
      <c r="I119" s="4"/>
      <c r="J119" s="4"/>
      <c r="K119" s="4"/>
      <c r="L119" s="4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4"/>
      <c r="B120" s="4"/>
      <c r="C120" s="8"/>
      <c r="D120" s="5"/>
      <c r="E120" s="6"/>
      <c r="F120" s="6"/>
      <c r="G120" s="6"/>
      <c r="H120" s="4"/>
      <c r="I120" s="4"/>
      <c r="J120" s="4"/>
      <c r="K120" s="4"/>
      <c r="L120" s="4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4"/>
      <c r="B121" s="4"/>
      <c r="C121" s="8"/>
      <c r="D121" s="5"/>
      <c r="E121" s="6"/>
      <c r="F121" s="6"/>
      <c r="G121" s="6"/>
      <c r="H121" s="4"/>
      <c r="I121" s="4"/>
      <c r="J121" s="4"/>
      <c r="K121" s="4"/>
      <c r="L121" s="4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"/>
      <c r="X121" s="7"/>
      <c r="Y121" s="7"/>
    </row>
    <row r="122">
      <c r="A122" s="4"/>
      <c r="B122" s="4"/>
      <c r="C122" s="8"/>
      <c r="D122" s="5"/>
      <c r="E122" s="6"/>
      <c r="F122" s="6"/>
      <c r="G122" s="6"/>
      <c r="H122" s="4"/>
      <c r="I122" s="4"/>
      <c r="J122" s="4"/>
      <c r="K122" s="4"/>
      <c r="L122" s="4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4"/>
      <c r="B123" s="4"/>
      <c r="C123" s="8"/>
      <c r="D123" s="5"/>
      <c r="E123" s="6"/>
      <c r="F123" s="6"/>
      <c r="G123" s="6"/>
      <c r="H123" s="4"/>
      <c r="I123" s="4"/>
      <c r="J123" s="4"/>
      <c r="K123" s="4"/>
      <c r="L123" s="4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"/>
      <c r="X123" s="7"/>
      <c r="Y123" s="7"/>
    </row>
    <row r="124">
      <c r="A124" s="4"/>
      <c r="B124" s="4"/>
      <c r="C124" s="8"/>
      <c r="D124" s="5"/>
      <c r="E124" s="6"/>
      <c r="F124" s="6"/>
      <c r="G124" s="6"/>
      <c r="H124" s="4"/>
      <c r="I124" s="4"/>
      <c r="J124" s="4"/>
      <c r="K124" s="4"/>
      <c r="L124" s="4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4"/>
      <c r="B125" s="4"/>
      <c r="C125" s="8"/>
      <c r="D125" s="5"/>
      <c r="E125" s="6"/>
      <c r="F125" s="6"/>
      <c r="G125" s="6"/>
      <c r="H125" s="4"/>
      <c r="I125" s="4"/>
      <c r="J125" s="4"/>
      <c r="K125" s="4"/>
      <c r="L125" s="4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4"/>
      <c r="B126" s="4"/>
      <c r="C126" s="8"/>
      <c r="D126" s="5"/>
      <c r="E126" s="6"/>
      <c r="F126" s="6"/>
      <c r="G126" s="6"/>
      <c r="H126" s="4"/>
      <c r="I126" s="4"/>
      <c r="J126" s="4"/>
      <c r="K126" s="4"/>
      <c r="L126" s="4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4"/>
      <c r="B127" s="4"/>
      <c r="C127" s="8"/>
      <c r="D127" s="5"/>
      <c r="E127" s="6"/>
      <c r="F127" s="6"/>
      <c r="G127" s="6"/>
      <c r="H127" s="4"/>
      <c r="I127" s="4"/>
      <c r="J127" s="4"/>
      <c r="K127" s="4"/>
      <c r="L127" s="7"/>
      <c r="M127" s="7"/>
      <c r="N127" s="7"/>
      <c r="O127" s="7"/>
      <c r="P127" s="7"/>
      <c r="Q127" s="4"/>
      <c r="R127" s="7"/>
      <c r="S127" s="7"/>
      <c r="T127" s="7"/>
      <c r="U127" s="7"/>
      <c r="V127" s="7"/>
      <c r="W127" s="7"/>
      <c r="X127" s="7"/>
      <c r="Y127" s="7"/>
    </row>
    <row r="128">
      <c r="A128" s="4"/>
      <c r="B128" s="4"/>
      <c r="C128" s="8"/>
      <c r="D128" s="5"/>
      <c r="E128" s="6"/>
      <c r="F128" s="6"/>
      <c r="G128" s="6"/>
      <c r="H128" s="4"/>
      <c r="I128" s="4"/>
      <c r="J128" s="4"/>
      <c r="K128" s="4"/>
      <c r="L128" s="7"/>
      <c r="M128" s="7"/>
      <c r="N128" s="7"/>
      <c r="O128" s="7"/>
      <c r="P128" s="7"/>
      <c r="Q128" s="4"/>
      <c r="R128" s="7"/>
      <c r="S128" s="7"/>
      <c r="T128" s="7"/>
      <c r="U128" s="7"/>
      <c r="V128" s="7"/>
      <c r="W128" s="4"/>
      <c r="X128" s="7"/>
      <c r="Y128" s="7"/>
    </row>
    <row r="129">
      <c r="A129" s="4"/>
      <c r="B129" s="4"/>
      <c r="C129" s="8"/>
      <c r="D129" s="5"/>
      <c r="E129" s="6"/>
      <c r="F129" s="6"/>
      <c r="G129" s="6"/>
      <c r="H129" s="4"/>
      <c r="I129" s="4"/>
      <c r="J129" s="4"/>
      <c r="K129" s="4"/>
      <c r="L129" s="7"/>
      <c r="M129" s="4"/>
      <c r="N129" s="7"/>
      <c r="O129" s="7"/>
      <c r="P129" s="7"/>
      <c r="Q129" s="4"/>
      <c r="R129" s="7"/>
      <c r="S129" s="7"/>
      <c r="T129" s="7"/>
      <c r="U129" s="7"/>
      <c r="V129" s="7"/>
      <c r="W129" s="4"/>
      <c r="X129" s="7"/>
      <c r="Y129" s="7"/>
    </row>
    <row r="130">
      <c r="A130" s="4"/>
      <c r="B130" s="4"/>
      <c r="C130" s="8"/>
      <c r="D130" s="5"/>
      <c r="E130" s="6"/>
      <c r="F130" s="6"/>
      <c r="G130" s="6"/>
      <c r="H130" s="4"/>
      <c r="I130" s="4"/>
      <c r="J130" s="4"/>
      <c r="K130" s="4"/>
      <c r="L130" s="7"/>
      <c r="M130" s="4"/>
      <c r="N130" s="7"/>
      <c r="O130" s="7"/>
      <c r="P130" s="7"/>
      <c r="Q130" s="4"/>
      <c r="R130" s="7"/>
      <c r="S130" s="7"/>
      <c r="T130" s="7"/>
      <c r="U130" s="7"/>
      <c r="V130" s="7"/>
      <c r="W130" s="4"/>
      <c r="X130" s="7"/>
      <c r="Y130" s="7"/>
    </row>
    <row r="131">
      <c r="A131" s="4"/>
      <c r="B131" s="4"/>
      <c r="C131" s="8"/>
      <c r="D131" s="5"/>
      <c r="E131" s="6"/>
      <c r="F131" s="6"/>
      <c r="G131" s="6"/>
      <c r="H131" s="4"/>
      <c r="I131" s="4"/>
      <c r="J131" s="4"/>
      <c r="K131" s="4"/>
      <c r="L131" s="7"/>
      <c r="M131" s="4"/>
      <c r="N131" s="7"/>
      <c r="O131" s="7"/>
      <c r="P131" s="7"/>
      <c r="Q131" s="4"/>
      <c r="R131" s="7"/>
      <c r="S131" s="7"/>
      <c r="T131" s="7"/>
      <c r="U131" s="7"/>
      <c r="V131" s="7"/>
      <c r="W131" s="4"/>
      <c r="X131" s="7"/>
      <c r="Y131" s="7"/>
    </row>
    <row r="132">
      <c r="A132" s="4"/>
      <c r="B132" s="4"/>
      <c r="C132" s="8"/>
      <c r="D132" s="5"/>
      <c r="E132" s="6"/>
      <c r="F132" s="6"/>
      <c r="G132" s="6"/>
      <c r="H132" s="4"/>
      <c r="I132" s="4"/>
      <c r="J132" s="4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"/>
      <c r="X132" s="4"/>
      <c r="Y132" s="4"/>
    </row>
    <row r="133">
      <c r="A133" s="4"/>
      <c r="B133" s="4"/>
      <c r="C133" s="8"/>
      <c r="D133" s="5"/>
      <c r="E133" s="6"/>
      <c r="F133" s="6"/>
      <c r="G133" s="6"/>
      <c r="H133" s="4"/>
      <c r="I133" s="4"/>
      <c r="J133" s="4"/>
      <c r="K133" s="4"/>
      <c r="L133" s="7"/>
      <c r="M133" s="7"/>
      <c r="N133" s="7"/>
      <c r="O133" s="7"/>
      <c r="P133" s="7"/>
      <c r="Q133" s="4"/>
      <c r="R133" s="7"/>
      <c r="S133" s="7"/>
      <c r="T133" s="7"/>
      <c r="U133" s="7"/>
      <c r="V133" s="7"/>
      <c r="W133" s="4"/>
      <c r="X133" s="4"/>
      <c r="Y133" s="4"/>
    </row>
    <row r="134">
      <c r="A134" s="4"/>
      <c r="B134" s="4"/>
      <c r="C134" s="8"/>
      <c r="D134" s="5"/>
      <c r="E134" s="6"/>
      <c r="F134" s="6"/>
      <c r="G134" s="6"/>
      <c r="H134" s="4"/>
      <c r="I134" s="4"/>
      <c r="J134" s="4"/>
      <c r="K134" s="4"/>
      <c r="L134" s="7"/>
      <c r="M134" s="7"/>
      <c r="N134" s="7"/>
      <c r="O134" s="7"/>
      <c r="P134" s="7"/>
      <c r="Q134" s="4"/>
      <c r="R134" s="7"/>
      <c r="S134" s="7"/>
      <c r="T134" s="7"/>
      <c r="U134" s="7"/>
      <c r="V134" s="7"/>
      <c r="W134" s="4"/>
      <c r="X134" s="7"/>
      <c r="Y134" s="7"/>
    </row>
    <row r="135">
      <c r="A135" s="4"/>
      <c r="B135" s="4"/>
      <c r="C135" s="8"/>
      <c r="D135" s="5"/>
      <c r="E135" s="6"/>
      <c r="F135" s="6"/>
      <c r="G135" s="6"/>
      <c r="H135" s="4"/>
      <c r="I135" s="4"/>
      <c r="J135" s="4"/>
      <c r="K135" s="4"/>
      <c r="L135" s="7"/>
      <c r="M135" s="7"/>
      <c r="N135" s="4"/>
      <c r="O135" s="7"/>
      <c r="P135" s="7"/>
      <c r="Q135" s="4"/>
      <c r="R135" s="7"/>
      <c r="S135" s="7"/>
      <c r="T135" s="7"/>
      <c r="U135" s="7"/>
      <c r="V135" s="7"/>
      <c r="W135" s="4"/>
      <c r="X135" s="7"/>
      <c r="Y135" s="7"/>
    </row>
    <row r="136">
      <c r="A136" s="4"/>
      <c r="B136" s="4"/>
      <c r="C136" s="8"/>
      <c r="D136" s="5"/>
      <c r="E136" s="6"/>
      <c r="F136" s="6"/>
      <c r="G136" s="6"/>
      <c r="H136" s="4"/>
      <c r="I136" s="4"/>
      <c r="J136" s="4"/>
      <c r="K136" s="4"/>
      <c r="L136" s="7"/>
      <c r="M136" s="7"/>
      <c r="N136" s="4"/>
      <c r="O136" s="7"/>
      <c r="P136" s="7"/>
      <c r="Q136" s="4"/>
      <c r="R136" s="7"/>
      <c r="S136" s="7"/>
      <c r="T136" s="7"/>
      <c r="U136" s="7"/>
      <c r="V136" s="7"/>
      <c r="W136" s="4"/>
      <c r="X136" s="7"/>
      <c r="Y136" s="7"/>
    </row>
    <row r="137">
      <c r="A137" s="4"/>
      <c r="B137" s="4"/>
      <c r="C137" s="8"/>
      <c r="D137" s="5"/>
      <c r="E137" s="6"/>
      <c r="F137" s="6"/>
      <c r="G137" s="6"/>
      <c r="H137" s="4"/>
      <c r="I137" s="4"/>
      <c r="J137" s="4"/>
      <c r="K137" s="4"/>
      <c r="L137" s="7"/>
      <c r="M137" s="7"/>
      <c r="N137" s="4"/>
      <c r="O137" s="7"/>
      <c r="P137" s="7"/>
      <c r="Q137" s="4"/>
      <c r="R137" s="7"/>
      <c r="S137" s="7"/>
      <c r="T137" s="7"/>
      <c r="U137" s="7"/>
      <c r="V137" s="7"/>
      <c r="W137" s="7"/>
      <c r="X137" s="7"/>
      <c r="Y137" s="7"/>
    </row>
    <row r="138">
      <c r="A138" s="4"/>
      <c r="B138" s="4"/>
      <c r="C138" s="8"/>
      <c r="D138" s="5"/>
      <c r="E138" s="6"/>
      <c r="F138" s="6"/>
      <c r="G138" s="6"/>
      <c r="H138" s="4"/>
      <c r="I138" s="4"/>
      <c r="J138" s="4"/>
      <c r="K138" s="4"/>
      <c r="L138" s="4"/>
      <c r="M138" s="7"/>
      <c r="N138" s="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4"/>
      <c r="B139" s="4"/>
      <c r="C139" s="8"/>
      <c r="D139" s="5"/>
      <c r="E139" s="6"/>
      <c r="F139" s="6"/>
      <c r="G139" s="6"/>
      <c r="H139" s="4"/>
      <c r="I139" s="4"/>
      <c r="J139" s="4"/>
      <c r="K139" s="4"/>
      <c r="L139" s="4"/>
      <c r="M139" s="7"/>
      <c r="N139" s="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4"/>
      <c r="B140" s="4"/>
      <c r="C140" s="8"/>
      <c r="D140" s="5"/>
      <c r="E140" s="6"/>
      <c r="F140" s="6"/>
      <c r="G140" s="6"/>
      <c r="H140" s="4"/>
      <c r="I140" s="4"/>
      <c r="J140" s="4"/>
      <c r="K140" s="4"/>
      <c r="L140" s="4"/>
      <c r="M140" s="7"/>
      <c r="N140" s="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4"/>
      <c r="B141" s="4"/>
      <c r="C141" s="8"/>
      <c r="D141" s="5"/>
      <c r="E141" s="6"/>
      <c r="F141" s="6"/>
      <c r="G141" s="6"/>
      <c r="H141" s="4"/>
      <c r="I141" s="4"/>
      <c r="J141" s="4"/>
      <c r="K141" s="4"/>
      <c r="L141" s="4"/>
      <c r="M141" s="7"/>
      <c r="N141" s="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4"/>
      <c r="B142" s="4"/>
      <c r="C142" s="8"/>
      <c r="D142" s="5"/>
      <c r="E142" s="6"/>
      <c r="F142" s="6"/>
      <c r="G142" s="6"/>
      <c r="H142" s="4"/>
      <c r="I142" s="4"/>
      <c r="J142" s="4"/>
      <c r="K142" s="4"/>
      <c r="L142" s="4"/>
      <c r="M142" s="7"/>
      <c r="N142" s="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4"/>
      <c r="B143" s="4"/>
      <c r="C143" s="8"/>
      <c r="D143" s="5"/>
      <c r="E143" s="6"/>
      <c r="F143" s="6"/>
      <c r="G143" s="6"/>
      <c r="H143" s="4"/>
      <c r="I143" s="4"/>
      <c r="J143" s="4"/>
      <c r="K143" s="4"/>
      <c r="L143" s="4"/>
      <c r="M143" s="7"/>
      <c r="N143" s="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4"/>
      <c r="B144" s="4"/>
      <c r="C144" s="8"/>
      <c r="D144" s="5"/>
      <c r="E144" s="6"/>
      <c r="F144" s="6"/>
      <c r="G144" s="6"/>
      <c r="H144" s="4"/>
      <c r="I144" s="4"/>
      <c r="J144" s="4"/>
      <c r="K144" s="4"/>
      <c r="L144" s="4"/>
      <c r="M144" s="7"/>
      <c r="N144" s="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4"/>
      <c r="B145" s="4"/>
      <c r="C145" s="8"/>
      <c r="D145" s="5"/>
      <c r="E145" s="6"/>
      <c r="F145" s="6"/>
      <c r="G145" s="6"/>
      <c r="H145" s="4"/>
      <c r="I145" s="4"/>
      <c r="J145" s="4"/>
      <c r="K145" s="4"/>
      <c r="L145" s="4"/>
      <c r="M145" s="7"/>
      <c r="N145" s="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4"/>
      <c r="B146" s="4"/>
      <c r="C146" s="4"/>
      <c r="D146" s="5"/>
      <c r="E146" s="6"/>
      <c r="F146" s="6"/>
      <c r="G146" s="6"/>
      <c r="H146" s="4"/>
      <c r="I146" s="4"/>
      <c r="J146" s="4"/>
      <c r="K146" s="4"/>
      <c r="L146" s="7"/>
      <c r="M146" s="7"/>
      <c r="N146" s="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4"/>
      <c r="B147" s="4"/>
      <c r="C147" s="8"/>
      <c r="D147" s="5"/>
      <c r="E147" s="6"/>
      <c r="F147" s="6"/>
      <c r="G147" s="6"/>
      <c r="H147" s="4"/>
      <c r="I147" s="4"/>
      <c r="J147" s="4"/>
      <c r="K147" s="4"/>
      <c r="L147" s="7"/>
      <c r="M147" s="7"/>
      <c r="N147" s="7"/>
      <c r="O147" s="7"/>
      <c r="P147" s="7"/>
      <c r="Q147" s="7"/>
      <c r="R147" s="7"/>
      <c r="S147" s="7"/>
      <c r="T147" s="4"/>
      <c r="U147" s="4"/>
      <c r="V147" s="7"/>
      <c r="W147" s="7"/>
      <c r="X147" s="7"/>
      <c r="Y147" s="7"/>
    </row>
    <row r="148">
      <c r="A148" s="4"/>
      <c r="B148" s="4"/>
      <c r="C148" s="8"/>
      <c r="D148" s="5"/>
      <c r="E148" s="6"/>
      <c r="F148" s="6"/>
      <c r="G148" s="6"/>
      <c r="H148" s="4"/>
      <c r="I148" s="4"/>
      <c r="J148" s="4"/>
      <c r="K148" s="4"/>
      <c r="L148" s="7"/>
      <c r="M148" s="7"/>
      <c r="N148" s="7"/>
      <c r="O148" s="7"/>
      <c r="P148" s="7"/>
      <c r="Q148" s="7"/>
      <c r="R148" s="7"/>
      <c r="S148" s="7"/>
      <c r="T148" s="4"/>
      <c r="U148" s="7"/>
      <c r="V148" s="7"/>
      <c r="W148" s="7"/>
      <c r="X148" s="7"/>
      <c r="Y148" s="7"/>
    </row>
    <row r="149">
      <c r="A149" s="4"/>
      <c r="B149" s="4"/>
      <c r="C149" s="8"/>
      <c r="D149" s="5"/>
      <c r="E149" s="6"/>
      <c r="F149" s="6"/>
      <c r="G149" s="6"/>
      <c r="H149" s="4"/>
      <c r="I149" s="4"/>
      <c r="J149" s="4"/>
      <c r="K149" s="4"/>
      <c r="L149" s="7"/>
      <c r="M149" s="7"/>
      <c r="N149" s="7"/>
      <c r="O149" s="4"/>
      <c r="P149" s="7"/>
      <c r="Q149" s="7"/>
      <c r="R149" s="7"/>
      <c r="S149" s="7"/>
      <c r="T149" s="7"/>
      <c r="U149" s="4"/>
      <c r="V149" s="7"/>
      <c r="W149" s="7"/>
      <c r="X149" s="7"/>
      <c r="Y149" s="7"/>
    </row>
    <row r="150">
      <c r="A150" s="4"/>
      <c r="B150" s="4"/>
      <c r="C150" s="8"/>
      <c r="D150" s="5"/>
      <c r="E150" s="6"/>
      <c r="F150" s="6"/>
      <c r="G150" s="6"/>
      <c r="H150" s="4"/>
      <c r="I150" s="4"/>
      <c r="J150" s="4"/>
      <c r="K150" s="4"/>
      <c r="L150" s="4"/>
      <c r="M150" s="7"/>
      <c r="N150" s="7"/>
      <c r="O150" s="7"/>
      <c r="P150" s="4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4"/>
      <c r="B151" s="4"/>
      <c r="C151" s="8"/>
      <c r="D151" s="5"/>
      <c r="E151" s="6"/>
      <c r="F151" s="6"/>
      <c r="G151" s="6"/>
      <c r="H151" s="4"/>
      <c r="I151" s="4"/>
      <c r="J151" s="4"/>
      <c r="K151" s="4"/>
      <c r="L151" s="7"/>
      <c r="M151" s="7"/>
      <c r="N151" s="7"/>
      <c r="O151" s="7"/>
      <c r="P151" s="7"/>
      <c r="Q151" s="4"/>
      <c r="R151" s="7"/>
      <c r="S151" s="7"/>
      <c r="T151" s="7"/>
      <c r="U151" s="7"/>
      <c r="V151" s="7"/>
      <c r="W151" s="7"/>
      <c r="X151" s="7"/>
      <c r="Y151" s="7"/>
    </row>
    <row r="152">
      <c r="A152" s="4"/>
      <c r="B152" s="4"/>
      <c r="C152" s="8"/>
      <c r="D152" s="5"/>
      <c r="E152" s="6"/>
      <c r="F152" s="6"/>
      <c r="G152" s="6"/>
      <c r="H152" s="4"/>
      <c r="I152" s="4"/>
      <c r="J152" s="4"/>
      <c r="K152" s="4"/>
      <c r="L152" s="7"/>
      <c r="M152" s="7"/>
      <c r="N152" s="4"/>
      <c r="O152" s="7"/>
      <c r="P152" s="4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4"/>
      <c r="B153" s="4"/>
      <c r="C153" s="8"/>
      <c r="D153" s="5"/>
      <c r="E153" s="6"/>
      <c r="F153" s="6"/>
      <c r="G153" s="6"/>
      <c r="H153" s="4"/>
      <c r="I153" s="4"/>
      <c r="J153" s="4"/>
      <c r="K153" s="4"/>
      <c r="L153" s="7"/>
      <c r="M153" s="7"/>
      <c r="N153" s="7"/>
      <c r="O153" s="7"/>
      <c r="P153" s="4"/>
      <c r="Q153" s="7"/>
      <c r="R153" s="7"/>
      <c r="S153" s="7"/>
      <c r="T153" s="4"/>
      <c r="U153" s="7"/>
      <c r="V153" s="7"/>
      <c r="W153" s="7"/>
      <c r="X153" s="7"/>
      <c r="Y153" s="7"/>
    </row>
    <row r="154">
      <c r="A154" s="4"/>
      <c r="B154" s="4"/>
      <c r="C154" s="8"/>
      <c r="D154" s="5"/>
      <c r="E154" s="6"/>
      <c r="F154" s="6"/>
      <c r="G154" s="6"/>
      <c r="H154" s="4"/>
      <c r="I154" s="4"/>
      <c r="J154" s="4"/>
      <c r="K154" s="4"/>
      <c r="L154" s="7"/>
      <c r="M154" s="7"/>
      <c r="N154" s="7"/>
      <c r="O154" s="7"/>
      <c r="P154" s="4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4"/>
      <c r="B155" s="4"/>
      <c r="C155" s="8"/>
      <c r="D155" s="5"/>
      <c r="E155" s="6"/>
      <c r="F155" s="6"/>
      <c r="G155" s="6"/>
      <c r="H155" s="4"/>
      <c r="I155" s="4"/>
      <c r="J155" s="4"/>
      <c r="K155" s="4"/>
      <c r="L155" s="7"/>
      <c r="M155" s="7"/>
      <c r="N155" s="7"/>
      <c r="O155" s="7"/>
      <c r="P155" s="7"/>
      <c r="Q155" s="4"/>
      <c r="R155" s="7"/>
      <c r="S155" s="4"/>
      <c r="T155" s="7"/>
      <c r="U155" s="7"/>
      <c r="V155" s="7"/>
      <c r="W155" s="7"/>
      <c r="X155" s="7"/>
      <c r="Y155" s="7"/>
    </row>
    <row r="156">
      <c r="A156" s="4"/>
      <c r="B156" s="4"/>
      <c r="C156" s="8"/>
      <c r="D156" s="5"/>
      <c r="E156" s="6"/>
      <c r="F156" s="6"/>
      <c r="G156" s="6"/>
      <c r="H156" s="4"/>
      <c r="I156" s="4"/>
      <c r="J156" s="4"/>
      <c r="K156" s="4"/>
      <c r="L156" s="7"/>
      <c r="M156" s="7"/>
      <c r="N156" s="4"/>
      <c r="O156" s="7"/>
      <c r="P156" s="4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4"/>
      <c r="B157" s="4"/>
      <c r="C157" s="8"/>
      <c r="D157" s="5"/>
      <c r="E157" s="6"/>
      <c r="F157" s="6"/>
      <c r="G157" s="6"/>
      <c r="H157" s="4"/>
      <c r="I157" s="4"/>
      <c r="J157" s="4"/>
      <c r="K157" s="4"/>
      <c r="L157" s="4"/>
      <c r="M157" s="7"/>
      <c r="N157" s="7"/>
      <c r="O157" s="7"/>
      <c r="P157" s="4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4"/>
      <c r="B158" s="4"/>
      <c r="C158" s="8"/>
      <c r="D158" s="5"/>
      <c r="E158" s="6"/>
      <c r="F158" s="6"/>
      <c r="G158" s="6"/>
      <c r="H158" s="4"/>
      <c r="I158" s="4"/>
      <c r="J158" s="4"/>
      <c r="K158" s="4"/>
      <c r="L158" s="7"/>
      <c r="M158" s="7"/>
      <c r="N158" s="7"/>
      <c r="O158" s="7"/>
      <c r="P158" s="4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4"/>
      <c r="B159" s="4"/>
      <c r="C159" s="8"/>
      <c r="D159" s="5"/>
      <c r="E159" s="6"/>
      <c r="F159" s="6"/>
      <c r="G159" s="6"/>
      <c r="H159" s="4"/>
      <c r="I159" s="4"/>
      <c r="J159" s="4"/>
      <c r="K159" s="4"/>
      <c r="L159" s="7"/>
      <c r="M159" s="7"/>
      <c r="N159" s="7"/>
      <c r="O159" s="7"/>
      <c r="P159" s="4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4"/>
      <c r="B160" s="4"/>
      <c r="C160" s="8"/>
      <c r="D160" s="5"/>
      <c r="E160" s="6"/>
      <c r="F160" s="6"/>
      <c r="G160" s="6"/>
      <c r="H160" s="4"/>
      <c r="I160" s="4"/>
      <c r="J160" s="4"/>
      <c r="K160" s="4"/>
      <c r="L160" s="4"/>
      <c r="M160" s="7"/>
      <c r="N160" s="7"/>
      <c r="O160" s="7"/>
      <c r="P160" s="4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4"/>
      <c r="B161" s="4"/>
      <c r="C161" s="8"/>
      <c r="D161" s="5"/>
      <c r="E161" s="6"/>
      <c r="F161" s="6"/>
      <c r="G161" s="6"/>
      <c r="H161" s="4"/>
      <c r="I161" s="4"/>
      <c r="J161" s="4"/>
      <c r="K161" s="4"/>
      <c r="L161" s="4"/>
      <c r="M161" s="7"/>
      <c r="N161" s="7"/>
      <c r="O161" s="7"/>
      <c r="P161" s="7"/>
      <c r="Q161" s="4"/>
      <c r="R161" s="7"/>
      <c r="S161" s="7"/>
      <c r="T161" s="7"/>
      <c r="U161" s="7"/>
      <c r="V161" s="7"/>
      <c r="W161" s="7"/>
      <c r="X161" s="7"/>
      <c r="Y161" s="7"/>
    </row>
    <row r="162">
      <c r="A162" s="4"/>
      <c r="B162" s="4"/>
      <c r="C162" s="8"/>
      <c r="D162" s="5"/>
      <c r="E162" s="6"/>
      <c r="F162" s="6"/>
      <c r="G162" s="6"/>
      <c r="H162" s="4"/>
      <c r="I162" s="4"/>
      <c r="J162" s="4"/>
      <c r="K162" s="4"/>
      <c r="L162" s="7"/>
      <c r="M162" s="7"/>
      <c r="N162" s="7"/>
      <c r="O162" s="7"/>
      <c r="P162" s="4"/>
      <c r="Q162" s="7"/>
      <c r="R162" s="4"/>
      <c r="S162" s="7"/>
      <c r="T162" s="7"/>
      <c r="U162" s="7"/>
      <c r="V162" s="7"/>
      <c r="W162" s="7"/>
      <c r="X162" s="7"/>
      <c r="Y162" s="7"/>
    </row>
    <row r="163">
      <c r="A163" s="4"/>
      <c r="B163" s="4"/>
      <c r="C163" s="8"/>
      <c r="D163" s="5"/>
      <c r="E163" s="6"/>
      <c r="F163" s="6"/>
      <c r="G163" s="6"/>
      <c r="H163" s="4"/>
      <c r="I163" s="4"/>
      <c r="J163" s="4"/>
      <c r="K163" s="4"/>
      <c r="L163" s="7"/>
      <c r="M163" s="7"/>
      <c r="N163" s="7"/>
      <c r="O163" s="7"/>
      <c r="P163" s="4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4"/>
      <c r="B164" s="4"/>
      <c r="C164" s="8"/>
      <c r="D164" s="5"/>
      <c r="E164" s="6"/>
      <c r="F164" s="6"/>
      <c r="G164" s="6"/>
      <c r="H164" s="4"/>
      <c r="I164" s="4"/>
      <c r="J164" s="4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"/>
      <c r="X164" s="7"/>
      <c r="Y164" s="7"/>
    </row>
    <row r="165">
      <c r="A165" s="4"/>
      <c r="B165" s="4"/>
      <c r="C165" s="8"/>
      <c r="D165" s="5"/>
      <c r="E165" s="6"/>
      <c r="F165" s="6"/>
      <c r="G165" s="6"/>
      <c r="H165" s="4"/>
      <c r="I165" s="4"/>
      <c r="J165" s="4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"/>
      <c r="X165" s="7"/>
      <c r="Y165" s="7"/>
    </row>
    <row r="166">
      <c r="A166" s="4"/>
      <c r="B166" s="8"/>
      <c r="C166" s="4"/>
      <c r="D166" s="5"/>
      <c r="E166" s="6"/>
      <c r="F166" s="6"/>
      <c r="G166" s="6"/>
      <c r="H166" s="4"/>
      <c r="I166" s="4"/>
      <c r="J166" s="4"/>
      <c r="K166" s="4"/>
      <c r="L166" s="7"/>
      <c r="M166" s="7"/>
      <c r="N166" s="7"/>
      <c r="O166" s="7"/>
      <c r="P166" s="4"/>
      <c r="Q166" s="7"/>
      <c r="R166" s="7"/>
      <c r="S166" s="7"/>
      <c r="T166" s="7"/>
      <c r="U166" s="7"/>
      <c r="V166" s="7"/>
      <c r="W166" s="4"/>
      <c r="X166" s="7"/>
      <c r="Y166" s="7"/>
    </row>
    <row r="167">
      <c r="A167" s="4"/>
      <c r="B167" s="8"/>
      <c r="C167" s="8"/>
      <c r="D167" s="5"/>
      <c r="E167" s="6"/>
      <c r="F167" s="6"/>
      <c r="G167" s="6"/>
      <c r="H167" s="4"/>
      <c r="I167" s="4"/>
      <c r="J167" s="4"/>
      <c r="K167" s="4"/>
      <c r="L167" s="7"/>
      <c r="M167" s="7"/>
      <c r="N167" s="7"/>
      <c r="O167" s="7"/>
      <c r="P167" s="4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4"/>
      <c r="B168" s="8"/>
      <c r="C168" s="8"/>
      <c r="D168" s="5"/>
      <c r="E168" s="6"/>
      <c r="F168" s="6"/>
      <c r="G168" s="6"/>
      <c r="H168" s="4"/>
      <c r="I168" s="4"/>
      <c r="J168" s="4"/>
      <c r="K168" s="4"/>
      <c r="L168" s="7"/>
      <c r="M168" s="7"/>
      <c r="N168" s="7"/>
      <c r="O168" s="7"/>
      <c r="P168" s="4"/>
      <c r="Q168" s="7"/>
      <c r="R168" s="7"/>
      <c r="S168" s="7"/>
      <c r="T168" s="7"/>
      <c r="U168" s="7"/>
      <c r="V168" s="7"/>
      <c r="W168" s="4"/>
      <c r="X168" s="7"/>
      <c r="Y168" s="7"/>
    </row>
    <row r="169">
      <c r="A169" s="4"/>
      <c r="B169" s="8"/>
      <c r="C169" s="8"/>
      <c r="D169" s="5"/>
      <c r="E169" s="6"/>
      <c r="F169" s="6"/>
      <c r="G169" s="6"/>
      <c r="H169" s="4"/>
      <c r="I169" s="4"/>
      <c r="J169" s="4"/>
      <c r="K169" s="4"/>
      <c r="L169" s="7"/>
      <c r="M169" s="7"/>
      <c r="N169" s="7"/>
      <c r="O169" s="7"/>
      <c r="P169" s="4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4"/>
      <c r="B170" s="4"/>
      <c r="C170" s="8"/>
      <c r="D170" s="5"/>
      <c r="E170" s="6"/>
      <c r="F170" s="6"/>
      <c r="G170" s="6"/>
      <c r="H170" s="4"/>
      <c r="I170" s="4"/>
      <c r="J170" s="4"/>
      <c r="K170" s="4"/>
      <c r="L170" s="7"/>
      <c r="M170" s="7"/>
      <c r="N170" s="7"/>
      <c r="O170" s="4"/>
      <c r="P170" s="7"/>
      <c r="Q170" s="4"/>
      <c r="R170" s="7"/>
      <c r="S170" s="7"/>
      <c r="T170" s="7"/>
      <c r="U170" s="7"/>
      <c r="V170" s="7"/>
      <c r="W170" s="7"/>
      <c r="X170" s="7"/>
      <c r="Y170" s="7"/>
    </row>
    <row r="171">
      <c r="A171" s="4"/>
      <c r="B171" s="4"/>
      <c r="C171" s="8"/>
      <c r="D171" s="5"/>
      <c r="E171" s="6"/>
      <c r="F171" s="6"/>
      <c r="G171" s="6"/>
      <c r="H171" s="4"/>
      <c r="I171" s="4"/>
      <c r="J171" s="4"/>
      <c r="K171" s="4"/>
      <c r="L171" s="7"/>
      <c r="M171" s="7"/>
      <c r="N171" s="4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7"/>
    </row>
    <row r="172">
      <c r="A172" s="4"/>
      <c r="B172" s="4"/>
      <c r="C172" s="8"/>
      <c r="D172" s="5"/>
      <c r="E172" s="6"/>
      <c r="F172" s="6"/>
      <c r="G172" s="6"/>
      <c r="H172" s="4"/>
      <c r="I172" s="4"/>
      <c r="J172" s="4"/>
      <c r="K172" s="4"/>
      <c r="L172" s="7"/>
      <c r="M172" s="7"/>
      <c r="N172" s="4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7"/>
    </row>
    <row r="173">
      <c r="A173" s="4"/>
      <c r="B173" s="4"/>
      <c r="C173" s="8"/>
      <c r="D173" s="5"/>
      <c r="E173" s="6"/>
      <c r="F173" s="6"/>
      <c r="G173" s="6"/>
      <c r="H173" s="4"/>
      <c r="I173" s="4"/>
      <c r="J173" s="4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7"/>
    </row>
    <row r="174">
      <c r="A174" s="4"/>
      <c r="B174" s="4"/>
      <c r="C174" s="8"/>
      <c r="D174" s="5"/>
      <c r="E174" s="6"/>
      <c r="F174" s="6"/>
      <c r="G174" s="6"/>
      <c r="H174" s="4"/>
      <c r="I174" s="4"/>
      <c r="J174" s="4"/>
      <c r="K174" s="4"/>
      <c r="L174" s="7"/>
      <c r="M174" s="7"/>
      <c r="N174" s="7"/>
      <c r="O174" s="4"/>
      <c r="P174" s="7"/>
      <c r="Q174" s="7"/>
      <c r="R174" s="7"/>
      <c r="S174" s="7"/>
      <c r="T174" s="7"/>
      <c r="U174" s="7"/>
      <c r="V174" s="7"/>
      <c r="W174" s="7"/>
      <c r="X174" s="4"/>
      <c r="Y174" s="7"/>
    </row>
    <row r="175">
      <c r="A175" s="4"/>
      <c r="B175" s="4"/>
      <c r="C175" s="8"/>
      <c r="D175" s="5"/>
      <c r="E175" s="6"/>
      <c r="F175" s="6"/>
      <c r="G175" s="6"/>
      <c r="H175" s="4"/>
      <c r="I175" s="4"/>
      <c r="J175" s="4"/>
      <c r="K175" s="4"/>
      <c r="L175" s="7"/>
      <c r="M175" s="7"/>
      <c r="N175" s="7"/>
      <c r="O175" s="4"/>
      <c r="P175" s="7"/>
      <c r="Q175" s="7"/>
      <c r="R175" s="7"/>
      <c r="S175" s="7"/>
      <c r="T175" s="7"/>
      <c r="U175" s="7"/>
      <c r="V175" s="7"/>
      <c r="W175" s="7"/>
      <c r="X175" s="4"/>
      <c r="Y175" s="7"/>
    </row>
    <row r="176">
      <c r="A176" s="4"/>
      <c r="B176" s="4"/>
      <c r="C176" s="8"/>
      <c r="D176" s="5"/>
      <c r="E176" s="6"/>
      <c r="F176" s="6"/>
      <c r="G176" s="6"/>
      <c r="H176" s="4"/>
      <c r="I176" s="4"/>
      <c r="J176" s="4"/>
      <c r="K176" s="4"/>
      <c r="L176" s="7"/>
      <c r="M176" s="7"/>
      <c r="N176" s="7"/>
      <c r="O176" s="4"/>
      <c r="P176" s="7"/>
      <c r="Q176" s="7"/>
      <c r="R176" s="7"/>
      <c r="S176" s="7"/>
      <c r="T176" s="7"/>
      <c r="U176" s="7"/>
      <c r="V176" s="7"/>
      <c r="W176" s="7"/>
      <c r="X176" s="4"/>
      <c r="Y176" s="7"/>
    </row>
    <row r="177">
      <c r="A177" s="4"/>
      <c r="B177" s="4"/>
      <c r="C177" s="8"/>
      <c r="D177" s="5"/>
      <c r="E177" s="6"/>
      <c r="F177" s="6"/>
      <c r="G177" s="6"/>
      <c r="H177" s="4"/>
      <c r="I177" s="4"/>
      <c r="J177" s="4"/>
      <c r="K177" s="4"/>
      <c r="L177" s="7"/>
      <c r="M177" s="7"/>
      <c r="N177" s="7"/>
      <c r="O177" s="4"/>
      <c r="P177" s="7"/>
      <c r="Q177" s="7"/>
      <c r="R177" s="7"/>
      <c r="S177" s="7"/>
      <c r="T177" s="7"/>
      <c r="U177" s="7"/>
      <c r="V177" s="7"/>
      <c r="W177" s="7"/>
      <c r="X177" s="4"/>
      <c r="Y177" s="7"/>
    </row>
    <row r="178">
      <c r="A178" s="4"/>
      <c r="B178" s="4"/>
      <c r="C178" s="8"/>
      <c r="D178" s="5"/>
      <c r="E178" s="6"/>
      <c r="F178" s="6"/>
      <c r="G178" s="6"/>
      <c r="H178" s="4"/>
      <c r="I178" s="4"/>
      <c r="J178" s="4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7"/>
    </row>
    <row r="179">
      <c r="A179" s="4"/>
      <c r="B179" s="4"/>
      <c r="C179" s="8"/>
      <c r="D179" s="5"/>
      <c r="E179" s="6"/>
      <c r="F179" s="6"/>
      <c r="G179" s="6"/>
      <c r="H179" s="4"/>
      <c r="I179" s="4"/>
      <c r="J179" s="4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7"/>
    </row>
    <row r="180">
      <c r="A180" s="4"/>
      <c r="B180" s="4"/>
      <c r="C180" s="8"/>
      <c r="D180" s="5"/>
      <c r="E180" s="6"/>
      <c r="F180" s="6"/>
      <c r="G180" s="6"/>
      <c r="H180" s="4"/>
      <c r="I180" s="4"/>
      <c r="J180" s="4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7"/>
    </row>
    <row r="181">
      <c r="A181" s="4"/>
      <c r="B181" s="4"/>
      <c r="C181" s="8"/>
      <c r="D181" s="5"/>
      <c r="E181" s="6"/>
      <c r="F181" s="6"/>
      <c r="G181" s="6"/>
      <c r="H181" s="4"/>
      <c r="I181" s="4"/>
      <c r="J181" s="4"/>
      <c r="K181" s="4"/>
      <c r="L181" s="7"/>
      <c r="M181" s="7"/>
      <c r="N181" s="7"/>
      <c r="O181" s="7"/>
      <c r="P181" s="7"/>
      <c r="Q181" s="4"/>
      <c r="R181" s="7"/>
      <c r="S181" s="7"/>
      <c r="T181" s="7"/>
      <c r="U181" s="7"/>
      <c r="V181" s="7"/>
      <c r="W181" s="4"/>
      <c r="X181" s="7"/>
      <c r="Y181" s="7"/>
    </row>
    <row r="182">
      <c r="A182" s="4"/>
      <c r="B182" s="4"/>
      <c r="C182" s="8"/>
      <c r="D182" s="5"/>
      <c r="E182" s="6"/>
      <c r="F182" s="6"/>
      <c r="G182" s="6"/>
      <c r="H182" s="4"/>
      <c r="I182" s="4"/>
      <c r="J182" s="4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"/>
      <c r="X182" s="7"/>
      <c r="Y182" s="7"/>
    </row>
    <row r="183">
      <c r="A183" s="4"/>
      <c r="B183" s="4"/>
      <c r="C183" s="8"/>
      <c r="D183" s="5"/>
      <c r="E183" s="6"/>
      <c r="F183" s="6"/>
      <c r="G183" s="6"/>
      <c r="H183" s="4"/>
      <c r="I183" s="4"/>
      <c r="J183" s="4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"/>
      <c r="X183" s="7"/>
      <c r="Y183" s="7"/>
    </row>
    <row r="184">
      <c r="A184" s="4"/>
      <c r="B184" s="4"/>
      <c r="C184" s="8"/>
      <c r="D184" s="5"/>
      <c r="E184" s="6"/>
      <c r="F184" s="6"/>
      <c r="G184" s="6"/>
      <c r="H184" s="4"/>
      <c r="I184" s="4"/>
      <c r="J184" s="4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4"/>
      <c r="W184" s="7"/>
      <c r="X184" s="7"/>
      <c r="Y184" s="7"/>
    </row>
    <row r="185">
      <c r="A185" s="4"/>
      <c r="B185" s="4"/>
      <c r="C185" s="8"/>
      <c r="D185" s="5"/>
      <c r="E185" s="6"/>
      <c r="F185" s="6"/>
      <c r="G185" s="6"/>
      <c r="H185" s="4"/>
      <c r="I185" s="4"/>
      <c r="J185" s="4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4"/>
      <c r="W185" s="7"/>
      <c r="X185" s="7"/>
      <c r="Y185" s="7"/>
    </row>
    <row r="186">
      <c r="A186" s="4"/>
      <c r="B186" s="4"/>
      <c r="C186" s="8"/>
      <c r="D186" s="5"/>
      <c r="E186" s="6"/>
      <c r="F186" s="6"/>
      <c r="G186" s="6"/>
      <c r="H186" s="4"/>
      <c r="I186" s="4"/>
      <c r="J186" s="4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4"/>
      <c r="W186" s="7"/>
      <c r="X186" s="7"/>
      <c r="Y186" s="7"/>
    </row>
    <row r="187">
      <c r="A187" s="4"/>
      <c r="B187" s="4"/>
      <c r="C187" s="8"/>
      <c r="D187" s="5"/>
      <c r="E187" s="6"/>
      <c r="F187" s="6"/>
      <c r="G187" s="6"/>
      <c r="H187" s="4"/>
      <c r="I187" s="4"/>
      <c r="J187" s="4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4"/>
      <c r="W187" s="7"/>
      <c r="X187" s="7"/>
      <c r="Y187" s="7"/>
    </row>
    <row r="188">
      <c r="A188" s="4"/>
      <c r="B188" s="4"/>
      <c r="C188" s="8"/>
      <c r="D188" s="5"/>
      <c r="E188" s="6"/>
      <c r="F188" s="6"/>
      <c r="G188" s="6"/>
      <c r="H188" s="4"/>
      <c r="I188" s="4"/>
      <c r="J188" s="4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4"/>
      <c r="W188" s="7"/>
      <c r="X188" s="7"/>
      <c r="Y188" s="7"/>
    </row>
    <row r="189">
      <c r="A189" s="4"/>
      <c r="B189" s="4"/>
      <c r="C189" s="8"/>
      <c r="D189" s="5"/>
      <c r="E189" s="6"/>
      <c r="F189" s="6"/>
      <c r="G189" s="6"/>
      <c r="H189" s="4"/>
      <c r="I189" s="4"/>
      <c r="J189" s="4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4"/>
      <c r="W189" s="7"/>
      <c r="X189" s="7"/>
      <c r="Y189" s="7"/>
    </row>
    <row r="190">
      <c r="A190" s="4"/>
      <c r="B190" s="4"/>
      <c r="C190" s="8"/>
      <c r="D190" s="5"/>
      <c r="E190" s="6"/>
      <c r="F190" s="6"/>
      <c r="G190" s="6"/>
      <c r="H190" s="4"/>
      <c r="I190" s="4"/>
      <c r="J190" s="4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4"/>
      <c r="W190" s="7"/>
      <c r="X190" s="7"/>
      <c r="Y190" s="7"/>
    </row>
    <row r="191">
      <c r="A191" s="4"/>
      <c r="B191" s="4"/>
      <c r="C191" s="8"/>
      <c r="D191" s="5"/>
      <c r="E191" s="6"/>
      <c r="F191" s="6"/>
      <c r="G191" s="6"/>
      <c r="H191" s="4"/>
      <c r="I191" s="4"/>
      <c r="J191" s="4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4"/>
      <c r="W191" s="7"/>
      <c r="X191" s="7"/>
      <c r="Y191" s="7"/>
    </row>
    <row r="192">
      <c r="A192" s="4"/>
      <c r="B192" s="4"/>
      <c r="C192" s="8"/>
      <c r="D192" s="5"/>
      <c r="E192" s="6"/>
      <c r="F192" s="6"/>
      <c r="G192" s="6"/>
      <c r="H192" s="4"/>
      <c r="I192" s="4"/>
      <c r="J192" s="4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4"/>
      <c r="W192" s="7"/>
      <c r="X192" s="7"/>
      <c r="Y192" s="7"/>
    </row>
    <row r="193">
      <c r="A193" s="4"/>
      <c r="B193" s="4"/>
      <c r="C193" s="8"/>
      <c r="D193" s="5"/>
      <c r="E193" s="6"/>
      <c r="F193" s="6"/>
      <c r="G193" s="6"/>
      <c r="H193" s="4"/>
      <c r="I193" s="4"/>
      <c r="J193" s="4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4"/>
      <c r="W193" s="7"/>
      <c r="X193" s="7"/>
      <c r="Y193" s="7"/>
    </row>
    <row r="194">
      <c r="A194" s="4"/>
      <c r="B194" s="4"/>
      <c r="C194" s="8"/>
      <c r="D194" s="5"/>
      <c r="E194" s="6"/>
      <c r="F194" s="6"/>
      <c r="G194" s="6"/>
      <c r="H194" s="4"/>
      <c r="I194" s="4"/>
      <c r="J194" s="4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4"/>
      <c r="W194" s="7"/>
      <c r="X194" s="7"/>
      <c r="Y194" s="7"/>
    </row>
    <row r="195">
      <c r="A195" s="4"/>
      <c r="B195" s="4"/>
      <c r="C195" s="8"/>
      <c r="D195" s="5"/>
      <c r="E195" s="6"/>
      <c r="F195" s="6"/>
      <c r="G195" s="6"/>
      <c r="H195" s="4"/>
      <c r="I195" s="4"/>
      <c r="J195" s="4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4"/>
      <c r="W195" s="7"/>
      <c r="X195" s="7"/>
      <c r="Y195" s="7"/>
    </row>
    <row r="196">
      <c r="A196" s="4"/>
      <c r="B196" s="4"/>
      <c r="C196" s="8"/>
      <c r="D196" s="5"/>
      <c r="E196" s="6"/>
      <c r="F196" s="6"/>
      <c r="G196" s="6"/>
      <c r="H196" s="4"/>
      <c r="I196" s="4"/>
      <c r="J196" s="4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4"/>
      <c r="W196" s="7"/>
      <c r="X196" s="7"/>
      <c r="Y196" s="7"/>
    </row>
    <row r="197">
      <c r="A197" s="4"/>
      <c r="B197" s="4"/>
      <c r="C197" s="8"/>
      <c r="D197" s="5"/>
      <c r="E197" s="6"/>
      <c r="F197" s="6"/>
      <c r="G197" s="6"/>
      <c r="H197" s="4"/>
      <c r="I197" s="4"/>
      <c r="J197" s="4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4"/>
      <c r="W197" s="7"/>
      <c r="X197" s="7"/>
      <c r="Y197" s="7"/>
    </row>
    <row r="198">
      <c r="A198" s="4"/>
      <c r="B198" s="4"/>
      <c r="C198" s="8"/>
      <c r="D198" s="5"/>
      <c r="E198" s="6"/>
      <c r="F198" s="6"/>
      <c r="G198" s="6"/>
      <c r="H198" s="4"/>
      <c r="I198" s="4"/>
      <c r="J198" s="4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4"/>
      <c r="W198" s="7"/>
      <c r="X198" s="7"/>
      <c r="Y198" s="7"/>
    </row>
    <row r="199">
      <c r="A199" s="4"/>
      <c r="B199" s="4"/>
      <c r="C199" s="8"/>
      <c r="D199" s="5"/>
      <c r="E199" s="6"/>
      <c r="F199" s="6"/>
      <c r="G199" s="6"/>
      <c r="H199" s="4"/>
      <c r="I199" s="4"/>
      <c r="J199" s="4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4"/>
      <c r="W199" s="7"/>
      <c r="X199" s="7"/>
      <c r="Y199" s="7"/>
    </row>
    <row r="200">
      <c r="A200" s="4"/>
      <c r="B200" s="4"/>
      <c r="C200" s="8"/>
      <c r="D200" s="5"/>
      <c r="E200" s="6"/>
      <c r="F200" s="6"/>
      <c r="G200" s="6"/>
      <c r="H200" s="4"/>
      <c r="I200" s="4"/>
      <c r="J200" s="4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4"/>
      <c r="W200" s="7"/>
      <c r="X200" s="7"/>
      <c r="Y200" s="7"/>
    </row>
    <row r="201">
      <c r="A201" s="4"/>
      <c r="B201" s="4"/>
      <c r="C201" s="8"/>
      <c r="D201" s="5"/>
      <c r="E201" s="6"/>
      <c r="F201" s="6"/>
      <c r="G201" s="6"/>
      <c r="H201" s="4"/>
      <c r="I201" s="4"/>
      <c r="J201" s="4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4"/>
      <c r="B202" s="4"/>
      <c r="C202" s="8"/>
      <c r="D202" s="5"/>
      <c r="E202" s="6"/>
      <c r="F202" s="6"/>
      <c r="G202" s="6"/>
      <c r="H202" s="4"/>
      <c r="I202" s="4"/>
      <c r="J202" s="4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4"/>
      <c r="B203" s="4"/>
      <c r="C203" s="8"/>
      <c r="D203" s="5"/>
      <c r="E203" s="6"/>
      <c r="F203" s="6"/>
      <c r="G203" s="6"/>
      <c r="H203" s="4"/>
      <c r="I203" s="4"/>
      <c r="J203" s="4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4"/>
      <c r="B204" s="4"/>
      <c r="C204" s="8"/>
      <c r="D204" s="5"/>
      <c r="E204" s="6"/>
      <c r="F204" s="6"/>
      <c r="G204" s="6"/>
      <c r="H204" s="4"/>
      <c r="I204" s="4"/>
      <c r="J204" s="4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4"/>
      <c r="B205" s="4"/>
      <c r="C205" s="8"/>
      <c r="D205" s="5"/>
      <c r="E205" s="6"/>
      <c r="F205" s="6"/>
      <c r="G205" s="6"/>
      <c r="H205" s="4"/>
      <c r="I205" s="4"/>
      <c r="J205" s="4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4"/>
      <c r="B206" s="4"/>
      <c r="C206" s="8"/>
      <c r="D206" s="5"/>
      <c r="E206" s="6"/>
      <c r="F206" s="6"/>
      <c r="G206" s="6"/>
      <c r="H206" s="4"/>
      <c r="I206" s="4"/>
      <c r="J206" s="4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4"/>
      <c r="B207" s="4"/>
      <c r="C207" s="8"/>
      <c r="D207" s="5"/>
      <c r="E207" s="6"/>
      <c r="F207" s="6"/>
      <c r="G207" s="6"/>
      <c r="H207" s="4"/>
      <c r="I207" s="4"/>
      <c r="J207" s="4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4"/>
      <c r="B208" s="4"/>
      <c r="C208" s="8"/>
      <c r="D208" s="5"/>
      <c r="E208" s="6"/>
      <c r="F208" s="6"/>
      <c r="G208" s="6"/>
      <c r="H208" s="4"/>
      <c r="I208" s="4"/>
      <c r="J208" s="4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4"/>
      <c r="B209" s="4"/>
      <c r="C209" s="8"/>
      <c r="D209" s="5"/>
      <c r="E209" s="6"/>
      <c r="F209" s="6"/>
      <c r="G209" s="6"/>
      <c r="H209" s="4"/>
      <c r="I209" s="4"/>
      <c r="J209" s="4"/>
      <c r="K209" s="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4"/>
      <c r="B210" s="4"/>
      <c r="C210" s="8"/>
      <c r="D210" s="5"/>
      <c r="E210" s="6"/>
      <c r="F210" s="6"/>
      <c r="G210" s="6"/>
      <c r="H210" s="4"/>
      <c r="I210" s="4"/>
      <c r="J210" s="4"/>
      <c r="K210" s="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4"/>
      <c r="B211" s="4"/>
      <c r="C211" s="8"/>
      <c r="D211" s="5"/>
      <c r="E211" s="6"/>
      <c r="F211" s="6"/>
      <c r="G211" s="6"/>
      <c r="H211" s="4"/>
      <c r="I211" s="4"/>
      <c r="J211" s="4"/>
      <c r="K211" s="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4"/>
      <c r="B212" s="4"/>
      <c r="C212" s="8"/>
      <c r="D212" s="5"/>
      <c r="E212" s="6"/>
      <c r="F212" s="6"/>
      <c r="G212" s="6"/>
      <c r="H212" s="4"/>
      <c r="I212" s="4"/>
      <c r="J212" s="4"/>
      <c r="K212" s="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4"/>
      <c r="B213" s="4"/>
      <c r="C213" s="8"/>
      <c r="D213" s="5"/>
      <c r="E213" s="6"/>
      <c r="F213" s="6"/>
      <c r="G213" s="6"/>
      <c r="H213" s="4"/>
      <c r="I213" s="4"/>
      <c r="J213" s="4"/>
      <c r="K213" s="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4"/>
      <c r="B214" s="4"/>
      <c r="C214" s="8"/>
      <c r="D214" s="5"/>
      <c r="E214" s="6"/>
      <c r="F214" s="6"/>
      <c r="G214" s="6"/>
      <c r="H214" s="4"/>
      <c r="I214" s="4"/>
      <c r="J214" s="4"/>
      <c r="K214" s="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4"/>
      <c r="B215" s="4"/>
      <c r="C215" s="8"/>
      <c r="D215" s="5"/>
      <c r="E215" s="6"/>
      <c r="F215" s="6"/>
      <c r="G215" s="6"/>
      <c r="H215" s="4"/>
      <c r="I215" s="4"/>
      <c r="J215" s="4"/>
      <c r="K215" s="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4"/>
      <c r="B216" s="4"/>
      <c r="C216" s="8"/>
      <c r="D216" s="5"/>
      <c r="E216" s="6"/>
      <c r="F216" s="6"/>
      <c r="G216" s="6"/>
      <c r="H216" s="4"/>
      <c r="I216" s="4"/>
      <c r="J216" s="4"/>
      <c r="K216" s="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4"/>
      <c r="B217" s="4"/>
      <c r="C217" s="8"/>
      <c r="D217" s="5"/>
      <c r="E217" s="6"/>
      <c r="F217" s="6"/>
      <c r="G217" s="6"/>
      <c r="H217" s="4"/>
      <c r="I217" s="4"/>
      <c r="J217" s="4"/>
      <c r="K217" s="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4"/>
      <c r="B218" s="4"/>
      <c r="C218" s="8"/>
      <c r="D218" s="5"/>
      <c r="E218" s="6"/>
      <c r="F218" s="6"/>
      <c r="G218" s="6"/>
      <c r="H218" s="4"/>
      <c r="I218" s="4"/>
      <c r="J218" s="4"/>
      <c r="K218" s="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4"/>
      <c r="B219" s="4"/>
      <c r="C219" s="8"/>
      <c r="D219" s="5"/>
      <c r="E219" s="6"/>
      <c r="F219" s="6"/>
      <c r="G219" s="6"/>
      <c r="H219" s="4"/>
      <c r="I219" s="4"/>
      <c r="J219" s="4"/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4"/>
      <c r="B220" s="4"/>
      <c r="C220" s="8"/>
      <c r="D220" s="5"/>
      <c r="E220" s="6"/>
      <c r="F220" s="6"/>
      <c r="G220" s="6"/>
      <c r="H220" s="4"/>
      <c r="I220" s="4"/>
      <c r="J220" s="4"/>
      <c r="K220" s="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4"/>
      <c r="B221" s="4"/>
      <c r="C221" s="8"/>
      <c r="D221" s="5"/>
      <c r="E221" s="6"/>
      <c r="F221" s="6"/>
      <c r="G221" s="6"/>
      <c r="H221" s="4"/>
      <c r="I221" s="4"/>
      <c r="J221" s="4"/>
      <c r="K221" s="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4"/>
      <c r="B222" s="4"/>
      <c r="C222" s="8"/>
      <c r="D222" s="5"/>
      <c r="E222" s="6"/>
      <c r="F222" s="6"/>
      <c r="G222" s="6"/>
      <c r="H222" s="4"/>
      <c r="I222" s="4"/>
      <c r="J222" s="4"/>
      <c r="K222" s="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4"/>
      <c r="B223" s="4"/>
      <c r="C223" s="8"/>
      <c r="D223" s="5"/>
      <c r="E223" s="6"/>
      <c r="F223" s="6"/>
      <c r="G223" s="6"/>
      <c r="H223" s="4"/>
      <c r="I223" s="4"/>
      <c r="J223" s="4"/>
      <c r="K223" s="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4"/>
      <c r="B224" s="4"/>
      <c r="C224" s="8"/>
      <c r="D224" s="5"/>
      <c r="E224" s="6"/>
      <c r="F224" s="6"/>
      <c r="G224" s="6"/>
      <c r="H224" s="4"/>
      <c r="I224" s="4"/>
      <c r="J224" s="4"/>
      <c r="K224" s="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4"/>
      <c r="B225" s="4"/>
      <c r="C225" s="8"/>
      <c r="D225" s="5"/>
      <c r="E225" s="6"/>
      <c r="F225" s="6"/>
      <c r="G225" s="6"/>
      <c r="H225" s="4"/>
      <c r="I225" s="4"/>
      <c r="J225" s="4"/>
      <c r="K225" s="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4"/>
      <c r="B226" s="4"/>
      <c r="C226" s="8"/>
      <c r="D226" s="5"/>
      <c r="E226" s="6"/>
      <c r="F226" s="6"/>
      <c r="G226" s="6"/>
      <c r="H226" s="4"/>
      <c r="I226" s="4"/>
      <c r="J226" s="4"/>
      <c r="K226" s="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4"/>
      <c r="B227" s="4"/>
      <c r="C227" s="8"/>
      <c r="D227" s="5"/>
      <c r="E227" s="6"/>
      <c r="F227" s="6"/>
      <c r="G227" s="6"/>
      <c r="H227" s="4"/>
      <c r="I227" s="4"/>
      <c r="J227" s="4"/>
      <c r="K227" s="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4"/>
      <c r="B228" s="4"/>
      <c r="C228" s="8"/>
      <c r="D228" s="5"/>
      <c r="E228" s="6"/>
      <c r="F228" s="6"/>
      <c r="G228" s="6"/>
      <c r="H228" s="4"/>
      <c r="I228" s="4"/>
      <c r="J228" s="4"/>
      <c r="K228" s="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4"/>
      <c r="B229" s="4"/>
      <c r="C229" s="8"/>
      <c r="D229" s="5"/>
      <c r="E229" s="6"/>
      <c r="F229" s="6"/>
      <c r="G229" s="6"/>
      <c r="H229" s="4"/>
      <c r="I229" s="4"/>
      <c r="J229" s="4"/>
      <c r="K229" s="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4"/>
      <c r="B230" s="4"/>
      <c r="C230" s="4"/>
      <c r="D230" s="5"/>
      <c r="E230" s="6"/>
      <c r="F230" s="6"/>
      <c r="G230" s="6"/>
      <c r="H230" s="4"/>
      <c r="I230" s="4"/>
      <c r="J230" s="4"/>
      <c r="K230" s="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4"/>
      <c r="B231" s="4"/>
      <c r="C231" s="4"/>
      <c r="D231" s="5"/>
      <c r="E231" s="6"/>
      <c r="F231" s="6"/>
      <c r="G231" s="6"/>
      <c r="H231" s="4"/>
      <c r="I231" s="4"/>
      <c r="J231" s="4"/>
      <c r="K231" s="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4"/>
      <c r="B232" s="4"/>
      <c r="C232" s="4"/>
      <c r="D232" s="5"/>
      <c r="E232" s="6"/>
      <c r="F232" s="6"/>
      <c r="G232" s="6"/>
      <c r="H232" s="4"/>
      <c r="I232" s="4"/>
      <c r="J232" s="4"/>
      <c r="K232" s="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4"/>
      <c r="B233" s="4"/>
      <c r="C233" s="8"/>
      <c r="D233" s="5"/>
      <c r="E233" s="6"/>
      <c r="F233" s="6"/>
      <c r="G233" s="6"/>
      <c r="H233" s="4"/>
      <c r="I233" s="4"/>
      <c r="J233" s="4"/>
      <c r="K233" s="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4"/>
      <c r="B234" s="4"/>
      <c r="C234" s="8"/>
      <c r="D234" s="5"/>
      <c r="E234" s="6"/>
      <c r="F234" s="6"/>
      <c r="G234" s="6"/>
      <c r="H234" s="4"/>
      <c r="I234" s="4"/>
      <c r="J234" s="4"/>
      <c r="K234" s="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4"/>
      <c r="B235" s="4"/>
      <c r="C235" s="8"/>
      <c r="D235" s="5"/>
      <c r="E235" s="6"/>
      <c r="F235" s="6"/>
      <c r="G235" s="6"/>
      <c r="H235" s="4"/>
      <c r="I235" s="4"/>
      <c r="J235" s="4"/>
      <c r="K235" s="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4"/>
      <c r="B236" s="4"/>
      <c r="C236" s="8"/>
      <c r="D236" s="5"/>
      <c r="E236" s="6"/>
      <c r="F236" s="6"/>
      <c r="G236" s="6"/>
      <c r="H236" s="4"/>
      <c r="I236" s="4"/>
      <c r="J236" s="4"/>
      <c r="K236" s="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4"/>
      <c r="B237" s="4"/>
      <c r="C237" s="8"/>
      <c r="D237" s="5"/>
      <c r="E237" s="6"/>
      <c r="F237" s="6"/>
      <c r="G237" s="6"/>
      <c r="H237" s="4"/>
      <c r="I237" s="4"/>
      <c r="J237" s="4"/>
      <c r="K237" s="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4"/>
      <c r="B238" s="4"/>
      <c r="C238" s="8"/>
      <c r="D238" s="5"/>
      <c r="E238" s="6"/>
      <c r="F238" s="6"/>
      <c r="G238" s="6"/>
      <c r="H238" s="4"/>
      <c r="I238" s="4"/>
      <c r="J238" s="4"/>
      <c r="K238" s="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4"/>
      <c r="B239" s="4"/>
      <c r="C239" s="8"/>
      <c r="D239" s="5"/>
      <c r="E239" s="6"/>
      <c r="F239" s="6"/>
      <c r="G239" s="6"/>
      <c r="H239" s="4"/>
      <c r="I239" s="4"/>
      <c r="J239" s="4"/>
      <c r="K239" s="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4"/>
      <c r="B240" s="4"/>
      <c r="C240" s="8"/>
      <c r="D240" s="9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11"/>
      <c r="D241" s="9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11"/>
      <c r="D242" s="9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11"/>
      <c r="D243" s="9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11"/>
      <c r="D244" s="9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11"/>
      <c r="D245" s="9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11"/>
      <c r="D246" s="9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11"/>
      <c r="D247" s="9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11"/>
      <c r="D248" s="9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11"/>
      <c r="D249" s="9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11"/>
      <c r="D250" s="9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11"/>
      <c r="D251" s="9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11"/>
      <c r="D252" s="9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11"/>
      <c r="D253" s="9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11"/>
      <c r="D254" s="9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11"/>
      <c r="D255" s="9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11"/>
      <c r="D256" s="9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11"/>
      <c r="D257" s="9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11"/>
      <c r="D258" s="9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11"/>
      <c r="D259" s="9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11"/>
      <c r="D260" s="9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11"/>
      <c r="D261" s="9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11"/>
      <c r="D262" s="9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11"/>
      <c r="D263" s="9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11"/>
      <c r="D264" s="9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11"/>
      <c r="D265" s="9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11"/>
      <c r="D266" s="9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11"/>
      <c r="D267" s="9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11"/>
      <c r="D268" s="9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11"/>
      <c r="D269" s="9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11"/>
      <c r="D270" s="9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11"/>
      <c r="D271" s="9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11"/>
      <c r="D272" s="9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11"/>
      <c r="D273" s="9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11"/>
      <c r="D274" s="9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11"/>
      <c r="D275" s="9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11"/>
      <c r="D276" s="9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11"/>
      <c r="D277" s="9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11"/>
      <c r="D278" s="9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11"/>
      <c r="D279" s="9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11"/>
      <c r="D280" s="9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11"/>
      <c r="D281" s="9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11"/>
      <c r="D282" s="9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11"/>
      <c r="D283" s="9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11"/>
      <c r="D284" s="9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11"/>
      <c r="D285" s="9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11"/>
      <c r="D286" s="9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11"/>
      <c r="D287" s="9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11"/>
      <c r="D288" s="9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11"/>
      <c r="D289" s="9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11"/>
      <c r="D290" s="9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11"/>
      <c r="D291" s="9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11"/>
      <c r="D292" s="9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11"/>
      <c r="D293" s="9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11"/>
      <c r="D294" s="9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11"/>
      <c r="D295" s="9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11"/>
      <c r="D296" s="9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11"/>
      <c r="D297" s="9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11"/>
      <c r="D298" s="9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11"/>
      <c r="D299" s="9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11"/>
      <c r="D300" s="9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11"/>
      <c r="D301" s="9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11"/>
      <c r="D302" s="9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11"/>
      <c r="D303" s="9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11"/>
      <c r="D304" s="9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11"/>
      <c r="D305" s="9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11"/>
      <c r="D306" s="9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11"/>
      <c r="D307" s="9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11"/>
      <c r="D308" s="9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11"/>
      <c r="D309" s="9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11"/>
      <c r="D310" s="9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11"/>
      <c r="D311" s="9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11"/>
      <c r="D312" s="9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11"/>
      <c r="D313" s="9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11"/>
      <c r="D314" s="9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11"/>
      <c r="D315" s="9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11"/>
      <c r="D316" s="9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11"/>
      <c r="D317" s="9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11"/>
      <c r="D318" s="9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11"/>
      <c r="D319" s="9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11"/>
      <c r="D320" s="9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11"/>
      <c r="D321" s="9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11"/>
      <c r="D322" s="9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11"/>
      <c r="D323" s="9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11"/>
      <c r="D324" s="9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11"/>
      <c r="D325" s="9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11"/>
      <c r="D326" s="9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11"/>
      <c r="D327" s="9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11"/>
      <c r="D328" s="9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11"/>
      <c r="D329" s="9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11"/>
      <c r="D330" s="9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11"/>
      <c r="D331" s="9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11"/>
      <c r="D332" s="9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11"/>
      <c r="D333" s="9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11"/>
      <c r="D334" s="9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11"/>
      <c r="D335" s="9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11"/>
      <c r="D336" s="9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11"/>
      <c r="D337" s="9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11"/>
      <c r="D338" s="9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11"/>
      <c r="D339" s="9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11"/>
      <c r="D340" s="9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11"/>
      <c r="D341" s="9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11"/>
      <c r="D342" s="9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11"/>
      <c r="D343" s="9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11"/>
      <c r="D344" s="9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11"/>
      <c r="D345" s="9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11"/>
      <c r="D346" s="9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11"/>
      <c r="D347" s="9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11"/>
      <c r="D348" s="9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11"/>
      <c r="D349" s="9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11"/>
      <c r="D350" s="9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11"/>
      <c r="D351" s="9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11"/>
      <c r="D352" s="9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11"/>
      <c r="D353" s="9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11"/>
      <c r="D354" s="9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11"/>
      <c r="D355" s="9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11"/>
      <c r="D356" s="9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11"/>
      <c r="D357" s="9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11"/>
      <c r="D358" s="9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11"/>
      <c r="D359" s="9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11"/>
      <c r="D360" s="9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11"/>
      <c r="D361" s="9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11"/>
      <c r="D362" s="9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11"/>
      <c r="D363" s="9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11"/>
      <c r="D364" s="9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11"/>
      <c r="D365" s="9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11"/>
      <c r="D366" s="9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11"/>
      <c r="D367" s="9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11"/>
      <c r="D368" s="9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11"/>
      <c r="D369" s="9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11"/>
      <c r="D370" s="9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11"/>
      <c r="D371" s="9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11"/>
      <c r="D372" s="9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11"/>
      <c r="D373" s="9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11"/>
      <c r="D374" s="9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11"/>
      <c r="D375" s="9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11"/>
      <c r="D376" s="9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11"/>
      <c r="D377" s="9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11"/>
      <c r="D378" s="9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11"/>
      <c r="D379" s="9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11"/>
      <c r="D380" s="9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11"/>
      <c r="D381" s="9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11"/>
      <c r="D382" s="9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11"/>
      <c r="D383" s="9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11"/>
      <c r="D384" s="9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11"/>
      <c r="D385" s="9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11"/>
      <c r="D386" s="9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11"/>
      <c r="D387" s="9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11"/>
      <c r="D388" s="9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11"/>
      <c r="D389" s="9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11"/>
      <c r="D390" s="9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11"/>
      <c r="D391" s="9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11"/>
      <c r="D392" s="9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11"/>
      <c r="D393" s="9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11"/>
      <c r="D394" s="9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11"/>
      <c r="D395" s="9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11"/>
      <c r="D396" s="9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11"/>
      <c r="D397" s="9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11"/>
      <c r="D398" s="9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11"/>
      <c r="D399" s="9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11"/>
      <c r="D400" s="9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11"/>
      <c r="D401" s="9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11"/>
      <c r="D402" s="9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11"/>
      <c r="D403" s="9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11"/>
      <c r="D404" s="9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11"/>
      <c r="D405" s="9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11"/>
      <c r="D406" s="9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11"/>
      <c r="D407" s="9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11"/>
      <c r="D408" s="9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11"/>
      <c r="D409" s="9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11"/>
      <c r="D410" s="9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11"/>
      <c r="D411" s="9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11"/>
      <c r="D412" s="9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11"/>
      <c r="D413" s="9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11"/>
      <c r="D414" s="9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11"/>
      <c r="D415" s="9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11"/>
      <c r="D416" s="9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11"/>
      <c r="D417" s="9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11"/>
      <c r="D418" s="9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11"/>
      <c r="D419" s="9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11"/>
      <c r="D420" s="9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11"/>
      <c r="D421" s="9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11"/>
      <c r="D422" s="9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11"/>
      <c r="D423" s="9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11"/>
      <c r="D424" s="9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11"/>
      <c r="D425" s="9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11"/>
      <c r="D426" s="9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11"/>
      <c r="D427" s="9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11"/>
      <c r="D428" s="9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11"/>
      <c r="D429" s="9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11"/>
      <c r="D430" s="9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11"/>
      <c r="D431" s="9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11"/>
      <c r="D432" s="9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11"/>
      <c r="D433" s="9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11"/>
      <c r="D434" s="9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11"/>
      <c r="D435" s="9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11"/>
      <c r="D436" s="9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11"/>
      <c r="D437" s="9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11"/>
      <c r="D438" s="9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11"/>
      <c r="D439" s="9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11"/>
      <c r="D440" s="9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11"/>
      <c r="D441" s="9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11"/>
      <c r="D442" s="9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11"/>
      <c r="D443" s="9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11"/>
      <c r="D444" s="9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11"/>
      <c r="D445" s="9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11"/>
      <c r="D446" s="9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11"/>
      <c r="D447" s="9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11"/>
      <c r="D448" s="9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11"/>
      <c r="D449" s="9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11"/>
      <c r="D450" s="9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11"/>
      <c r="D451" s="9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11"/>
      <c r="D452" s="9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11"/>
      <c r="D453" s="9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11"/>
      <c r="D454" s="9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11"/>
      <c r="D455" s="9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11"/>
      <c r="D456" s="9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11"/>
      <c r="D457" s="9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11"/>
      <c r="D458" s="9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11"/>
      <c r="D459" s="9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11"/>
      <c r="D460" s="9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11"/>
      <c r="D461" s="9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11"/>
      <c r="D462" s="9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11"/>
      <c r="D463" s="9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11"/>
      <c r="D464" s="9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11"/>
      <c r="D465" s="9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11"/>
      <c r="D466" s="9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11"/>
      <c r="D467" s="9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11"/>
      <c r="D468" s="9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11"/>
      <c r="D469" s="9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11"/>
      <c r="D470" s="9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11"/>
      <c r="D471" s="9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11"/>
      <c r="D472" s="9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11"/>
      <c r="D473" s="9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11"/>
      <c r="D474" s="9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11"/>
      <c r="D475" s="9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11"/>
      <c r="D476" s="9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11"/>
      <c r="D477" s="9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11"/>
      <c r="D478" s="9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11"/>
      <c r="D479" s="9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11"/>
      <c r="D480" s="9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11"/>
      <c r="D481" s="9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11"/>
      <c r="D482" s="9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11"/>
      <c r="D483" s="9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11"/>
      <c r="D484" s="9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11"/>
      <c r="D485" s="9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11"/>
      <c r="D486" s="9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11"/>
      <c r="D487" s="9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11"/>
      <c r="D488" s="9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11"/>
      <c r="D489" s="9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11"/>
      <c r="D490" s="9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11"/>
      <c r="D491" s="9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11"/>
      <c r="D492" s="9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11"/>
      <c r="D493" s="9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11"/>
      <c r="D494" s="9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11"/>
      <c r="D495" s="9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11"/>
      <c r="D496" s="9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11"/>
      <c r="D497" s="9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11"/>
      <c r="D498" s="9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11"/>
      <c r="D499" s="9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11"/>
      <c r="D500" s="9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11"/>
      <c r="D501" s="9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11"/>
      <c r="D502" s="9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11"/>
      <c r="D503" s="9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11"/>
      <c r="D504" s="9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11"/>
      <c r="D505" s="9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11"/>
      <c r="D506" s="9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11"/>
      <c r="D507" s="9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11"/>
      <c r="D508" s="9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11"/>
      <c r="D509" s="9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11"/>
      <c r="D510" s="9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11"/>
      <c r="D511" s="9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11"/>
      <c r="D512" s="9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11"/>
      <c r="D513" s="9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11"/>
      <c r="D514" s="9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11"/>
      <c r="D515" s="9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11"/>
      <c r="D516" s="9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11"/>
      <c r="D517" s="9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11"/>
      <c r="D518" s="9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11"/>
      <c r="D519" s="9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11"/>
      <c r="D520" s="9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11"/>
      <c r="D521" s="9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11"/>
      <c r="D522" s="9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11"/>
      <c r="D523" s="9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11"/>
      <c r="D524" s="9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11"/>
      <c r="D525" s="9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11"/>
      <c r="D526" s="9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11"/>
      <c r="D527" s="9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11"/>
      <c r="D528" s="9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11"/>
      <c r="D529" s="9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11"/>
      <c r="D530" s="9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11"/>
      <c r="D531" s="9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11"/>
      <c r="D532" s="9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11"/>
      <c r="D533" s="9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11"/>
      <c r="D534" s="9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11"/>
      <c r="D535" s="9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11"/>
      <c r="D536" s="9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11"/>
      <c r="D537" s="9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11"/>
      <c r="D538" s="9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11"/>
      <c r="D539" s="9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11"/>
      <c r="D540" s="9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11"/>
      <c r="D541" s="9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11"/>
      <c r="D542" s="9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11"/>
      <c r="D543" s="9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11"/>
      <c r="D544" s="9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11"/>
      <c r="D545" s="9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11"/>
      <c r="D546" s="9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11"/>
      <c r="D547" s="9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11"/>
      <c r="D548" s="9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11"/>
      <c r="D549" s="9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11"/>
      <c r="D550" s="9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11"/>
      <c r="D551" s="9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11"/>
      <c r="D552" s="9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11"/>
      <c r="D553" s="9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11"/>
      <c r="D554" s="9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11"/>
      <c r="D555" s="9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11"/>
      <c r="D556" s="9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11"/>
      <c r="D557" s="9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11"/>
      <c r="D558" s="9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11"/>
      <c r="D559" s="9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11"/>
      <c r="D560" s="9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11"/>
      <c r="D561" s="9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11"/>
      <c r="D562" s="9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11"/>
      <c r="D563" s="9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11"/>
      <c r="D564" s="9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11"/>
      <c r="D565" s="9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11"/>
      <c r="D566" s="9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11"/>
      <c r="D567" s="9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11"/>
      <c r="D568" s="9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11"/>
      <c r="D569" s="9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11"/>
      <c r="D570" s="9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11"/>
      <c r="D571" s="9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11"/>
      <c r="D572" s="9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11"/>
      <c r="D573" s="9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11"/>
      <c r="D574" s="9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11"/>
      <c r="D575" s="9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11"/>
      <c r="D576" s="9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11"/>
      <c r="D577" s="9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11"/>
      <c r="D578" s="9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11"/>
      <c r="D579" s="9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11"/>
      <c r="D580" s="9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11"/>
      <c r="D581" s="9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11"/>
      <c r="D582" s="9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11"/>
      <c r="D583" s="9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11"/>
      <c r="D584" s="9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11"/>
      <c r="D585" s="9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11"/>
      <c r="D586" s="9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11"/>
      <c r="D587" s="9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11"/>
      <c r="D588" s="9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11"/>
      <c r="D589" s="9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11"/>
      <c r="D590" s="9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11"/>
      <c r="D591" s="9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11"/>
      <c r="D592" s="9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11"/>
      <c r="D593" s="9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11"/>
      <c r="D594" s="9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11"/>
      <c r="D595" s="9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11"/>
      <c r="D596" s="9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11"/>
      <c r="D597" s="9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11"/>
      <c r="D598" s="9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11"/>
      <c r="D599" s="9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11"/>
      <c r="D600" s="9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11"/>
      <c r="D601" s="9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11"/>
      <c r="D602" s="9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11"/>
      <c r="D603" s="9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11"/>
      <c r="D604" s="9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11"/>
      <c r="D605" s="9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11"/>
      <c r="D606" s="9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11"/>
      <c r="D607" s="9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11"/>
      <c r="D608" s="9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11"/>
      <c r="D609" s="9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11"/>
      <c r="D610" s="9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11"/>
      <c r="D611" s="9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11"/>
      <c r="D612" s="9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11"/>
      <c r="D613" s="9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11"/>
      <c r="D614" s="9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11"/>
      <c r="D615" s="9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11"/>
      <c r="D616" s="9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11"/>
      <c r="D617" s="9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11"/>
      <c r="D618" s="9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11"/>
      <c r="D619" s="9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11"/>
      <c r="D620" s="9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11"/>
      <c r="D621" s="9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11"/>
      <c r="D622" s="9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11"/>
      <c r="D623" s="9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11"/>
      <c r="D624" s="9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11"/>
      <c r="D625" s="9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11"/>
      <c r="D626" s="9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11"/>
      <c r="D627" s="9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11"/>
      <c r="D628" s="9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11"/>
      <c r="D629" s="9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11"/>
      <c r="D630" s="9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11"/>
      <c r="D631" s="9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11"/>
      <c r="D632" s="9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11"/>
      <c r="D633" s="9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11"/>
      <c r="D634" s="9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11"/>
      <c r="D635" s="9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11"/>
      <c r="D636" s="9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11"/>
      <c r="D637" s="9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11"/>
      <c r="D638" s="9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11"/>
      <c r="D639" s="9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11"/>
      <c r="D640" s="9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11"/>
      <c r="D641" s="9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11"/>
      <c r="D642" s="9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11"/>
      <c r="D643" s="9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11"/>
      <c r="D644" s="9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11"/>
      <c r="D645" s="9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11"/>
      <c r="D646" s="9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11"/>
      <c r="D647" s="9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11"/>
      <c r="D648" s="9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11"/>
      <c r="D649" s="9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11"/>
      <c r="D650" s="9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11"/>
      <c r="D651" s="9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11"/>
      <c r="D652" s="9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11"/>
      <c r="D653" s="9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11"/>
      <c r="D654" s="9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11"/>
      <c r="D655" s="9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11"/>
      <c r="D656" s="9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11"/>
      <c r="D657" s="9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11"/>
      <c r="D658" s="9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11"/>
      <c r="D659" s="9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11"/>
      <c r="D660" s="9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11"/>
      <c r="D661" s="9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11"/>
      <c r="D662" s="9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11"/>
      <c r="D663" s="9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11"/>
      <c r="D664" s="9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11"/>
      <c r="D665" s="9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11"/>
      <c r="D666" s="9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11"/>
      <c r="D667" s="9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11"/>
      <c r="D668" s="9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11"/>
      <c r="D669" s="9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11"/>
      <c r="D670" s="9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11"/>
      <c r="D671" s="9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11"/>
      <c r="D672" s="9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11"/>
      <c r="D673" s="9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11"/>
      <c r="D674" s="9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11"/>
      <c r="D675" s="9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11"/>
      <c r="D676" s="9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11"/>
      <c r="D677" s="9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11"/>
      <c r="D678" s="9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11"/>
      <c r="D679" s="9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11"/>
      <c r="D680" s="9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11"/>
      <c r="D681" s="9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11"/>
      <c r="D682" s="9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11"/>
      <c r="D683" s="9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11"/>
      <c r="D684" s="9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11"/>
      <c r="D685" s="9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11"/>
      <c r="D686" s="9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11"/>
      <c r="D687" s="9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11"/>
      <c r="D688" s="9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11"/>
      <c r="D689" s="9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11"/>
      <c r="D690" s="9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11"/>
      <c r="D691" s="9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11"/>
      <c r="D692" s="9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11"/>
      <c r="D693" s="9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11"/>
      <c r="D694" s="9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11"/>
      <c r="D695" s="9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11"/>
      <c r="D696" s="9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11"/>
      <c r="D697" s="9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11"/>
      <c r="D698" s="9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11"/>
      <c r="D699" s="9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11"/>
      <c r="D700" s="9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11"/>
      <c r="D701" s="9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11"/>
      <c r="D702" s="9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11"/>
      <c r="D703" s="9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11"/>
      <c r="D704" s="9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11"/>
      <c r="D705" s="9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11"/>
      <c r="D706" s="9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11"/>
      <c r="D707" s="9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11"/>
      <c r="D708" s="9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11"/>
      <c r="D709" s="9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11"/>
      <c r="D710" s="9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11"/>
      <c r="D711" s="9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11"/>
      <c r="D712" s="9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11"/>
      <c r="D713" s="9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11"/>
      <c r="D714" s="9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11"/>
      <c r="D715" s="9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11"/>
      <c r="D716" s="9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11"/>
      <c r="D717" s="9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11"/>
      <c r="D718" s="9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11"/>
      <c r="D719" s="9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11"/>
      <c r="D720" s="9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11"/>
      <c r="D721" s="9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11"/>
      <c r="D722" s="9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11"/>
      <c r="D723" s="9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11"/>
      <c r="D724" s="9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11"/>
      <c r="D725" s="9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11"/>
      <c r="D726" s="9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11"/>
      <c r="D727" s="9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11"/>
      <c r="D728" s="9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11"/>
      <c r="D729" s="9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11"/>
      <c r="D730" s="9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11"/>
      <c r="D731" s="9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11"/>
      <c r="D732" s="9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11"/>
      <c r="D733" s="9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11"/>
      <c r="D734" s="9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11"/>
      <c r="D735" s="9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11"/>
      <c r="D736" s="9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11"/>
      <c r="D737" s="9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11"/>
      <c r="D738" s="9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11"/>
      <c r="D739" s="9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11"/>
      <c r="D740" s="9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11"/>
      <c r="D741" s="9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11"/>
      <c r="D742" s="9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11"/>
      <c r="D743" s="9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11"/>
      <c r="D744" s="9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11"/>
      <c r="D745" s="9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11"/>
      <c r="D746" s="9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11"/>
      <c r="D747" s="9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11"/>
      <c r="D748" s="9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11"/>
      <c r="D749" s="9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11"/>
      <c r="D750" s="9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11"/>
      <c r="D751" s="9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11"/>
      <c r="D752" s="9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11"/>
      <c r="D753" s="9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11"/>
      <c r="D754" s="9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11"/>
      <c r="D755" s="9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11"/>
      <c r="D756" s="9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11"/>
      <c r="D757" s="9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11"/>
      <c r="D758" s="9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11"/>
      <c r="D759" s="9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11"/>
      <c r="D760" s="9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11"/>
      <c r="D761" s="9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11"/>
      <c r="D762" s="9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11"/>
      <c r="D763" s="9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11"/>
      <c r="D764" s="9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11"/>
      <c r="D765" s="9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11"/>
      <c r="D766" s="9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11"/>
      <c r="D767" s="9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11"/>
      <c r="D768" s="9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11"/>
      <c r="D769" s="9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11"/>
      <c r="D770" s="9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11"/>
      <c r="D771" s="9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11"/>
      <c r="D772" s="9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11"/>
      <c r="D773" s="9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11"/>
      <c r="D774" s="9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11"/>
      <c r="D775" s="9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11"/>
      <c r="D776" s="9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11"/>
      <c r="D777" s="9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11"/>
      <c r="D778" s="9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11"/>
      <c r="D779" s="9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11"/>
      <c r="D780" s="9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11"/>
      <c r="D781" s="9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11"/>
      <c r="D782" s="9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11"/>
      <c r="D783" s="9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11"/>
      <c r="D784" s="9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11"/>
      <c r="D785" s="9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11"/>
      <c r="D786" s="9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11"/>
      <c r="D787" s="9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11"/>
      <c r="D788" s="9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11"/>
      <c r="D789" s="9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11"/>
      <c r="D790" s="9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11"/>
      <c r="D791" s="9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11"/>
      <c r="D792" s="9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11"/>
      <c r="D793" s="9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11"/>
      <c r="D794" s="9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11"/>
      <c r="D795" s="9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11"/>
      <c r="D796" s="9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11"/>
      <c r="D797" s="9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11"/>
      <c r="D798" s="9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11"/>
      <c r="D799" s="9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11"/>
      <c r="D800" s="9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11"/>
      <c r="D801" s="9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11"/>
      <c r="D802" s="9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11"/>
      <c r="D803" s="9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11"/>
      <c r="D804" s="9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11"/>
      <c r="D805" s="9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11"/>
      <c r="D806" s="9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11"/>
      <c r="D807" s="9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11"/>
      <c r="D808" s="9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11"/>
      <c r="D809" s="9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11"/>
      <c r="D810" s="9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11"/>
      <c r="D811" s="9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11"/>
      <c r="D812" s="9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11"/>
      <c r="D813" s="9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11"/>
      <c r="D814" s="9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11"/>
      <c r="D815" s="9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11"/>
      <c r="D816" s="9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11"/>
      <c r="D817" s="9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11"/>
      <c r="D818" s="9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11"/>
      <c r="D819" s="9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11"/>
      <c r="D820" s="9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11"/>
      <c r="D821" s="9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11"/>
      <c r="D822" s="9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11"/>
      <c r="D823" s="9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11"/>
      <c r="D824" s="9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11"/>
      <c r="D825" s="9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11"/>
      <c r="D826" s="9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11"/>
      <c r="D827" s="9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11"/>
      <c r="D828" s="9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11"/>
      <c r="D829" s="9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11"/>
      <c r="D830" s="9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11"/>
      <c r="D831" s="9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11"/>
      <c r="D832" s="9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11"/>
      <c r="D833" s="9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11"/>
      <c r="D834" s="9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11"/>
      <c r="D835" s="9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11"/>
      <c r="D836" s="9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11"/>
      <c r="D837" s="9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11"/>
      <c r="D838" s="9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11"/>
      <c r="D839" s="9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11"/>
      <c r="D840" s="9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11"/>
      <c r="D841" s="9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11"/>
      <c r="D842" s="9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11"/>
      <c r="D843" s="9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11"/>
      <c r="D844" s="9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11"/>
      <c r="D845" s="9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11"/>
      <c r="D846" s="9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11"/>
      <c r="D847" s="9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11"/>
      <c r="D848" s="9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11"/>
      <c r="D849" s="9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11"/>
      <c r="D850" s="9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11"/>
      <c r="D851" s="9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11"/>
      <c r="D852" s="9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11"/>
      <c r="D853" s="9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11"/>
      <c r="D854" s="9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11"/>
      <c r="D855" s="9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11"/>
      <c r="D856" s="9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11"/>
      <c r="D857" s="9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11"/>
      <c r="D858" s="9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11"/>
      <c r="D859" s="9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11"/>
      <c r="D860" s="9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11"/>
      <c r="D861" s="9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11"/>
      <c r="D862" s="9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11"/>
      <c r="D863" s="9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11"/>
      <c r="D864" s="9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11"/>
      <c r="D865" s="9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11"/>
      <c r="D866" s="9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11"/>
      <c r="D867" s="9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11"/>
      <c r="D868" s="9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11"/>
      <c r="D869" s="9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11"/>
      <c r="D870" s="9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11"/>
      <c r="D871" s="9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11"/>
      <c r="D872" s="9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11"/>
      <c r="D873" s="9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11"/>
      <c r="D874" s="9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11"/>
      <c r="D875" s="9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11"/>
      <c r="D876" s="9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11"/>
      <c r="D877" s="9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11"/>
      <c r="D878" s="9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11"/>
      <c r="D879" s="9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11"/>
      <c r="D880" s="9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11"/>
      <c r="D881" s="9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11"/>
      <c r="D882" s="9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11"/>
      <c r="D883" s="9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11"/>
      <c r="D884" s="9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11"/>
      <c r="D885" s="9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11"/>
      <c r="D886" s="9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11"/>
      <c r="D887" s="9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11"/>
      <c r="D888" s="9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11"/>
      <c r="D889" s="9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11"/>
      <c r="D890" s="9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11"/>
      <c r="D891" s="9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11"/>
      <c r="D892" s="9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11"/>
      <c r="D893" s="9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11"/>
      <c r="D894" s="9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11"/>
      <c r="D895" s="9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11"/>
      <c r="D896" s="9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11"/>
      <c r="D897" s="9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11"/>
      <c r="D898" s="9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11"/>
      <c r="D899" s="9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11"/>
      <c r="D900" s="9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11"/>
      <c r="D901" s="9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11"/>
      <c r="D902" s="9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11"/>
      <c r="D903" s="9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11"/>
      <c r="D904" s="9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11"/>
      <c r="D905" s="9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11"/>
      <c r="D906" s="9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11"/>
      <c r="D907" s="9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11"/>
      <c r="D908" s="9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11"/>
      <c r="D909" s="9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11"/>
      <c r="D910" s="9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11"/>
      <c r="D911" s="9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11"/>
      <c r="D912" s="9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11"/>
      <c r="D913" s="9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11"/>
      <c r="D914" s="9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11"/>
      <c r="D915" s="9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11"/>
      <c r="D916" s="9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11"/>
      <c r="D917" s="9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11"/>
      <c r="D918" s="9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11"/>
      <c r="D919" s="9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11"/>
      <c r="D920" s="9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11"/>
      <c r="D921" s="9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11"/>
      <c r="D922" s="9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11"/>
      <c r="D923" s="9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11"/>
      <c r="D924" s="9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11"/>
      <c r="D925" s="9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11"/>
      <c r="D926" s="9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11"/>
      <c r="D927" s="9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11"/>
      <c r="D928" s="9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11"/>
      <c r="D929" s="9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11"/>
      <c r="D930" s="9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11"/>
      <c r="D931" s="9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11"/>
      <c r="D932" s="9"/>
      <c r="E932" s="10"/>
      <c r="F932" s="10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11"/>
      <c r="D933" s="9"/>
      <c r="E933" s="10"/>
      <c r="F933" s="10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11"/>
      <c r="D934" s="9"/>
      <c r="E934" s="10"/>
      <c r="F934" s="10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11"/>
      <c r="D935" s="9"/>
      <c r="E935" s="10"/>
      <c r="F935" s="10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11"/>
      <c r="D936" s="9"/>
      <c r="E936" s="10"/>
      <c r="F936" s="10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11"/>
      <c r="D937" s="9"/>
      <c r="E937" s="10"/>
      <c r="F937" s="10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11"/>
      <c r="D938" s="9"/>
      <c r="E938" s="10"/>
      <c r="F938" s="10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11"/>
      <c r="D939" s="9"/>
      <c r="E939" s="10"/>
      <c r="F939" s="10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11"/>
      <c r="D940" s="9"/>
      <c r="E940" s="10"/>
      <c r="F940" s="10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11"/>
      <c r="D941" s="9"/>
      <c r="E941" s="10"/>
      <c r="F941" s="10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11"/>
      <c r="D942" s="9"/>
      <c r="E942" s="10"/>
      <c r="F942" s="10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11"/>
      <c r="D943" s="9"/>
      <c r="E943" s="10"/>
      <c r="F943" s="10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11"/>
      <c r="D944" s="9"/>
      <c r="E944" s="10"/>
      <c r="F944" s="10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11"/>
      <c r="D945" s="9"/>
      <c r="E945" s="10"/>
      <c r="F945" s="10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11"/>
      <c r="D946" s="9"/>
      <c r="E946" s="10"/>
      <c r="F946" s="10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11"/>
      <c r="D947" s="9"/>
      <c r="E947" s="10"/>
      <c r="F947" s="10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11"/>
      <c r="D948" s="9"/>
      <c r="E948" s="10"/>
      <c r="F948" s="10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11"/>
      <c r="D949" s="9"/>
      <c r="E949" s="10"/>
      <c r="F949" s="10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11"/>
      <c r="D950" s="9"/>
      <c r="E950" s="10"/>
      <c r="F950" s="10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11"/>
      <c r="D951" s="9"/>
      <c r="E951" s="10"/>
      <c r="F951" s="10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11"/>
      <c r="D952" s="9"/>
      <c r="E952" s="10"/>
      <c r="F952" s="10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11"/>
      <c r="D953" s="9"/>
      <c r="E953" s="10"/>
      <c r="F953" s="10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11"/>
      <c r="D954" s="9"/>
      <c r="E954" s="10"/>
      <c r="F954" s="10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11"/>
      <c r="D955" s="9"/>
      <c r="E955" s="10"/>
      <c r="F955" s="10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11"/>
      <c r="D956" s="9"/>
      <c r="E956" s="10"/>
      <c r="F956" s="10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11"/>
      <c r="D957" s="9"/>
      <c r="E957" s="10"/>
      <c r="F957" s="10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11"/>
      <c r="D958" s="9"/>
      <c r="E958" s="10"/>
      <c r="F958" s="10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11"/>
      <c r="D959" s="9"/>
      <c r="E959" s="10"/>
      <c r="F959" s="10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11"/>
      <c r="D960" s="9"/>
      <c r="E960" s="10"/>
      <c r="F960" s="10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11"/>
      <c r="D961" s="9"/>
      <c r="E961" s="10"/>
      <c r="F961" s="10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11"/>
      <c r="D962" s="9"/>
      <c r="E962" s="10"/>
      <c r="F962" s="10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11"/>
      <c r="D963" s="9"/>
      <c r="E963" s="10"/>
      <c r="F963" s="10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11"/>
      <c r="D964" s="9"/>
      <c r="E964" s="10"/>
      <c r="F964" s="10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11"/>
      <c r="D965" s="9"/>
      <c r="E965" s="10"/>
      <c r="F965" s="10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11"/>
      <c r="D966" s="9"/>
      <c r="E966" s="10"/>
      <c r="F966" s="10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11"/>
      <c r="D967" s="9"/>
      <c r="E967" s="10"/>
      <c r="F967" s="10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11"/>
      <c r="D968" s="9"/>
      <c r="E968" s="10"/>
      <c r="F968" s="10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11"/>
      <c r="D969" s="9"/>
      <c r="E969" s="10"/>
      <c r="F969" s="10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11"/>
      <c r="D970" s="9"/>
      <c r="E970" s="10"/>
      <c r="F970" s="10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11"/>
      <c r="D971" s="9"/>
      <c r="E971" s="10"/>
      <c r="F971" s="10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11"/>
      <c r="D972" s="9"/>
      <c r="E972" s="10"/>
      <c r="F972" s="10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11"/>
      <c r="D973" s="9"/>
      <c r="E973" s="10"/>
      <c r="F973" s="10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11"/>
      <c r="D974" s="9"/>
      <c r="E974" s="10"/>
      <c r="F974" s="10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11"/>
      <c r="D975" s="9"/>
      <c r="E975" s="10"/>
      <c r="F975" s="10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11"/>
      <c r="D976" s="9"/>
      <c r="E976" s="10"/>
      <c r="F976" s="10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11"/>
      <c r="D977" s="9"/>
      <c r="E977" s="10"/>
      <c r="F977" s="10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11"/>
      <c r="D978" s="9"/>
      <c r="E978" s="10"/>
      <c r="F978" s="10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11"/>
      <c r="D979" s="9"/>
      <c r="E979" s="10"/>
      <c r="F979" s="10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11"/>
      <c r="D980" s="9"/>
      <c r="E980" s="10"/>
      <c r="F980" s="10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11"/>
      <c r="D981" s="9"/>
      <c r="E981" s="10"/>
      <c r="F981" s="10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11"/>
      <c r="D982" s="9"/>
      <c r="E982" s="10"/>
      <c r="F982" s="10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11"/>
      <c r="D983" s="9"/>
      <c r="E983" s="10"/>
      <c r="F983" s="10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11"/>
      <c r="D984" s="9"/>
      <c r="E984" s="10"/>
      <c r="F984" s="10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11"/>
      <c r="D985" s="9"/>
      <c r="E985" s="10"/>
      <c r="F985" s="10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11"/>
      <c r="D986" s="9"/>
      <c r="E986" s="10"/>
      <c r="F986" s="10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11"/>
      <c r="D987" s="9"/>
      <c r="E987" s="10"/>
      <c r="F987" s="10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11"/>
      <c r="D988" s="9"/>
      <c r="E988" s="10"/>
      <c r="F988" s="10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11"/>
      <c r="D989" s="9"/>
      <c r="E989" s="10"/>
      <c r="F989" s="10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11"/>
      <c r="D990" s="9"/>
      <c r="E990" s="10"/>
      <c r="F990" s="10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11"/>
      <c r="D991" s="9"/>
      <c r="E991" s="10"/>
      <c r="F991" s="10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11"/>
      <c r="D992" s="9"/>
      <c r="E992" s="10"/>
      <c r="F992" s="10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11"/>
      <c r="D993" s="9"/>
      <c r="E993" s="10"/>
      <c r="F993" s="10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11"/>
      <c r="D994" s="9"/>
      <c r="E994" s="10"/>
      <c r="F994" s="10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11"/>
      <c r="D995" s="9"/>
      <c r="E995" s="10"/>
      <c r="F995" s="10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11"/>
      <c r="D996" s="9"/>
      <c r="E996" s="10"/>
      <c r="F996" s="10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11"/>
      <c r="D997" s="9"/>
      <c r="E997" s="10"/>
      <c r="F997" s="10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11"/>
      <c r="D998" s="9"/>
      <c r="E998" s="10"/>
      <c r="F998" s="10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11"/>
      <c r="D999" s="9"/>
      <c r="E999" s="10"/>
      <c r="F999" s="10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11"/>
      <c r="D1000" s="9"/>
      <c r="E1000" s="10"/>
      <c r="F1000" s="10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11"/>
      <c r="D1001" s="9"/>
      <c r="E1001" s="10"/>
      <c r="F1001" s="10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8.25"/>
    <col customWidth="1" min="3" max="3" width="28.88"/>
    <col customWidth="1" hidden="1" min="4" max="4" width="7.75"/>
    <col customWidth="1" min="5" max="7" width="11.88"/>
    <col customWidth="1" hidden="1" min="8" max="8" width="8.38"/>
    <col customWidth="1" min="9" max="11" width="8.38"/>
    <col customWidth="1" hidden="1" min="12" max="12" width="9.63"/>
    <col customWidth="1" hidden="1" min="13" max="13" width="7.5"/>
    <col customWidth="1" hidden="1" min="14" max="14" width="12.63"/>
    <col customWidth="1" hidden="1" min="15" max="15" width="6.88"/>
    <col customWidth="1" hidden="1" min="16" max="16" width="12.13"/>
    <col customWidth="1" hidden="1" min="17" max="17" width="10.63"/>
    <col customWidth="1" hidden="1" min="18" max="18" width="5.5"/>
    <col customWidth="1" hidden="1" min="19" max="19" width="7.38"/>
    <col customWidth="1" hidden="1" min="20" max="20" width="6.13"/>
    <col customWidth="1" hidden="1" min="21" max="21" width="6.63"/>
    <col customWidth="1" hidden="1" min="22" max="22" width="3.5"/>
    <col customWidth="1" hidden="1" min="23" max="23" width="7.13"/>
    <col customWidth="1" hidden="1" min="24" max="24" width="7.0"/>
    <col customWidth="1" hidden="1" min="25" max="25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tr">
        <f>IFERROR(__xludf.DUMMYFUNCTION("FILTER(Master!A:Z, Master!P:P = ""X"")"),"Adventuring Gear")</f>
        <v>Adventuring Gear</v>
      </c>
      <c r="B2" s="4" t="str">
        <f>IFERROR(__xludf.DUMMYFUNCTION("""COMPUTED_VALUE"""),"-")</f>
        <v>-</v>
      </c>
      <c r="C2" s="4" t="str">
        <f>IFERROR(__xludf.DUMMYFUNCTION("""COMPUTED_VALUE"""),"Barrel")</f>
        <v>Barrel</v>
      </c>
      <c r="D2" s="5">
        <f>IFERROR(__xludf.DUMMYFUNCTION("""COMPUTED_VALUE"""),70.0)</f>
        <v>70</v>
      </c>
      <c r="E2" s="6">
        <f>IFERROR(__xludf.DUMMYFUNCTION("""COMPUTED_VALUE"""),2.0)</f>
        <v>2</v>
      </c>
      <c r="F2" s="6">
        <f>IFERROR(__xludf.DUMMYFUNCTION("""COMPUTED_VALUE"""),1.5)</f>
        <v>1.5</v>
      </c>
      <c r="G2" s="6">
        <f>IFERROR(__xludf.DUMMYFUNCTION("""COMPUTED_VALUE"""),3.0)</f>
        <v>3</v>
      </c>
      <c r="H2" s="4" t="str">
        <f>IFERROR(__xludf.DUMMYFUNCTION("""COMPUTED_VALUE"""),"PHB 2024")</f>
        <v>PHB 2024</v>
      </c>
      <c r="I2" s="4" t="str">
        <f>IFERROR(__xludf.DUMMYFUNCTION("""COMPUTED_VALUE"""),"x")</f>
        <v>x</v>
      </c>
      <c r="J2" s="4" t="str">
        <f>IFERROR(__xludf.DUMMYFUNCTION("""COMPUTED_VALUE"""),"x")</f>
        <v>x</v>
      </c>
      <c r="K2" s="4" t="str">
        <f>IFERROR(__xludf.DUMMYFUNCTION("""COMPUTED_VALUE"""),"x")</f>
        <v>x</v>
      </c>
      <c r="L2" s="7"/>
      <c r="M2" s="7"/>
      <c r="N2" s="7"/>
      <c r="O2" s="7"/>
      <c r="P2" s="7" t="str">
        <f>IFERROR(__xludf.DUMMYFUNCTION("""COMPUTED_VALUE"""),"x")</f>
        <v>x</v>
      </c>
      <c r="Q2" s="7"/>
      <c r="R2" s="7"/>
      <c r="S2" s="7"/>
      <c r="T2" s="4"/>
      <c r="U2" s="7"/>
      <c r="V2" s="7"/>
      <c r="W2" s="7"/>
      <c r="X2" s="7"/>
      <c r="Y2" s="7"/>
    </row>
    <row r="3">
      <c r="A3" s="4" t="str">
        <f>IFERROR(__xludf.DUMMYFUNCTION("""COMPUTED_VALUE"""),"Adventuring Gear")</f>
        <v>Adventuring Gear</v>
      </c>
      <c r="B3" s="4" t="str">
        <f>IFERROR(__xludf.DUMMYFUNCTION("""COMPUTED_VALUE"""),"-")</f>
        <v>-</v>
      </c>
      <c r="C3" s="4" t="str">
        <f>IFERROR(__xludf.DUMMYFUNCTION("""COMPUTED_VALUE"""),"Blanket")</f>
        <v>Blanket</v>
      </c>
      <c r="D3" s="5">
        <f>IFERROR(__xludf.DUMMYFUNCTION("""COMPUTED_VALUE"""),3.0)</f>
        <v>3</v>
      </c>
      <c r="E3" s="6">
        <f>IFERROR(__xludf.DUMMYFUNCTION("""COMPUTED_VALUE"""),0.5)</f>
        <v>0.5</v>
      </c>
      <c r="F3" s="6">
        <f>IFERROR(__xludf.DUMMYFUNCTION("""COMPUTED_VALUE"""),0.375)</f>
        <v>0.375</v>
      </c>
      <c r="G3" s="6">
        <f>IFERROR(__xludf.DUMMYFUNCTION("""COMPUTED_VALUE"""),0.75)</f>
        <v>0.75</v>
      </c>
      <c r="H3" s="4" t="str">
        <f>IFERROR(__xludf.DUMMYFUNCTION("""COMPUTED_VALUE"""),"PHB 2024")</f>
        <v>PHB 2024</v>
      </c>
      <c r="I3" s="4" t="str">
        <f>IFERROR(__xludf.DUMMYFUNCTION("""COMPUTED_VALUE"""),"x")</f>
        <v>x</v>
      </c>
      <c r="J3" s="4" t="str">
        <f>IFERROR(__xludf.DUMMYFUNCTION("""COMPUTED_VALUE"""),"x")</f>
        <v>x</v>
      </c>
      <c r="K3" s="4" t="str">
        <f>IFERROR(__xludf.DUMMYFUNCTION("""COMPUTED_VALUE"""),"x")</f>
        <v>x</v>
      </c>
      <c r="L3" s="7"/>
      <c r="M3" s="7"/>
      <c r="N3" s="7"/>
      <c r="O3" s="7" t="str">
        <f>IFERROR(__xludf.DUMMYFUNCTION("""COMPUTED_VALUE"""),"x")</f>
        <v>x</v>
      </c>
      <c r="P3" s="7" t="str">
        <f>IFERROR(__xludf.DUMMYFUNCTION("""COMPUTED_VALUE"""),"x")</f>
        <v>x</v>
      </c>
      <c r="Q3" s="7" t="str">
        <f>IFERROR(__xludf.DUMMYFUNCTION("""COMPUTED_VALUE"""),"x")</f>
        <v>x</v>
      </c>
      <c r="R3" s="7"/>
      <c r="S3" s="7"/>
      <c r="T3" s="4"/>
      <c r="U3" s="7"/>
      <c r="V3" s="7"/>
      <c r="W3" s="7"/>
      <c r="X3" s="7"/>
      <c r="Y3" s="7"/>
    </row>
    <row r="4">
      <c r="A4" s="4" t="str">
        <f>IFERROR(__xludf.DUMMYFUNCTION("""COMPUTED_VALUE"""),"Adventuring Gear")</f>
        <v>Adventuring Gear</v>
      </c>
      <c r="B4" s="4" t="str">
        <f>IFERROR(__xludf.DUMMYFUNCTION("""COMPUTED_VALUE"""),"-")</f>
        <v>-</v>
      </c>
      <c r="C4" s="4" t="str">
        <f>IFERROR(__xludf.DUMMYFUNCTION("""COMPUTED_VALUE"""),"Bottle, Glass")</f>
        <v>Bottle, Glass</v>
      </c>
      <c r="D4" s="5">
        <f>IFERROR(__xludf.DUMMYFUNCTION("""COMPUTED_VALUE"""),2.0)</f>
        <v>2</v>
      </c>
      <c r="E4" s="6">
        <f>IFERROR(__xludf.DUMMYFUNCTION("""COMPUTED_VALUE"""),2.0)</f>
        <v>2</v>
      </c>
      <c r="F4" s="6">
        <f>IFERROR(__xludf.DUMMYFUNCTION("""COMPUTED_VALUE"""),1.5)</f>
        <v>1.5</v>
      </c>
      <c r="G4" s="6">
        <f>IFERROR(__xludf.DUMMYFUNCTION("""COMPUTED_VALUE"""),3.0)</f>
        <v>3</v>
      </c>
      <c r="H4" s="4" t="str">
        <f>IFERROR(__xludf.DUMMYFUNCTION("""COMPUTED_VALUE"""),"PHB 2024")</f>
        <v>PHB 2024</v>
      </c>
      <c r="I4" s="4" t="str">
        <f>IFERROR(__xludf.DUMMYFUNCTION("""COMPUTED_VALUE"""),"x")</f>
        <v>x</v>
      </c>
      <c r="J4" s="4" t="str">
        <f>IFERROR(__xludf.DUMMYFUNCTION("""COMPUTED_VALUE"""),"x")</f>
        <v>x</v>
      </c>
      <c r="K4" s="4" t="str">
        <f>IFERROR(__xludf.DUMMYFUNCTION("""COMPUTED_VALUE"""),"x")</f>
        <v>x</v>
      </c>
      <c r="L4" s="7"/>
      <c r="M4" s="4"/>
      <c r="N4" s="7"/>
      <c r="O4" s="7"/>
      <c r="P4" s="7" t="str">
        <f>IFERROR(__xludf.DUMMYFUNCTION("""COMPUTED_VALUE"""),"x")</f>
        <v>x</v>
      </c>
      <c r="Q4" s="4" t="str">
        <f>IFERROR(__xludf.DUMMYFUNCTION("""COMPUTED_VALUE"""),"x")</f>
        <v>x</v>
      </c>
      <c r="R4" s="7"/>
      <c r="S4" s="7"/>
      <c r="T4" s="7"/>
      <c r="U4" s="7" t="str">
        <f>IFERROR(__xludf.DUMMYFUNCTION("""COMPUTED_VALUE"""),"x")</f>
        <v>x</v>
      </c>
      <c r="V4" s="7"/>
      <c r="W4" s="7"/>
      <c r="X4" s="7"/>
      <c r="Y4" s="7"/>
    </row>
    <row r="5">
      <c r="A5" s="4" t="str">
        <f>IFERROR(__xludf.DUMMYFUNCTION("""COMPUTED_VALUE"""),"Adventuring Gear")</f>
        <v>Adventuring Gear</v>
      </c>
      <c r="B5" s="4" t="str">
        <f>IFERROR(__xludf.DUMMYFUNCTION("""COMPUTED_VALUE"""),"-")</f>
        <v>-</v>
      </c>
      <c r="C5" s="4" t="str">
        <f>IFERROR(__xludf.DUMMYFUNCTION("""COMPUTED_VALUE"""),"Bucket")</f>
        <v>Bucket</v>
      </c>
      <c r="D5" s="5">
        <f>IFERROR(__xludf.DUMMYFUNCTION("""COMPUTED_VALUE"""),2.0)</f>
        <v>2</v>
      </c>
      <c r="E5" s="6">
        <f>IFERROR(__xludf.DUMMYFUNCTION("""COMPUTED_VALUE"""),0.05)</f>
        <v>0.05</v>
      </c>
      <c r="F5" s="6">
        <f>IFERROR(__xludf.DUMMYFUNCTION("""COMPUTED_VALUE"""),0.037500000000000006)</f>
        <v>0.0375</v>
      </c>
      <c r="G5" s="6">
        <f>IFERROR(__xludf.DUMMYFUNCTION("""COMPUTED_VALUE"""),0.07500000000000001)</f>
        <v>0.075</v>
      </c>
      <c r="H5" s="4" t="str">
        <f>IFERROR(__xludf.DUMMYFUNCTION("""COMPUTED_VALUE"""),"PHB 2024")</f>
        <v>PHB 2024</v>
      </c>
      <c r="I5" s="4" t="str">
        <f>IFERROR(__xludf.DUMMYFUNCTION("""COMPUTED_VALUE"""),"x")</f>
        <v>x</v>
      </c>
      <c r="J5" s="4" t="str">
        <f>IFERROR(__xludf.DUMMYFUNCTION("""COMPUTED_VALUE"""),"x")</f>
        <v>x</v>
      </c>
      <c r="K5" s="4" t="str">
        <f>IFERROR(__xludf.DUMMYFUNCTION("""COMPUTED_VALUE"""),"x")</f>
        <v>x</v>
      </c>
      <c r="L5" s="7"/>
      <c r="M5" s="4"/>
      <c r="N5" s="7"/>
      <c r="O5" s="7"/>
      <c r="P5" s="7" t="str">
        <f>IFERROR(__xludf.DUMMYFUNCTION("""COMPUTED_VALUE"""),"x")</f>
        <v>x</v>
      </c>
      <c r="Q5" s="4"/>
      <c r="R5" s="7"/>
      <c r="S5" s="7"/>
      <c r="T5" s="7"/>
      <c r="U5" s="7"/>
      <c r="V5" s="7"/>
      <c r="W5" s="7"/>
      <c r="X5" s="7"/>
      <c r="Y5" s="7"/>
    </row>
    <row r="6">
      <c r="A6" s="4" t="str">
        <f>IFERROR(__xludf.DUMMYFUNCTION("""COMPUTED_VALUE"""),"Adventuring Gear")</f>
        <v>Adventuring Gear</v>
      </c>
      <c r="B6" s="4" t="str">
        <f>IFERROR(__xludf.DUMMYFUNCTION("""COMPUTED_VALUE"""),"-")</f>
        <v>-</v>
      </c>
      <c r="C6" s="4" t="str">
        <f>IFERROR(__xludf.DUMMYFUNCTION("""COMPUTED_VALUE"""),"Candle")</f>
        <v>Candle</v>
      </c>
      <c r="D6" s="5" t="str">
        <f>IFERROR(__xludf.DUMMYFUNCTION("""COMPUTED_VALUE"""),"-")</f>
        <v>-</v>
      </c>
      <c r="E6" s="6">
        <f>IFERROR(__xludf.DUMMYFUNCTION("""COMPUTED_VALUE"""),0.01)</f>
        <v>0.01</v>
      </c>
      <c r="F6" s="6">
        <f>IFERROR(__xludf.DUMMYFUNCTION("""COMPUTED_VALUE"""),0.0075)</f>
        <v>0.0075</v>
      </c>
      <c r="G6" s="6">
        <f>IFERROR(__xludf.DUMMYFUNCTION("""COMPUTED_VALUE"""),0.015)</f>
        <v>0.015</v>
      </c>
      <c r="H6" s="4" t="str">
        <f>IFERROR(__xludf.DUMMYFUNCTION("""COMPUTED_VALUE"""),"PHB 2024")</f>
        <v>PHB 2024</v>
      </c>
      <c r="I6" s="4" t="str">
        <f>IFERROR(__xludf.DUMMYFUNCTION("""COMPUTED_VALUE"""),"x")</f>
        <v>x</v>
      </c>
      <c r="J6" s="4" t="str">
        <f>IFERROR(__xludf.DUMMYFUNCTION("""COMPUTED_VALUE"""),"x")</f>
        <v>x</v>
      </c>
      <c r="K6" s="4" t="str">
        <f>IFERROR(__xludf.DUMMYFUNCTION("""COMPUTED_VALUE"""),"x")</f>
        <v>x</v>
      </c>
      <c r="L6" s="7"/>
      <c r="M6" s="7"/>
      <c r="N6" s="7"/>
      <c r="O6" s="7" t="str">
        <f>IFERROR(__xludf.DUMMYFUNCTION("""COMPUTED_VALUE"""),"x")</f>
        <v>x</v>
      </c>
      <c r="P6" s="7" t="str">
        <f>IFERROR(__xludf.DUMMYFUNCTION("""COMPUTED_VALUE"""),"x")</f>
        <v>x</v>
      </c>
      <c r="Q6" s="7" t="str">
        <f>IFERROR(__xludf.DUMMYFUNCTION("""COMPUTED_VALUE"""),"x")</f>
        <v>x</v>
      </c>
      <c r="R6" s="7"/>
      <c r="S6" s="7"/>
      <c r="T6" s="7"/>
      <c r="U6" s="7" t="str">
        <f>IFERROR(__xludf.DUMMYFUNCTION("""COMPUTED_VALUE"""),"x")</f>
        <v>x</v>
      </c>
      <c r="V6" s="7"/>
      <c r="W6" s="4"/>
      <c r="X6" s="4"/>
      <c r="Y6" s="4"/>
    </row>
    <row r="7">
      <c r="A7" s="4" t="str">
        <f>IFERROR(__xludf.DUMMYFUNCTION("""COMPUTED_VALUE"""),"Adventuring Gear")</f>
        <v>Adventuring Gear</v>
      </c>
      <c r="B7" s="4" t="str">
        <f>IFERROR(__xludf.DUMMYFUNCTION("""COMPUTED_VALUE"""),"-")</f>
        <v>-</v>
      </c>
      <c r="C7" s="8" t="str">
        <f>IFERROR(__xludf.DUMMYFUNCTION("""COMPUTED_VALUE"""),"Chest")</f>
        <v>Chest</v>
      </c>
      <c r="D7" s="5">
        <f>IFERROR(__xludf.DUMMYFUNCTION("""COMPUTED_VALUE"""),25.0)</f>
        <v>25</v>
      </c>
      <c r="E7" s="6">
        <f>IFERROR(__xludf.DUMMYFUNCTION("""COMPUTED_VALUE"""),5.0)</f>
        <v>5</v>
      </c>
      <c r="F7" s="6">
        <f>IFERROR(__xludf.DUMMYFUNCTION("""COMPUTED_VALUE"""),3.75)</f>
        <v>3.75</v>
      </c>
      <c r="G7" s="6">
        <f>IFERROR(__xludf.DUMMYFUNCTION("""COMPUTED_VALUE"""),7.5)</f>
        <v>7.5</v>
      </c>
      <c r="H7" s="4" t="str">
        <f>IFERROR(__xludf.DUMMYFUNCTION("""COMPUTED_VALUE"""),"PHB 2024")</f>
        <v>PHB 2024</v>
      </c>
      <c r="I7" s="4"/>
      <c r="J7" s="4" t="str">
        <f>IFERROR(__xludf.DUMMYFUNCTION("""COMPUTED_VALUE"""),"x")</f>
        <v>x</v>
      </c>
      <c r="K7" s="4" t="str">
        <f>IFERROR(__xludf.DUMMYFUNCTION("""COMPUTED_VALUE"""),"x")</f>
        <v>x</v>
      </c>
      <c r="L7" s="7"/>
      <c r="M7" s="7"/>
      <c r="N7" s="7"/>
      <c r="O7" s="7"/>
      <c r="P7" s="7" t="str">
        <f>IFERROR(__xludf.DUMMYFUNCTION("""COMPUTED_VALUE"""),"x")</f>
        <v>x</v>
      </c>
      <c r="Q7" s="4" t="str">
        <f>IFERROR(__xludf.DUMMYFUNCTION("""COMPUTED_VALUE"""),"x")</f>
        <v>x</v>
      </c>
      <c r="R7" s="7"/>
      <c r="S7" s="7"/>
      <c r="T7" s="7"/>
      <c r="U7" s="7"/>
      <c r="V7" s="7"/>
      <c r="W7" s="7"/>
      <c r="X7" s="7"/>
      <c r="Y7" s="7"/>
    </row>
    <row r="8">
      <c r="A8" s="4" t="str">
        <f>IFERROR(__xludf.DUMMYFUNCTION("""COMPUTED_VALUE"""),"Adventuring Gear")</f>
        <v>Adventuring Gear</v>
      </c>
      <c r="B8" s="4" t="str">
        <f>IFERROR(__xludf.DUMMYFUNCTION("""COMPUTED_VALUE"""),"-")</f>
        <v>-</v>
      </c>
      <c r="C8" s="8" t="str">
        <f>IFERROR(__xludf.DUMMYFUNCTION("""COMPUTED_VALUE"""),"Clothes, Fine")</f>
        <v>Clothes, Fine</v>
      </c>
      <c r="D8" s="5">
        <f>IFERROR(__xludf.DUMMYFUNCTION("""COMPUTED_VALUE"""),6.0)</f>
        <v>6</v>
      </c>
      <c r="E8" s="6">
        <f>IFERROR(__xludf.DUMMYFUNCTION("""COMPUTED_VALUE"""),15.0)</f>
        <v>15</v>
      </c>
      <c r="F8" s="6">
        <f>IFERROR(__xludf.DUMMYFUNCTION("""COMPUTED_VALUE"""),11.25)</f>
        <v>11.25</v>
      </c>
      <c r="G8" s="6">
        <f>IFERROR(__xludf.DUMMYFUNCTION("""COMPUTED_VALUE"""),22.5)</f>
        <v>22.5</v>
      </c>
      <c r="H8" s="4" t="str">
        <f>IFERROR(__xludf.DUMMYFUNCTION("""COMPUTED_VALUE"""),"PHB 2024")</f>
        <v>PHB 2024</v>
      </c>
      <c r="I8" s="4"/>
      <c r="J8" s="4" t="str">
        <f>IFERROR(__xludf.DUMMYFUNCTION("""COMPUTED_VALUE"""),"x")</f>
        <v>x</v>
      </c>
      <c r="K8" s="4" t="str">
        <f>IFERROR(__xludf.DUMMYFUNCTION("""COMPUTED_VALUE"""),"x")</f>
        <v>x</v>
      </c>
      <c r="L8" s="7"/>
      <c r="M8" s="7"/>
      <c r="N8" s="7"/>
      <c r="O8" s="7"/>
      <c r="P8" s="7" t="str">
        <f>IFERROR(__xludf.DUMMYFUNCTION("""COMPUTED_VALUE"""),"x")</f>
        <v>x</v>
      </c>
      <c r="Q8" s="4"/>
      <c r="R8" s="7" t="str">
        <f>IFERROR(__xludf.DUMMYFUNCTION("""COMPUTED_VALUE"""),"x")</f>
        <v>x</v>
      </c>
      <c r="S8" s="7"/>
      <c r="T8" s="7"/>
      <c r="U8" s="7"/>
      <c r="V8" s="7"/>
      <c r="W8" s="7"/>
      <c r="X8" s="7"/>
      <c r="Y8" s="7"/>
    </row>
    <row r="9">
      <c r="A9" s="4" t="str">
        <f>IFERROR(__xludf.DUMMYFUNCTION("""COMPUTED_VALUE"""),"Adventuring Gear")</f>
        <v>Adventuring Gear</v>
      </c>
      <c r="B9" s="4" t="str">
        <f>IFERROR(__xludf.DUMMYFUNCTION("""COMPUTED_VALUE"""),"-")</f>
        <v>-</v>
      </c>
      <c r="C9" s="8" t="str">
        <f>IFERROR(__xludf.DUMMYFUNCTION("""COMPUTED_VALUE"""),"Flask")</f>
        <v>Flask</v>
      </c>
      <c r="D9" s="5">
        <f>IFERROR(__xludf.DUMMYFUNCTION("""COMPUTED_VALUE"""),1.0)</f>
        <v>1</v>
      </c>
      <c r="E9" s="6">
        <f>IFERROR(__xludf.DUMMYFUNCTION("""COMPUTED_VALUE"""),0.02)</f>
        <v>0.02</v>
      </c>
      <c r="F9" s="6">
        <f>IFERROR(__xludf.DUMMYFUNCTION("""COMPUTED_VALUE"""),0.015)</f>
        <v>0.015</v>
      </c>
      <c r="G9" s="6">
        <f>IFERROR(__xludf.DUMMYFUNCTION("""COMPUTED_VALUE"""),0.03)</f>
        <v>0.03</v>
      </c>
      <c r="H9" s="4" t="str">
        <f>IFERROR(__xludf.DUMMYFUNCTION("""COMPUTED_VALUE"""),"PHB 2024")</f>
        <v>PHB 2024</v>
      </c>
      <c r="I9" s="4" t="str">
        <f>IFERROR(__xludf.DUMMYFUNCTION("""COMPUTED_VALUE"""),"x")</f>
        <v>x</v>
      </c>
      <c r="J9" s="4" t="str">
        <f>IFERROR(__xludf.DUMMYFUNCTION("""COMPUTED_VALUE"""),"x")</f>
        <v>x</v>
      </c>
      <c r="K9" s="4" t="str">
        <f>IFERROR(__xludf.DUMMYFUNCTION("""COMPUTED_VALUE"""),"x")</f>
        <v>x</v>
      </c>
      <c r="L9" s="7"/>
      <c r="M9" s="7"/>
      <c r="N9" s="7"/>
      <c r="O9" s="7" t="str">
        <f>IFERROR(__xludf.DUMMYFUNCTION("""COMPUTED_VALUE"""),"x")</f>
        <v>x</v>
      </c>
      <c r="P9" s="7" t="str">
        <f>IFERROR(__xludf.DUMMYFUNCTION("""COMPUTED_VALUE"""),"x")</f>
        <v>x</v>
      </c>
      <c r="Q9" s="7" t="str">
        <f>IFERROR(__xludf.DUMMYFUNCTION("""COMPUTED_VALUE"""),"x")</f>
        <v>x</v>
      </c>
      <c r="R9" s="7"/>
      <c r="S9" s="7"/>
      <c r="T9" s="4" t="str">
        <f>IFERROR(__xludf.DUMMYFUNCTION("""COMPUTED_VALUE"""),"x")</f>
        <v>x</v>
      </c>
      <c r="U9" s="7"/>
      <c r="V9" s="7"/>
      <c r="W9" s="7"/>
      <c r="X9" s="7"/>
      <c r="Y9" s="7"/>
    </row>
    <row r="10">
      <c r="A10" s="4" t="str">
        <f>IFERROR(__xludf.DUMMYFUNCTION("""COMPUTED_VALUE"""),"Adventuring Gear")</f>
        <v>Adventuring Gear</v>
      </c>
      <c r="B10" s="4" t="str">
        <f>IFERROR(__xludf.DUMMYFUNCTION("""COMPUTED_VALUE"""),"-")</f>
        <v>-</v>
      </c>
      <c r="C10" s="8" t="str">
        <f>IFERROR(__xludf.DUMMYFUNCTION("""COMPUTED_VALUE"""),"Ink")</f>
        <v>Ink</v>
      </c>
      <c r="D10" s="5" t="str">
        <f>IFERROR(__xludf.DUMMYFUNCTION("""COMPUTED_VALUE"""),"-")</f>
        <v>-</v>
      </c>
      <c r="E10" s="6">
        <f>IFERROR(__xludf.DUMMYFUNCTION("""COMPUTED_VALUE"""),10.0)</f>
        <v>10</v>
      </c>
      <c r="F10" s="6">
        <f>IFERROR(__xludf.DUMMYFUNCTION("""COMPUTED_VALUE"""),7.5)</f>
        <v>7.5</v>
      </c>
      <c r="G10" s="6">
        <f>IFERROR(__xludf.DUMMYFUNCTION("""COMPUTED_VALUE"""),15.0)</f>
        <v>15</v>
      </c>
      <c r="H10" s="4" t="str">
        <f>IFERROR(__xludf.DUMMYFUNCTION("""COMPUTED_VALUE"""),"PHB 2024")</f>
        <v>PHB 2024</v>
      </c>
      <c r="I10" s="4" t="str">
        <f>IFERROR(__xludf.DUMMYFUNCTION("""COMPUTED_VALUE"""),"x")</f>
        <v>x</v>
      </c>
      <c r="J10" s="4" t="str">
        <f>IFERROR(__xludf.DUMMYFUNCTION("""COMPUTED_VALUE"""),"x")</f>
        <v>x</v>
      </c>
      <c r="K10" s="4" t="str">
        <f>IFERROR(__xludf.DUMMYFUNCTION("""COMPUTED_VALUE"""),"x")</f>
        <v>x</v>
      </c>
      <c r="L10" s="7"/>
      <c r="M10" s="7"/>
      <c r="N10" s="7"/>
      <c r="O10" s="7" t="str">
        <f>IFERROR(__xludf.DUMMYFUNCTION("""COMPUTED_VALUE"""),"x")</f>
        <v>x</v>
      </c>
      <c r="P10" s="7" t="str">
        <f>IFERROR(__xludf.DUMMYFUNCTION("""COMPUTED_VALUE"""),"x")</f>
        <v>x</v>
      </c>
      <c r="Q10" s="7" t="str">
        <f>IFERROR(__xludf.DUMMYFUNCTION("""COMPUTED_VALUE"""),"x")</f>
        <v>x</v>
      </c>
      <c r="R10" s="7"/>
      <c r="S10" s="4"/>
      <c r="T10" s="7"/>
      <c r="U10" s="4" t="str">
        <f>IFERROR(__xludf.DUMMYFUNCTION("""COMPUTED_VALUE"""),"x")</f>
        <v>x</v>
      </c>
      <c r="V10" s="7"/>
      <c r="W10" s="7" t="str">
        <f>IFERROR(__xludf.DUMMYFUNCTION("""COMPUTED_VALUE"""),"x")</f>
        <v>x</v>
      </c>
      <c r="X10" s="7"/>
      <c r="Y10" s="7"/>
    </row>
    <row r="11">
      <c r="A11" s="4" t="str">
        <f>IFERROR(__xludf.DUMMYFUNCTION("""COMPUTED_VALUE"""),"Adventuring Gear")</f>
        <v>Adventuring Gear</v>
      </c>
      <c r="B11" s="4" t="str">
        <f>IFERROR(__xludf.DUMMYFUNCTION("""COMPUTED_VALUE"""),"-")</f>
        <v>-</v>
      </c>
      <c r="C11" s="8" t="str">
        <f>IFERROR(__xludf.DUMMYFUNCTION("""COMPUTED_VALUE"""),"Ink Pen")</f>
        <v>Ink Pen</v>
      </c>
      <c r="D11" s="5" t="str">
        <f>IFERROR(__xludf.DUMMYFUNCTION("""COMPUTED_VALUE"""),"-")</f>
        <v>-</v>
      </c>
      <c r="E11" s="6">
        <f>IFERROR(__xludf.DUMMYFUNCTION("""COMPUTED_VALUE"""),0.02)</f>
        <v>0.02</v>
      </c>
      <c r="F11" s="6">
        <f>IFERROR(__xludf.DUMMYFUNCTION("""COMPUTED_VALUE"""),0.015)</f>
        <v>0.015</v>
      </c>
      <c r="G11" s="6">
        <f>IFERROR(__xludf.DUMMYFUNCTION("""COMPUTED_VALUE"""),0.03)</f>
        <v>0.03</v>
      </c>
      <c r="H11" s="4" t="str">
        <f>IFERROR(__xludf.DUMMYFUNCTION("""COMPUTED_VALUE"""),"PHB 2024")</f>
        <v>PHB 2024</v>
      </c>
      <c r="I11" s="4"/>
      <c r="J11" s="4" t="str">
        <f>IFERROR(__xludf.DUMMYFUNCTION("""COMPUTED_VALUE"""),"x")</f>
        <v>x</v>
      </c>
      <c r="K11" s="4" t="str">
        <f>IFERROR(__xludf.DUMMYFUNCTION("""COMPUTED_VALUE"""),"x")</f>
        <v>x</v>
      </c>
      <c r="L11" s="7"/>
      <c r="M11" s="7"/>
      <c r="N11" s="7"/>
      <c r="O11" s="7" t="str">
        <f>IFERROR(__xludf.DUMMYFUNCTION("""COMPUTED_VALUE"""),"x")</f>
        <v>x</v>
      </c>
      <c r="P11" s="7" t="str">
        <f>IFERROR(__xludf.DUMMYFUNCTION("""COMPUTED_VALUE"""),"x")</f>
        <v>x</v>
      </c>
      <c r="Q11" s="7" t="str">
        <f>IFERROR(__xludf.DUMMYFUNCTION("""COMPUTED_VALUE"""),"x")</f>
        <v>x</v>
      </c>
      <c r="R11" s="7"/>
      <c r="S11" s="4"/>
      <c r="T11" s="7"/>
      <c r="U11" s="4" t="str">
        <f>IFERROR(__xludf.DUMMYFUNCTION("""COMPUTED_VALUE"""),"x")</f>
        <v>x</v>
      </c>
      <c r="V11" s="7"/>
      <c r="W11" s="7" t="str">
        <f>IFERROR(__xludf.DUMMYFUNCTION("""COMPUTED_VALUE"""),"x")</f>
        <v>x</v>
      </c>
      <c r="X11" s="7"/>
      <c r="Y11" s="7"/>
    </row>
    <row r="12">
      <c r="A12" s="4" t="str">
        <f>IFERROR(__xludf.DUMMYFUNCTION("""COMPUTED_VALUE"""),"Adventuring Gear")</f>
        <v>Adventuring Gear</v>
      </c>
      <c r="B12" s="4" t="str">
        <f>IFERROR(__xludf.DUMMYFUNCTION("""COMPUTED_VALUE"""),"-")</f>
        <v>-</v>
      </c>
      <c r="C12" s="8" t="str">
        <f>IFERROR(__xludf.DUMMYFUNCTION("""COMPUTED_VALUE"""),"Jug")</f>
        <v>Jug</v>
      </c>
      <c r="D12" s="5">
        <f>IFERROR(__xludf.DUMMYFUNCTION("""COMPUTED_VALUE"""),4.0)</f>
        <v>4</v>
      </c>
      <c r="E12" s="6">
        <f>IFERROR(__xludf.DUMMYFUNCTION("""COMPUTED_VALUE"""),0.02)</f>
        <v>0.02</v>
      </c>
      <c r="F12" s="6">
        <f>IFERROR(__xludf.DUMMYFUNCTION("""COMPUTED_VALUE"""),0.015)</f>
        <v>0.015</v>
      </c>
      <c r="G12" s="6">
        <f>IFERROR(__xludf.DUMMYFUNCTION("""COMPUTED_VALUE"""),0.03)</f>
        <v>0.03</v>
      </c>
      <c r="H12" s="4" t="str">
        <f>IFERROR(__xludf.DUMMYFUNCTION("""COMPUTED_VALUE"""),"PHB 2024")</f>
        <v>PHB 2024</v>
      </c>
      <c r="I12" s="4" t="str">
        <f>IFERROR(__xludf.DUMMYFUNCTION("""COMPUTED_VALUE"""),"x")</f>
        <v>x</v>
      </c>
      <c r="J12" s="4" t="str">
        <f>IFERROR(__xludf.DUMMYFUNCTION("""COMPUTED_VALUE"""),"x")</f>
        <v>x</v>
      </c>
      <c r="K12" s="4" t="str">
        <f>IFERROR(__xludf.DUMMYFUNCTION("""COMPUTED_VALUE"""),"x")</f>
        <v>x</v>
      </c>
      <c r="L12" s="7"/>
      <c r="M12" s="7"/>
      <c r="N12" s="7"/>
      <c r="O12" s="7"/>
      <c r="P12" s="7" t="str">
        <f>IFERROR(__xludf.DUMMYFUNCTION("""COMPUTED_VALUE"""),"x")</f>
        <v>x</v>
      </c>
      <c r="Q12" s="7" t="str">
        <f>IFERROR(__xludf.DUMMYFUNCTION("""COMPUTED_VALUE"""),"x")</f>
        <v>x</v>
      </c>
      <c r="R12" s="7"/>
      <c r="S12" s="7"/>
      <c r="T12" s="7"/>
      <c r="U12" s="4"/>
      <c r="V12" s="7"/>
      <c r="W12" s="7"/>
      <c r="X12" s="7"/>
      <c r="Y12" s="7"/>
    </row>
    <row r="13">
      <c r="A13" s="4" t="str">
        <f>IFERROR(__xludf.DUMMYFUNCTION("""COMPUTED_VALUE"""),"Adventuring Gear")</f>
        <v>Adventuring Gear</v>
      </c>
      <c r="B13" s="4" t="str">
        <f>IFERROR(__xludf.DUMMYFUNCTION("""COMPUTED_VALUE"""),"-")</f>
        <v>-</v>
      </c>
      <c r="C13" s="8" t="str">
        <f>IFERROR(__xludf.DUMMYFUNCTION("""COMPUTED_VALUE"""),"Ladder (10 feet)")</f>
        <v>Ladder (10 feet)</v>
      </c>
      <c r="D13" s="5">
        <f>IFERROR(__xludf.DUMMYFUNCTION("""COMPUTED_VALUE"""),25.0)</f>
        <v>25</v>
      </c>
      <c r="E13" s="6">
        <f>IFERROR(__xludf.DUMMYFUNCTION("""COMPUTED_VALUE"""),0.1)</f>
        <v>0.1</v>
      </c>
      <c r="F13" s="6">
        <f>IFERROR(__xludf.DUMMYFUNCTION("""COMPUTED_VALUE"""),0.07500000000000001)</f>
        <v>0.075</v>
      </c>
      <c r="G13" s="6">
        <f>IFERROR(__xludf.DUMMYFUNCTION("""COMPUTED_VALUE"""),0.15000000000000002)</f>
        <v>0.15</v>
      </c>
      <c r="H13" s="4" t="str">
        <f>IFERROR(__xludf.DUMMYFUNCTION("""COMPUTED_VALUE"""),"PHB 2024")</f>
        <v>PHB 2024</v>
      </c>
      <c r="I13" s="4"/>
      <c r="J13" s="4" t="str">
        <f>IFERROR(__xludf.DUMMYFUNCTION("""COMPUTED_VALUE"""),"x")</f>
        <v>x</v>
      </c>
      <c r="K13" s="4" t="str">
        <f>IFERROR(__xludf.DUMMYFUNCTION("""COMPUTED_VALUE"""),"x")</f>
        <v>x</v>
      </c>
      <c r="L13" s="7"/>
      <c r="M13" s="7"/>
      <c r="N13" s="7"/>
      <c r="O13" s="7"/>
      <c r="P13" s="7" t="str">
        <f>IFERROR(__xludf.DUMMYFUNCTION("""COMPUTED_VALUE"""),"x")</f>
        <v>x</v>
      </c>
      <c r="Q13" s="7" t="str">
        <f>IFERROR(__xludf.DUMMYFUNCTION("""COMPUTED_VALUE"""),"x")</f>
        <v>x</v>
      </c>
      <c r="R13" s="7"/>
      <c r="S13" s="7"/>
      <c r="T13" s="7"/>
      <c r="U13" s="4"/>
      <c r="V13" s="7"/>
      <c r="W13" s="7"/>
      <c r="X13" s="7"/>
      <c r="Y13" s="7"/>
    </row>
    <row r="14">
      <c r="A14" s="4" t="str">
        <f>IFERROR(__xludf.DUMMYFUNCTION("""COMPUTED_VALUE"""),"Adventuring Gear")</f>
        <v>Adventuring Gear</v>
      </c>
      <c r="B14" s="4" t="str">
        <f>IFERROR(__xludf.DUMMYFUNCTION("""COMPUTED_VALUE"""),"-")</f>
        <v>-</v>
      </c>
      <c r="C14" s="8" t="str">
        <f>IFERROR(__xludf.DUMMYFUNCTION("""COMPUTED_VALUE"""),"Lamp")</f>
        <v>Lamp</v>
      </c>
      <c r="D14" s="5">
        <f>IFERROR(__xludf.DUMMYFUNCTION("""COMPUTED_VALUE"""),1.0)</f>
        <v>1</v>
      </c>
      <c r="E14" s="6">
        <f>IFERROR(__xludf.DUMMYFUNCTION("""COMPUTED_VALUE"""),0.5)</f>
        <v>0.5</v>
      </c>
      <c r="F14" s="6">
        <f>IFERROR(__xludf.DUMMYFUNCTION("""COMPUTED_VALUE"""),0.375)</f>
        <v>0.375</v>
      </c>
      <c r="G14" s="6">
        <f>IFERROR(__xludf.DUMMYFUNCTION("""COMPUTED_VALUE"""),0.75)</f>
        <v>0.75</v>
      </c>
      <c r="H14" s="4" t="str">
        <f>IFERROR(__xludf.DUMMYFUNCTION("""COMPUTED_VALUE"""),"PHB 2024")</f>
        <v>PHB 2024</v>
      </c>
      <c r="I14" s="4"/>
      <c r="J14" s="4" t="str">
        <f>IFERROR(__xludf.DUMMYFUNCTION("""COMPUTED_VALUE"""),"x")</f>
        <v>x</v>
      </c>
      <c r="K14" s="4" t="str">
        <f>IFERROR(__xludf.DUMMYFUNCTION("""COMPUTED_VALUE"""),"x")</f>
        <v>x</v>
      </c>
      <c r="L14" s="7" t="str">
        <f>IFERROR(__xludf.DUMMYFUNCTION("""COMPUTED_VALUE"""),"x")</f>
        <v>x</v>
      </c>
      <c r="M14" s="7"/>
      <c r="N14" s="7"/>
      <c r="O14" s="7" t="str">
        <f>IFERROR(__xludf.DUMMYFUNCTION("""COMPUTED_VALUE"""),"x")</f>
        <v>x</v>
      </c>
      <c r="P14" s="7" t="str">
        <f>IFERROR(__xludf.DUMMYFUNCTION("""COMPUTED_VALUE"""),"x")</f>
        <v>x</v>
      </c>
      <c r="Q14" s="7"/>
      <c r="R14" s="7"/>
      <c r="S14" s="7"/>
      <c r="T14" s="7"/>
      <c r="U14" s="4"/>
      <c r="V14" s="7"/>
      <c r="W14" s="7"/>
      <c r="X14" s="7"/>
      <c r="Y14" s="7"/>
    </row>
    <row r="15">
      <c r="A15" s="4" t="str">
        <f>IFERROR(__xludf.DUMMYFUNCTION("""COMPUTED_VALUE"""),"Adventuring Gear")</f>
        <v>Adventuring Gear</v>
      </c>
      <c r="B15" s="4" t="str">
        <f>IFERROR(__xludf.DUMMYFUNCTION("""COMPUTED_VALUE"""),"-")</f>
        <v>-</v>
      </c>
      <c r="C15" s="8" t="str">
        <f>IFERROR(__xludf.DUMMYFUNCTION("""COMPUTED_VALUE"""),"Lantern, Hooded")</f>
        <v>Lantern, Hooded</v>
      </c>
      <c r="D15" s="5">
        <f>IFERROR(__xludf.DUMMYFUNCTION("""COMPUTED_VALUE"""),2.0)</f>
        <v>2</v>
      </c>
      <c r="E15" s="6">
        <f>IFERROR(__xludf.DUMMYFUNCTION("""COMPUTED_VALUE"""),5.0)</f>
        <v>5</v>
      </c>
      <c r="F15" s="6">
        <f>IFERROR(__xludf.DUMMYFUNCTION("""COMPUTED_VALUE"""),3.75)</f>
        <v>3.75</v>
      </c>
      <c r="G15" s="6">
        <f>IFERROR(__xludf.DUMMYFUNCTION("""COMPUTED_VALUE"""),7.5)</f>
        <v>7.5</v>
      </c>
      <c r="H15" s="4" t="str">
        <f>IFERROR(__xludf.DUMMYFUNCTION("""COMPUTED_VALUE"""),"PHB 2024")</f>
        <v>PHB 2024</v>
      </c>
      <c r="I15" s="4"/>
      <c r="J15" s="4" t="str">
        <f>IFERROR(__xludf.DUMMYFUNCTION("""COMPUTED_VALUE"""),"x")</f>
        <v>x</v>
      </c>
      <c r="K15" s="4" t="str">
        <f>IFERROR(__xludf.DUMMYFUNCTION("""COMPUTED_VALUE"""),"x")</f>
        <v>x</v>
      </c>
      <c r="L15" s="7" t="str">
        <f>IFERROR(__xludf.DUMMYFUNCTION("""COMPUTED_VALUE"""),"x")</f>
        <v>x</v>
      </c>
      <c r="M15" s="7"/>
      <c r="N15" s="7"/>
      <c r="O15" s="7" t="str">
        <f>IFERROR(__xludf.DUMMYFUNCTION("""COMPUTED_VALUE"""),"x")</f>
        <v>x</v>
      </c>
      <c r="P15" s="7" t="str">
        <f>IFERROR(__xludf.DUMMYFUNCTION("""COMPUTED_VALUE"""),"x")</f>
        <v>x</v>
      </c>
      <c r="Q15" s="4" t="str">
        <f>IFERROR(__xludf.DUMMYFUNCTION("""COMPUTED_VALUE"""),"x")</f>
        <v>x</v>
      </c>
      <c r="R15" s="7"/>
      <c r="S15" s="7"/>
      <c r="T15" s="7"/>
      <c r="U15" s="7"/>
      <c r="V15" s="7"/>
      <c r="W15" s="7"/>
      <c r="X15" s="7"/>
      <c r="Y15" s="7"/>
    </row>
    <row r="16">
      <c r="A16" s="4" t="str">
        <f>IFERROR(__xludf.DUMMYFUNCTION("""COMPUTED_VALUE"""),"Adventuring Gear")</f>
        <v>Adventuring Gear</v>
      </c>
      <c r="B16" s="4" t="str">
        <f>IFERROR(__xludf.DUMMYFUNCTION("""COMPUTED_VALUE"""),"-")</f>
        <v>-</v>
      </c>
      <c r="C16" s="8" t="str">
        <f>IFERROR(__xludf.DUMMYFUNCTION("""COMPUTED_VALUE"""),"Lock")</f>
        <v>Lock</v>
      </c>
      <c r="D16" s="5">
        <f>IFERROR(__xludf.DUMMYFUNCTION("""COMPUTED_VALUE"""),1.0)</f>
        <v>1</v>
      </c>
      <c r="E16" s="6">
        <f>IFERROR(__xludf.DUMMYFUNCTION("""COMPUTED_VALUE"""),10.0)</f>
        <v>10</v>
      </c>
      <c r="F16" s="6">
        <f>IFERROR(__xludf.DUMMYFUNCTION("""COMPUTED_VALUE"""),7.5)</f>
        <v>7.5</v>
      </c>
      <c r="G16" s="6">
        <f>IFERROR(__xludf.DUMMYFUNCTION("""COMPUTED_VALUE"""),15.0)</f>
        <v>15</v>
      </c>
      <c r="H16" s="4" t="str">
        <f>IFERROR(__xludf.DUMMYFUNCTION("""COMPUTED_VALUE"""),"PHB 2024")</f>
        <v>PHB 2024</v>
      </c>
      <c r="I16" s="4"/>
      <c r="J16" s="4"/>
      <c r="K16" s="4" t="str">
        <f>IFERROR(__xludf.DUMMYFUNCTION("""COMPUTED_VALUE"""),"x")</f>
        <v>x</v>
      </c>
      <c r="L16" s="4" t="str">
        <f>IFERROR(__xludf.DUMMYFUNCTION("""COMPUTED_VALUE"""),"x")</f>
        <v>x</v>
      </c>
      <c r="M16" s="7"/>
      <c r="N16" s="7"/>
      <c r="O16" s="7"/>
      <c r="P16" s="7" t="str">
        <f>IFERROR(__xludf.DUMMYFUNCTION("""COMPUTED_VALUE"""),"x")</f>
        <v>x</v>
      </c>
      <c r="Q16" s="7" t="str">
        <f>IFERROR(__xludf.DUMMYFUNCTION("""COMPUTED_VALUE"""),"x")</f>
        <v>x</v>
      </c>
      <c r="R16" s="7"/>
      <c r="S16" s="7"/>
      <c r="T16" s="7"/>
      <c r="U16" s="7"/>
      <c r="V16" s="7"/>
      <c r="W16" s="7" t="str">
        <f>IFERROR(__xludf.DUMMYFUNCTION("""COMPUTED_VALUE"""),"x")</f>
        <v>x</v>
      </c>
      <c r="X16" s="7"/>
      <c r="Y16" s="7"/>
    </row>
    <row r="17">
      <c r="A17" s="4" t="str">
        <f>IFERROR(__xludf.DUMMYFUNCTION("""COMPUTED_VALUE"""),"Adventuring Gear")</f>
        <v>Adventuring Gear</v>
      </c>
      <c r="B17" s="4" t="str">
        <f>IFERROR(__xludf.DUMMYFUNCTION("""COMPUTED_VALUE"""),"-")</f>
        <v>-</v>
      </c>
      <c r="C17" s="8" t="str">
        <f>IFERROR(__xludf.DUMMYFUNCTION("""COMPUTED_VALUE"""),"Mirror")</f>
        <v>Mirror</v>
      </c>
      <c r="D17" s="5">
        <f>IFERROR(__xludf.DUMMYFUNCTION("""COMPUTED_VALUE"""),0.5)</f>
        <v>0.5</v>
      </c>
      <c r="E17" s="6">
        <f>IFERROR(__xludf.DUMMYFUNCTION("""COMPUTED_VALUE"""),5.0)</f>
        <v>5</v>
      </c>
      <c r="F17" s="6">
        <f>IFERROR(__xludf.DUMMYFUNCTION("""COMPUTED_VALUE"""),3.75)</f>
        <v>3.75</v>
      </c>
      <c r="G17" s="6">
        <f>IFERROR(__xludf.DUMMYFUNCTION("""COMPUTED_VALUE"""),7.5)</f>
        <v>7.5</v>
      </c>
      <c r="H17" s="4" t="str">
        <f>IFERROR(__xludf.DUMMYFUNCTION("""COMPUTED_VALUE"""),"PHB 2024")</f>
        <v>PHB 2024</v>
      </c>
      <c r="I17" s="4"/>
      <c r="J17" s="4"/>
      <c r="K17" s="4" t="str">
        <f>IFERROR(__xludf.DUMMYFUNCTION("""COMPUTED_VALUE"""),"x")</f>
        <v>x</v>
      </c>
      <c r="L17" s="7"/>
      <c r="M17" s="7"/>
      <c r="N17" s="7"/>
      <c r="O17" s="7"/>
      <c r="P17" s="4" t="str">
        <f>IFERROR(__xludf.DUMMYFUNCTION("""COMPUTED_VALUE"""),"x")</f>
        <v>x</v>
      </c>
      <c r="Q17" s="7" t="str">
        <f>IFERROR(__xludf.DUMMYFUNCTION("""COMPUTED_VALUE"""),"x")</f>
        <v>x</v>
      </c>
      <c r="R17" s="7"/>
      <c r="S17" s="7"/>
      <c r="T17" s="7"/>
      <c r="U17" s="7"/>
      <c r="V17" s="7"/>
      <c r="W17" s="7"/>
      <c r="X17" s="7"/>
      <c r="Y17" s="7"/>
    </row>
    <row r="18">
      <c r="A18" s="4" t="str">
        <f>IFERROR(__xludf.DUMMYFUNCTION("""COMPUTED_VALUE"""),"Adventuring Gear")</f>
        <v>Adventuring Gear</v>
      </c>
      <c r="B18" s="4" t="str">
        <f>IFERROR(__xludf.DUMMYFUNCTION("""COMPUTED_VALUE"""),"-")</f>
        <v>-</v>
      </c>
      <c r="C18" s="8" t="str">
        <f>IFERROR(__xludf.DUMMYFUNCTION("""COMPUTED_VALUE"""),"Net")</f>
        <v>Net</v>
      </c>
      <c r="D18" s="5">
        <f>IFERROR(__xludf.DUMMYFUNCTION("""COMPUTED_VALUE"""),3.0)</f>
        <v>3</v>
      </c>
      <c r="E18" s="6">
        <f>IFERROR(__xludf.DUMMYFUNCTION("""COMPUTED_VALUE"""),1.0)</f>
        <v>1</v>
      </c>
      <c r="F18" s="6">
        <f>IFERROR(__xludf.DUMMYFUNCTION("""COMPUTED_VALUE"""),0.75)</f>
        <v>0.75</v>
      </c>
      <c r="G18" s="6">
        <f>IFERROR(__xludf.DUMMYFUNCTION("""COMPUTED_VALUE"""),1.5)</f>
        <v>1.5</v>
      </c>
      <c r="H18" s="4" t="str">
        <f>IFERROR(__xludf.DUMMYFUNCTION("""COMPUTED_VALUE"""),"PHB 2024")</f>
        <v>PHB 2024</v>
      </c>
      <c r="I18" s="4"/>
      <c r="J18" s="4" t="str">
        <f>IFERROR(__xludf.DUMMYFUNCTION("""COMPUTED_VALUE"""),"x")</f>
        <v>x</v>
      </c>
      <c r="K18" s="4" t="str">
        <f>IFERROR(__xludf.DUMMYFUNCTION("""COMPUTED_VALUE"""),"x")</f>
        <v>x</v>
      </c>
      <c r="L18" s="7"/>
      <c r="M18" s="7"/>
      <c r="N18" s="7"/>
      <c r="O18" s="7"/>
      <c r="P18" s="7" t="str">
        <f>IFERROR(__xludf.DUMMYFUNCTION("""COMPUTED_VALUE"""),"x")</f>
        <v>x</v>
      </c>
      <c r="Q18" s="7"/>
      <c r="R18" s="4"/>
      <c r="S18" s="7"/>
      <c r="T18" s="7"/>
      <c r="U18" s="7"/>
      <c r="V18" s="7"/>
      <c r="W18" s="7"/>
      <c r="X18" s="7"/>
      <c r="Y18" s="7"/>
    </row>
    <row r="19">
      <c r="A19" s="4" t="str">
        <f>IFERROR(__xludf.DUMMYFUNCTION("""COMPUTED_VALUE"""),"Adventuring Gear")</f>
        <v>Adventuring Gear</v>
      </c>
      <c r="B19" s="4" t="str">
        <f>IFERROR(__xludf.DUMMYFUNCTION("""COMPUTED_VALUE"""),"-")</f>
        <v>-</v>
      </c>
      <c r="C19" s="8" t="str">
        <f>IFERROR(__xludf.DUMMYFUNCTION("""COMPUTED_VALUE"""),"Paper")</f>
        <v>Paper</v>
      </c>
      <c r="D19" s="5" t="str">
        <f>IFERROR(__xludf.DUMMYFUNCTION("""COMPUTED_VALUE"""),"-")</f>
        <v>-</v>
      </c>
      <c r="E19" s="6">
        <f>IFERROR(__xludf.DUMMYFUNCTION("""COMPUTED_VALUE"""),0.2)</f>
        <v>0.2</v>
      </c>
      <c r="F19" s="6">
        <f>IFERROR(__xludf.DUMMYFUNCTION("""COMPUTED_VALUE"""),0.15000000000000002)</f>
        <v>0.15</v>
      </c>
      <c r="G19" s="6">
        <f>IFERROR(__xludf.DUMMYFUNCTION("""COMPUTED_VALUE"""),0.30000000000000004)</f>
        <v>0.3</v>
      </c>
      <c r="H19" s="4" t="str">
        <f>IFERROR(__xludf.DUMMYFUNCTION("""COMPUTED_VALUE"""),"PHB 2024")</f>
        <v>PHB 2024</v>
      </c>
      <c r="I19" s="4"/>
      <c r="J19" s="4" t="str">
        <f>IFERROR(__xludf.DUMMYFUNCTION("""COMPUTED_VALUE"""),"x")</f>
        <v>x</v>
      </c>
      <c r="K19" s="4" t="str">
        <f>IFERROR(__xludf.DUMMYFUNCTION("""COMPUTED_VALUE"""),"x")</f>
        <v>x</v>
      </c>
      <c r="L19" s="7"/>
      <c r="M19" s="7"/>
      <c r="N19" s="7"/>
      <c r="O19" s="7" t="str">
        <f>IFERROR(__xludf.DUMMYFUNCTION("""COMPUTED_VALUE"""),"x")</f>
        <v>x</v>
      </c>
      <c r="P19" s="7" t="str">
        <f>IFERROR(__xludf.DUMMYFUNCTION("""COMPUTED_VALUE"""),"x")</f>
        <v>x</v>
      </c>
      <c r="Q19" s="4" t="str">
        <f>IFERROR(__xludf.DUMMYFUNCTION("""COMPUTED_VALUE"""),"x")</f>
        <v>x</v>
      </c>
      <c r="R19" s="7"/>
      <c r="S19" s="7"/>
      <c r="T19" s="7"/>
      <c r="U19" s="7" t="str">
        <f>IFERROR(__xludf.DUMMYFUNCTION("""COMPUTED_VALUE"""),"x")</f>
        <v>x</v>
      </c>
      <c r="V19" s="7"/>
      <c r="W19" s="7"/>
      <c r="X19" s="7"/>
      <c r="Y19" s="7"/>
    </row>
    <row r="20">
      <c r="A20" s="4" t="str">
        <f>IFERROR(__xludf.DUMMYFUNCTION("""COMPUTED_VALUE"""),"Adventuring Gear")</f>
        <v>Adventuring Gear</v>
      </c>
      <c r="B20" s="4" t="str">
        <f>IFERROR(__xludf.DUMMYFUNCTION("""COMPUTED_VALUE"""),"-")</f>
        <v>-</v>
      </c>
      <c r="C20" s="8" t="str">
        <f>IFERROR(__xludf.DUMMYFUNCTION("""COMPUTED_VALUE"""),"Parchment")</f>
        <v>Parchment</v>
      </c>
      <c r="D20" s="5" t="str">
        <f>IFERROR(__xludf.DUMMYFUNCTION("""COMPUTED_VALUE"""),"-")</f>
        <v>-</v>
      </c>
      <c r="E20" s="6">
        <f>IFERROR(__xludf.DUMMYFUNCTION("""COMPUTED_VALUE"""),0.1)</f>
        <v>0.1</v>
      </c>
      <c r="F20" s="6">
        <f>IFERROR(__xludf.DUMMYFUNCTION("""COMPUTED_VALUE"""),0.07500000000000001)</f>
        <v>0.075</v>
      </c>
      <c r="G20" s="6">
        <f>IFERROR(__xludf.DUMMYFUNCTION("""COMPUTED_VALUE"""),0.15000000000000002)</f>
        <v>0.15</v>
      </c>
      <c r="H20" s="4" t="str">
        <f>IFERROR(__xludf.DUMMYFUNCTION("""COMPUTED_VALUE"""),"PHB 2024")</f>
        <v>PHB 2024</v>
      </c>
      <c r="I20" s="4" t="str">
        <f>IFERROR(__xludf.DUMMYFUNCTION("""COMPUTED_VALUE"""),"x")</f>
        <v>x</v>
      </c>
      <c r="J20" s="4" t="str">
        <f>IFERROR(__xludf.DUMMYFUNCTION("""COMPUTED_VALUE"""),"x")</f>
        <v>x</v>
      </c>
      <c r="K20" s="4" t="str">
        <f>IFERROR(__xludf.DUMMYFUNCTION("""COMPUTED_VALUE"""),"x")</f>
        <v>x</v>
      </c>
      <c r="L20" s="4"/>
      <c r="M20" s="7"/>
      <c r="N20" s="7"/>
      <c r="O20" s="4" t="str">
        <f>IFERROR(__xludf.DUMMYFUNCTION("""COMPUTED_VALUE"""),"x")</f>
        <v>x</v>
      </c>
      <c r="P20" s="7" t="str">
        <f>IFERROR(__xludf.DUMMYFUNCTION("""COMPUTED_VALUE"""),"x")</f>
        <v>x</v>
      </c>
      <c r="Q20" s="7" t="str">
        <f>IFERROR(__xludf.DUMMYFUNCTION("""COMPUTED_VALUE"""),"x")</f>
        <v>x</v>
      </c>
      <c r="R20" s="7"/>
      <c r="S20" s="7"/>
      <c r="T20" s="7"/>
      <c r="U20" s="7" t="str">
        <f>IFERROR(__xludf.DUMMYFUNCTION("""COMPUTED_VALUE"""),"x")</f>
        <v>x</v>
      </c>
      <c r="V20" s="7"/>
      <c r="W20" s="7"/>
      <c r="X20" s="7"/>
      <c r="Y20" s="7"/>
    </row>
    <row r="21">
      <c r="A21" s="4" t="str">
        <f>IFERROR(__xludf.DUMMYFUNCTION("""COMPUTED_VALUE"""),"Adventuring Gear")</f>
        <v>Adventuring Gear</v>
      </c>
      <c r="B21" s="4" t="str">
        <f>IFERROR(__xludf.DUMMYFUNCTION("""COMPUTED_VALUE"""),"-")</f>
        <v>-</v>
      </c>
      <c r="C21" s="8" t="str">
        <f>IFERROR(__xludf.DUMMYFUNCTION("""COMPUTED_VALUE"""),"Pot, Iron")</f>
        <v>Pot, Iron</v>
      </c>
      <c r="D21" s="5">
        <f>IFERROR(__xludf.DUMMYFUNCTION("""COMPUTED_VALUE"""),10.0)</f>
        <v>10</v>
      </c>
      <c r="E21" s="6">
        <f>IFERROR(__xludf.DUMMYFUNCTION("""COMPUTED_VALUE"""),2.0)</f>
        <v>2</v>
      </c>
      <c r="F21" s="6">
        <f>IFERROR(__xludf.DUMMYFUNCTION("""COMPUTED_VALUE"""),1.5)</f>
        <v>1.5</v>
      </c>
      <c r="G21" s="6">
        <f>IFERROR(__xludf.DUMMYFUNCTION("""COMPUTED_VALUE"""),3.0)</f>
        <v>3</v>
      </c>
      <c r="H21" s="4" t="str">
        <f>IFERROR(__xludf.DUMMYFUNCTION("""COMPUTED_VALUE"""),"PHB 2024")</f>
        <v>PHB 2024</v>
      </c>
      <c r="I21" s="4" t="str">
        <f>IFERROR(__xludf.DUMMYFUNCTION("""COMPUTED_VALUE"""),"x")</f>
        <v>x</v>
      </c>
      <c r="J21" s="4" t="str">
        <f>IFERROR(__xludf.DUMMYFUNCTION("""COMPUTED_VALUE"""),"x")</f>
        <v>x</v>
      </c>
      <c r="K21" s="4" t="str">
        <f>IFERROR(__xludf.DUMMYFUNCTION("""COMPUTED_VALUE"""),"x")</f>
        <v>x</v>
      </c>
      <c r="L21" s="7" t="str">
        <f>IFERROR(__xludf.DUMMYFUNCTION("""COMPUTED_VALUE"""),"x")</f>
        <v>x</v>
      </c>
      <c r="M21" s="7"/>
      <c r="N21" s="7"/>
      <c r="O21" s="4"/>
      <c r="P21" s="4" t="str">
        <f>IFERROR(__xludf.DUMMYFUNCTION("""COMPUTED_VALUE"""),"x")</f>
        <v>x</v>
      </c>
      <c r="Q21" s="4" t="str">
        <f>IFERROR(__xludf.DUMMYFUNCTION("""COMPUTED_VALUE"""),"x")</f>
        <v>x</v>
      </c>
      <c r="R21" s="7"/>
      <c r="S21" s="7"/>
      <c r="T21" s="7"/>
      <c r="U21" s="7"/>
      <c r="V21" s="7"/>
      <c r="W21" s="7"/>
      <c r="X21" s="7"/>
      <c r="Y21" s="7"/>
    </row>
    <row r="22">
      <c r="A22" s="4" t="str">
        <f>IFERROR(__xludf.DUMMYFUNCTION("""COMPUTED_VALUE"""),"Adventuring Gear")</f>
        <v>Adventuring Gear</v>
      </c>
      <c r="B22" s="4" t="str">
        <f>IFERROR(__xludf.DUMMYFUNCTION("""COMPUTED_VALUE"""),"-")</f>
        <v>-</v>
      </c>
      <c r="C22" s="8" t="str">
        <f>IFERROR(__xludf.DUMMYFUNCTION("""COMPUTED_VALUE"""),"Pouch")</f>
        <v>Pouch</v>
      </c>
      <c r="D22" s="5">
        <f>IFERROR(__xludf.DUMMYFUNCTION("""COMPUTED_VALUE"""),1.0)</f>
        <v>1</v>
      </c>
      <c r="E22" s="6">
        <f>IFERROR(__xludf.DUMMYFUNCTION("""COMPUTED_VALUE"""),0.5)</f>
        <v>0.5</v>
      </c>
      <c r="F22" s="6">
        <f>IFERROR(__xludf.DUMMYFUNCTION("""COMPUTED_VALUE"""),0.375)</f>
        <v>0.375</v>
      </c>
      <c r="G22" s="6">
        <f>IFERROR(__xludf.DUMMYFUNCTION("""COMPUTED_VALUE"""),0.75)</f>
        <v>0.75</v>
      </c>
      <c r="H22" s="4" t="str">
        <f>IFERROR(__xludf.DUMMYFUNCTION("""COMPUTED_VALUE"""),"PHB 2024")</f>
        <v>PHB 2024</v>
      </c>
      <c r="I22" s="4" t="str">
        <f>IFERROR(__xludf.DUMMYFUNCTION("""COMPUTED_VALUE"""),"x")</f>
        <v>x</v>
      </c>
      <c r="J22" s="4" t="str">
        <f>IFERROR(__xludf.DUMMYFUNCTION("""COMPUTED_VALUE"""),"x")</f>
        <v>x</v>
      </c>
      <c r="K22" s="4" t="str">
        <f>IFERROR(__xludf.DUMMYFUNCTION("""COMPUTED_VALUE"""),"x")</f>
        <v>x</v>
      </c>
      <c r="L22" s="4"/>
      <c r="M22" s="7"/>
      <c r="N22" s="7"/>
      <c r="O22" s="7"/>
      <c r="P22" s="7" t="str">
        <f>IFERROR(__xludf.DUMMYFUNCTION("""COMPUTED_VALUE"""),"x")</f>
        <v>x</v>
      </c>
      <c r="Q22" s="4" t="str">
        <f>IFERROR(__xludf.DUMMYFUNCTION("""COMPUTED_VALUE"""),"x")</f>
        <v>x</v>
      </c>
      <c r="R22" s="7" t="str">
        <f>IFERROR(__xludf.DUMMYFUNCTION("""COMPUTED_VALUE"""),"x")</f>
        <v>x</v>
      </c>
      <c r="S22" s="7"/>
      <c r="T22" s="7" t="str">
        <f>IFERROR(__xludf.DUMMYFUNCTION("""COMPUTED_VALUE"""),"x")</f>
        <v>x</v>
      </c>
      <c r="U22" s="7" t="str">
        <f>IFERROR(__xludf.DUMMYFUNCTION("""COMPUTED_VALUE"""),"x")</f>
        <v>x</v>
      </c>
      <c r="V22" s="7"/>
      <c r="W22" s="7"/>
      <c r="X22" s="7"/>
      <c r="Y22" s="7" t="str">
        <f>IFERROR(__xludf.DUMMYFUNCTION("""COMPUTED_VALUE"""),"x")</f>
        <v>x</v>
      </c>
    </row>
    <row r="23">
      <c r="A23" s="4" t="str">
        <f>IFERROR(__xludf.DUMMYFUNCTION("""COMPUTED_VALUE"""),"Adventuring Gear")</f>
        <v>Adventuring Gear</v>
      </c>
      <c r="B23" s="4" t="str">
        <f>IFERROR(__xludf.DUMMYFUNCTION("""COMPUTED_VALUE"""),"-")</f>
        <v>-</v>
      </c>
      <c r="C23" s="8" t="str">
        <f>IFERROR(__xludf.DUMMYFUNCTION("""COMPUTED_VALUE"""),"Rope (50 feet)")</f>
        <v>Rope (50 feet)</v>
      </c>
      <c r="D23" s="5">
        <f>IFERROR(__xludf.DUMMYFUNCTION("""COMPUTED_VALUE"""),5.0)</f>
        <v>5</v>
      </c>
      <c r="E23" s="6">
        <f>IFERROR(__xludf.DUMMYFUNCTION("""COMPUTED_VALUE"""),1.0)</f>
        <v>1</v>
      </c>
      <c r="F23" s="6">
        <f>IFERROR(__xludf.DUMMYFUNCTION("""COMPUTED_VALUE"""),0.75)</f>
        <v>0.75</v>
      </c>
      <c r="G23" s="6">
        <f>IFERROR(__xludf.DUMMYFUNCTION("""COMPUTED_VALUE"""),1.5)</f>
        <v>1.5</v>
      </c>
      <c r="H23" s="4" t="str">
        <f>IFERROR(__xludf.DUMMYFUNCTION("""COMPUTED_VALUE"""),"PHB 2024")</f>
        <v>PHB 2024</v>
      </c>
      <c r="I23" s="4" t="str">
        <f>IFERROR(__xludf.DUMMYFUNCTION("""COMPUTED_VALUE"""),"x")</f>
        <v>x</v>
      </c>
      <c r="J23" s="4" t="str">
        <f>IFERROR(__xludf.DUMMYFUNCTION("""COMPUTED_VALUE"""),"x")</f>
        <v>x</v>
      </c>
      <c r="K23" s="4" t="str">
        <f>IFERROR(__xludf.DUMMYFUNCTION("""COMPUTED_VALUE"""),"x")</f>
        <v>x</v>
      </c>
      <c r="L23" s="7"/>
      <c r="M23" s="7"/>
      <c r="N23" s="7"/>
      <c r="O23" s="4"/>
      <c r="P23" s="7" t="str">
        <f>IFERROR(__xludf.DUMMYFUNCTION("""COMPUTED_VALUE"""),"x")</f>
        <v>x</v>
      </c>
      <c r="Q23" s="7" t="str">
        <f>IFERROR(__xludf.DUMMYFUNCTION("""COMPUTED_VALUE"""),"x")</f>
        <v>x</v>
      </c>
      <c r="R23" s="7"/>
      <c r="S23" s="7"/>
      <c r="T23" s="7"/>
      <c r="U23" s="4"/>
      <c r="V23" s="7"/>
      <c r="W23" s="7" t="str">
        <f>IFERROR(__xludf.DUMMYFUNCTION("""COMPUTED_VALUE"""),"x")</f>
        <v>x</v>
      </c>
      <c r="X23" s="7"/>
      <c r="Y23" s="7"/>
    </row>
    <row r="24">
      <c r="A24" s="4" t="str">
        <f>IFERROR(__xludf.DUMMYFUNCTION("""COMPUTED_VALUE"""),"Adventuring Gear")</f>
        <v>Adventuring Gear</v>
      </c>
      <c r="B24" s="4" t="str">
        <f>IFERROR(__xludf.DUMMYFUNCTION("""COMPUTED_VALUE"""),"-")</f>
        <v>-</v>
      </c>
      <c r="C24" s="8" t="str">
        <f>IFERROR(__xludf.DUMMYFUNCTION("""COMPUTED_VALUE"""),"Sack")</f>
        <v>Sack</v>
      </c>
      <c r="D24" s="5">
        <f>IFERROR(__xludf.DUMMYFUNCTION("""COMPUTED_VALUE"""),0.5)</f>
        <v>0.5</v>
      </c>
      <c r="E24" s="6">
        <f>IFERROR(__xludf.DUMMYFUNCTION("""COMPUTED_VALUE"""),0.01)</f>
        <v>0.01</v>
      </c>
      <c r="F24" s="6">
        <f>IFERROR(__xludf.DUMMYFUNCTION("""COMPUTED_VALUE"""),0.0075)</f>
        <v>0.0075</v>
      </c>
      <c r="G24" s="6">
        <f>IFERROR(__xludf.DUMMYFUNCTION("""COMPUTED_VALUE"""),0.015)</f>
        <v>0.015</v>
      </c>
      <c r="H24" s="4" t="str">
        <f>IFERROR(__xludf.DUMMYFUNCTION("""COMPUTED_VALUE"""),"PHB 2024")</f>
        <v>PHB 2024</v>
      </c>
      <c r="I24" s="4" t="str">
        <f>IFERROR(__xludf.DUMMYFUNCTION("""COMPUTED_VALUE"""),"x")</f>
        <v>x</v>
      </c>
      <c r="J24" s="4" t="str">
        <f>IFERROR(__xludf.DUMMYFUNCTION("""COMPUTED_VALUE"""),"x")</f>
        <v>x</v>
      </c>
      <c r="K24" s="4" t="str">
        <f>IFERROR(__xludf.DUMMYFUNCTION("""COMPUTED_VALUE"""),"x")</f>
        <v>x</v>
      </c>
      <c r="L24" s="7"/>
      <c r="M24" s="7"/>
      <c r="N24" s="7"/>
      <c r="O24" s="7"/>
      <c r="P24" s="4" t="str">
        <f>IFERROR(__xludf.DUMMYFUNCTION("""COMPUTED_VALUE"""),"x")</f>
        <v>x</v>
      </c>
      <c r="Q24" s="4" t="str">
        <f>IFERROR(__xludf.DUMMYFUNCTION("""COMPUTED_VALUE"""),"x")</f>
        <v>x</v>
      </c>
      <c r="R24" s="7" t="str">
        <f>IFERROR(__xludf.DUMMYFUNCTION("""COMPUTED_VALUE"""),"x")</f>
        <v>x</v>
      </c>
      <c r="S24" s="7"/>
      <c r="T24" s="7"/>
      <c r="U24" s="4"/>
      <c r="V24" s="7"/>
      <c r="W24" s="7"/>
      <c r="X24" s="7"/>
      <c r="Y24" s="7"/>
    </row>
    <row r="25">
      <c r="A25" s="4" t="str">
        <f>IFERROR(__xludf.DUMMYFUNCTION("""COMPUTED_VALUE"""),"Adventuring Gear")</f>
        <v>Adventuring Gear</v>
      </c>
      <c r="B25" s="4" t="str">
        <f>IFERROR(__xludf.DUMMYFUNCTION("""COMPUTED_VALUE"""),"-")</f>
        <v>-</v>
      </c>
      <c r="C25" s="8" t="str">
        <f>IFERROR(__xludf.DUMMYFUNCTION("""COMPUTED_VALUE"""),"Shovel")</f>
        <v>Shovel</v>
      </c>
      <c r="D25" s="5">
        <f>IFERROR(__xludf.DUMMYFUNCTION("""COMPUTED_VALUE"""),5.0)</f>
        <v>5</v>
      </c>
      <c r="E25" s="6">
        <f>IFERROR(__xludf.DUMMYFUNCTION("""COMPUTED_VALUE"""),2.0)</f>
        <v>2</v>
      </c>
      <c r="F25" s="6">
        <f>IFERROR(__xludf.DUMMYFUNCTION("""COMPUTED_VALUE"""),1.5)</f>
        <v>1.5</v>
      </c>
      <c r="G25" s="6">
        <f>IFERROR(__xludf.DUMMYFUNCTION("""COMPUTED_VALUE"""),3.0)</f>
        <v>3</v>
      </c>
      <c r="H25" s="4" t="str">
        <f>IFERROR(__xludf.DUMMYFUNCTION("""COMPUTED_VALUE"""),"PHB 2024")</f>
        <v>PHB 2024</v>
      </c>
      <c r="I25" s="4" t="str">
        <f>IFERROR(__xludf.DUMMYFUNCTION("""COMPUTED_VALUE"""),"x")</f>
        <v>x</v>
      </c>
      <c r="J25" s="4" t="str">
        <f>IFERROR(__xludf.DUMMYFUNCTION("""COMPUTED_VALUE"""),"x")</f>
        <v>x</v>
      </c>
      <c r="K25" s="4" t="str">
        <f>IFERROR(__xludf.DUMMYFUNCTION("""COMPUTED_VALUE"""),"x")</f>
        <v>x</v>
      </c>
      <c r="L25" s="7"/>
      <c r="M25" s="7"/>
      <c r="N25" s="7"/>
      <c r="O25" s="7"/>
      <c r="P25" s="4" t="str">
        <f>IFERROR(__xludf.DUMMYFUNCTION("""COMPUTED_VALUE"""),"x")</f>
        <v>x</v>
      </c>
      <c r="Q25" s="7" t="str">
        <f>IFERROR(__xludf.DUMMYFUNCTION("""COMPUTED_VALUE"""),"x")</f>
        <v>x</v>
      </c>
      <c r="R25" s="7"/>
      <c r="S25" s="7"/>
      <c r="T25" s="7"/>
      <c r="U25" s="7"/>
      <c r="V25" s="7"/>
      <c r="W25" s="7"/>
      <c r="X25" s="7"/>
      <c r="Y25" s="7"/>
    </row>
    <row r="26">
      <c r="A26" s="4" t="str">
        <f>IFERROR(__xludf.DUMMYFUNCTION("""COMPUTED_VALUE"""),"Adventuring Gear")</f>
        <v>Adventuring Gear</v>
      </c>
      <c r="B26" s="4" t="str">
        <f>IFERROR(__xludf.DUMMYFUNCTION("""COMPUTED_VALUE"""),"-")</f>
        <v>-</v>
      </c>
      <c r="C26" s="8" t="str">
        <f>IFERROR(__xludf.DUMMYFUNCTION("""COMPUTED_VALUE"""),"String")</f>
        <v>String</v>
      </c>
      <c r="D26" s="5" t="str">
        <f>IFERROR(__xludf.DUMMYFUNCTION("""COMPUTED_VALUE"""),"-")</f>
        <v>-</v>
      </c>
      <c r="E26" s="6">
        <f>IFERROR(__xludf.DUMMYFUNCTION("""COMPUTED_VALUE"""),0.1)</f>
        <v>0.1</v>
      </c>
      <c r="F26" s="6">
        <f>IFERROR(__xludf.DUMMYFUNCTION("""COMPUTED_VALUE"""),0.07500000000000001)</f>
        <v>0.075</v>
      </c>
      <c r="G26" s="6">
        <f>IFERROR(__xludf.DUMMYFUNCTION("""COMPUTED_VALUE"""),0.15000000000000002)</f>
        <v>0.15</v>
      </c>
      <c r="H26" s="4" t="str">
        <f>IFERROR(__xludf.DUMMYFUNCTION("""COMPUTED_VALUE"""),"PHB 2024")</f>
        <v>PHB 2024</v>
      </c>
      <c r="I26" s="4" t="str">
        <f>IFERROR(__xludf.DUMMYFUNCTION("""COMPUTED_VALUE"""),"x")</f>
        <v>x</v>
      </c>
      <c r="J26" s="4" t="str">
        <f>IFERROR(__xludf.DUMMYFUNCTION("""COMPUTED_VALUE"""),"x")</f>
        <v>x</v>
      </c>
      <c r="K26" s="4" t="str">
        <f>IFERROR(__xludf.DUMMYFUNCTION("""COMPUTED_VALUE"""),"x")</f>
        <v>x</v>
      </c>
      <c r="L26" s="7"/>
      <c r="M26" s="7"/>
      <c r="N26" s="7"/>
      <c r="O26" s="7"/>
      <c r="P26" s="7" t="str">
        <f>IFERROR(__xludf.DUMMYFUNCTION("""COMPUTED_VALUE"""),"x")</f>
        <v>x</v>
      </c>
      <c r="Q26" s="7"/>
      <c r="R26" s="7"/>
      <c r="S26" s="7"/>
      <c r="T26" s="7"/>
      <c r="U26" s="7"/>
      <c r="V26" s="7"/>
      <c r="W26" s="4"/>
      <c r="X26" s="7"/>
      <c r="Y26" s="7"/>
    </row>
    <row r="27">
      <c r="A27" s="4" t="str">
        <f>IFERROR(__xludf.DUMMYFUNCTION("""COMPUTED_VALUE"""),"Adventuring Gear")</f>
        <v>Adventuring Gear</v>
      </c>
      <c r="B27" s="4" t="str">
        <f>IFERROR(__xludf.DUMMYFUNCTION("""COMPUTED_VALUE"""),"-")</f>
        <v>-</v>
      </c>
      <c r="C27" s="8" t="str">
        <f>IFERROR(__xludf.DUMMYFUNCTION("""COMPUTED_VALUE"""),"Vial")</f>
        <v>Vial</v>
      </c>
      <c r="D27" s="5" t="str">
        <f>IFERROR(__xludf.DUMMYFUNCTION("""COMPUTED_VALUE"""),"-")</f>
        <v>-</v>
      </c>
      <c r="E27" s="6">
        <f>IFERROR(__xludf.DUMMYFUNCTION("""COMPUTED_VALUE"""),1.0)</f>
        <v>1</v>
      </c>
      <c r="F27" s="6">
        <f>IFERROR(__xludf.DUMMYFUNCTION("""COMPUTED_VALUE"""),0.75)</f>
        <v>0.75</v>
      </c>
      <c r="G27" s="6">
        <f>IFERROR(__xludf.DUMMYFUNCTION("""COMPUTED_VALUE"""),1.5)</f>
        <v>1.5</v>
      </c>
      <c r="H27" s="4" t="str">
        <f>IFERROR(__xludf.DUMMYFUNCTION("""COMPUTED_VALUE"""),"PHB 2024")</f>
        <v>PHB 2024</v>
      </c>
      <c r="I27" s="4" t="str">
        <f>IFERROR(__xludf.DUMMYFUNCTION("""COMPUTED_VALUE"""),"x")</f>
        <v>x</v>
      </c>
      <c r="J27" s="4" t="str">
        <f>IFERROR(__xludf.DUMMYFUNCTION("""COMPUTED_VALUE"""),"x")</f>
        <v>x</v>
      </c>
      <c r="K27" s="4" t="str">
        <f>IFERROR(__xludf.DUMMYFUNCTION("""COMPUTED_VALUE"""),"x")</f>
        <v>x</v>
      </c>
      <c r="L27" s="7"/>
      <c r="M27" s="7"/>
      <c r="N27" s="7"/>
      <c r="O27" s="7" t="str">
        <f>IFERROR(__xludf.DUMMYFUNCTION("""COMPUTED_VALUE"""),"x")</f>
        <v>x</v>
      </c>
      <c r="P27" s="7" t="str">
        <f>IFERROR(__xludf.DUMMYFUNCTION("""COMPUTED_VALUE"""),"x")</f>
        <v>x</v>
      </c>
      <c r="Q27" s="7" t="str">
        <f>IFERROR(__xludf.DUMMYFUNCTION("""COMPUTED_VALUE"""),"x")</f>
        <v>x</v>
      </c>
      <c r="R27" s="7"/>
      <c r="S27" s="7"/>
      <c r="T27" s="7" t="str">
        <f>IFERROR(__xludf.DUMMYFUNCTION("""COMPUTED_VALUE"""),"x")</f>
        <v>x</v>
      </c>
      <c r="U27" s="7" t="str">
        <f>IFERROR(__xludf.DUMMYFUNCTION("""COMPUTED_VALUE"""),"x")</f>
        <v>x</v>
      </c>
      <c r="V27" s="7"/>
      <c r="W27" s="4" t="str">
        <f>IFERROR(__xludf.DUMMYFUNCTION("""COMPUTED_VALUE"""),"x")</f>
        <v>x</v>
      </c>
      <c r="X27" s="7"/>
      <c r="Y27" s="7"/>
    </row>
    <row r="28">
      <c r="A28" s="4" t="str">
        <f>IFERROR(__xludf.DUMMYFUNCTION("""COMPUTED_VALUE"""),"Tools")</f>
        <v>Tools</v>
      </c>
      <c r="B28" s="4" t="str">
        <f>IFERROR(__xludf.DUMMYFUNCTION("""COMPUTED_VALUE"""),"Artisan's Tools")</f>
        <v>Artisan's Tools</v>
      </c>
      <c r="C28" s="8" t="str">
        <f>IFERROR(__xludf.DUMMYFUNCTION("""COMPUTED_VALUE"""),"Carpenter's Tools")</f>
        <v>Carpenter's Tools</v>
      </c>
      <c r="D28" s="5">
        <f>IFERROR(__xludf.DUMMYFUNCTION("""COMPUTED_VALUE"""),6.0)</f>
        <v>6</v>
      </c>
      <c r="E28" s="6">
        <f>IFERROR(__xludf.DUMMYFUNCTION("""COMPUTED_VALUE"""),8.0)</f>
        <v>8</v>
      </c>
      <c r="F28" s="6">
        <f>IFERROR(__xludf.DUMMYFUNCTION("""COMPUTED_VALUE"""),6.0)</f>
        <v>6</v>
      </c>
      <c r="G28" s="6">
        <f>IFERROR(__xludf.DUMMYFUNCTION("""COMPUTED_VALUE"""),12.0)</f>
        <v>12</v>
      </c>
      <c r="H28" s="4" t="str">
        <f>IFERROR(__xludf.DUMMYFUNCTION("""COMPUTED_VALUE"""),"PHB 2024")</f>
        <v>PHB 2024</v>
      </c>
      <c r="I28" s="4" t="str">
        <f>IFERROR(__xludf.DUMMYFUNCTION("""COMPUTED_VALUE"""),"x")</f>
        <v>x</v>
      </c>
      <c r="J28" s="4" t="str">
        <f>IFERROR(__xludf.DUMMYFUNCTION("""COMPUTED_VALUE"""),"x")</f>
        <v>x</v>
      </c>
      <c r="K28" s="4" t="str">
        <f>IFERROR(__xludf.DUMMYFUNCTION("""COMPUTED_VALUE"""),"x")</f>
        <v>x</v>
      </c>
      <c r="L28" s="7" t="str">
        <f>IFERROR(__xludf.DUMMYFUNCTION("""COMPUTED_VALUE"""),"x")</f>
        <v>x</v>
      </c>
      <c r="M28" s="7"/>
      <c r="N28" s="7"/>
      <c r="O28" s="4"/>
      <c r="P28" s="4" t="str">
        <f>IFERROR(__xludf.DUMMYFUNCTION("""COMPUTED_VALUE"""),"x")</f>
        <v>x</v>
      </c>
      <c r="Q28" s="4"/>
      <c r="R28" s="7"/>
      <c r="S28" s="7"/>
      <c r="T28" s="7"/>
      <c r="U28" s="4"/>
      <c r="V28" s="7"/>
      <c r="W28" s="7"/>
      <c r="X28" s="7"/>
      <c r="Y28" s="7"/>
    </row>
    <row r="29">
      <c r="A29" s="4" t="str">
        <f>IFERROR(__xludf.DUMMYFUNCTION("""COMPUTED_VALUE"""),"Tools")</f>
        <v>Tools</v>
      </c>
      <c r="B29" s="4" t="str">
        <f>IFERROR(__xludf.DUMMYFUNCTION("""COMPUTED_VALUE"""),"Artisan's Tools")</f>
        <v>Artisan's Tools</v>
      </c>
      <c r="C29" s="8" t="str">
        <f>IFERROR(__xludf.DUMMYFUNCTION("""COMPUTED_VALUE"""),"Cobbler's Tools")</f>
        <v>Cobbler's Tools</v>
      </c>
      <c r="D29" s="5">
        <f>IFERROR(__xludf.DUMMYFUNCTION("""COMPUTED_VALUE"""),5.0)</f>
        <v>5</v>
      </c>
      <c r="E29" s="6">
        <f>IFERROR(__xludf.DUMMYFUNCTION("""COMPUTED_VALUE"""),5.0)</f>
        <v>5</v>
      </c>
      <c r="F29" s="6">
        <f>IFERROR(__xludf.DUMMYFUNCTION("""COMPUTED_VALUE"""),3.75)</f>
        <v>3.75</v>
      </c>
      <c r="G29" s="6">
        <f>IFERROR(__xludf.DUMMYFUNCTION("""COMPUTED_VALUE"""),7.5)</f>
        <v>7.5</v>
      </c>
      <c r="H29" s="4" t="str">
        <f>IFERROR(__xludf.DUMMYFUNCTION("""COMPUTED_VALUE"""),"PHB 2024")</f>
        <v>PHB 2024</v>
      </c>
      <c r="I29" s="4" t="str">
        <f>IFERROR(__xludf.DUMMYFUNCTION("""COMPUTED_VALUE"""),"x")</f>
        <v>x</v>
      </c>
      <c r="J29" s="4" t="str">
        <f>IFERROR(__xludf.DUMMYFUNCTION("""COMPUTED_VALUE"""),"x")</f>
        <v>x</v>
      </c>
      <c r="K29" s="4" t="str">
        <f>IFERROR(__xludf.DUMMYFUNCTION("""COMPUTED_VALUE"""),"x")</f>
        <v>x</v>
      </c>
      <c r="L29" s="7"/>
      <c r="M29" s="4"/>
      <c r="N29" s="7" t="str">
        <f>IFERROR(__xludf.DUMMYFUNCTION("""COMPUTED_VALUE"""),"x")</f>
        <v>x</v>
      </c>
      <c r="O29" s="7"/>
      <c r="P29" s="7" t="str">
        <f>IFERROR(__xludf.DUMMYFUNCTION("""COMPUTED_VALUE"""),"x")</f>
        <v>x</v>
      </c>
      <c r="Q29" s="4"/>
      <c r="R29" s="7"/>
      <c r="S29" s="7"/>
      <c r="T29" s="7"/>
      <c r="U29" s="7"/>
      <c r="V29" s="7"/>
      <c r="W29" s="7"/>
      <c r="X29" s="7"/>
      <c r="Y29" s="7"/>
    </row>
    <row r="30">
      <c r="A30" s="4" t="str">
        <f>IFERROR(__xludf.DUMMYFUNCTION("""COMPUTED_VALUE"""),"Tools")</f>
        <v>Tools</v>
      </c>
      <c r="B30" s="4" t="str">
        <f>IFERROR(__xludf.DUMMYFUNCTION("""COMPUTED_VALUE"""),"Artisan's Tools")</f>
        <v>Artisan's Tools</v>
      </c>
      <c r="C30" s="8" t="str">
        <f>IFERROR(__xludf.DUMMYFUNCTION("""COMPUTED_VALUE"""),"Cook's Utensils")</f>
        <v>Cook's Utensils</v>
      </c>
      <c r="D30" s="5">
        <f>IFERROR(__xludf.DUMMYFUNCTION("""COMPUTED_VALUE"""),8.0)</f>
        <v>8</v>
      </c>
      <c r="E30" s="6">
        <f>IFERROR(__xludf.DUMMYFUNCTION("""COMPUTED_VALUE"""),1.0)</f>
        <v>1</v>
      </c>
      <c r="F30" s="6">
        <f>IFERROR(__xludf.DUMMYFUNCTION("""COMPUTED_VALUE"""),0.75)</f>
        <v>0.75</v>
      </c>
      <c r="G30" s="6">
        <f>IFERROR(__xludf.DUMMYFUNCTION("""COMPUTED_VALUE"""),1.5)</f>
        <v>1.5</v>
      </c>
      <c r="H30" s="4" t="str">
        <f>IFERROR(__xludf.DUMMYFUNCTION("""COMPUTED_VALUE"""),"PHB 2024")</f>
        <v>PHB 2024</v>
      </c>
      <c r="I30" s="4" t="str">
        <f>IFERROR(__xludf.DUMMYFUNCTION("""COMPUTED_VALUE"""),"x")</f>
        <v>x</v>
      </c>
      <c r="J30" s="4" t="str">
        <f>IFERROR(__xludf.DUMMYFUNCTION("""COMPUTED_VALUE"""),"x")</f>
        <v>x</v>
      </c>
      <c r="K30" s="4" t="str">
        <f>IFERROR(__xludf.DUMMYFUNCTION("""COMPUTED_VALUE"""),"x")</f>
        <v>x</v>
      </c>
      <c r="L30" s="7"/>
      <c r="M30" s="7"/>
      <c r="N30" s="7"/>
      <c r="O30" s="4"/>
      <c r="P30" s="7" t="str">
        <f>IFERROR(__xludf.DUMMYFUNCTION("""COMPUTED_VALUE"""),"x")</f>
        <v>x</v>
      </c>
      <c r="Q30" s="4"/>
      <c r="R30" s="7"/>
      <c r="S30" s="7"/>
      <c r="T30" s="7" t="str">
        <f>IFERROR(__xludf.DUMMYFUNCTION("""COMPUTED_VALUE"""),"x")</f>
        <v>x</v>
      </c>
      <c r="U30" s="4"/>
      <c r="V30" s="7"/>
      <c r="W30" s="7"/>
      <c r="X30" s="7"/>
      <c r="Y30" s="7"/>
    </row>
    <row r="31">
      <c r="A31" s="4" t="str">
        <f>IFERROR(__xludf.DUMMYFUNCTION("""COMPUTED_VALUE"""),"Tools")</f>
        <v>Tools</v>
      </c>
      <c r="B31" s="4" t="str">
        <f>IFERROR(__xludf.DUMMYFUNCTION("""COMPUTED_VALUE"""),"Artisan's Tools")</f>
        <v>Artisan's Tools</v>
      </c>
      <c r="C31" s="8" t="str">
        <f>IFERROR(__xludf.DUMMYFUNCTION("""COMPUTED_VALUE"""),"Glassblower's Tools")</f>
        <v>Glassblower's Tools</v>
      </c>
      <c r="D31" s="5">
        <f>IFERROR(__xludf.DUMMYFUNCTION("""COMPUTED_VALUE"""),5.0)</f>
        <v>5</v>
      </c>
      <c r="E31" s="6">
        <f>IFERROR(__xludf.DUMMYFUNCTION("""COMPUTED_VALUE"""),30.0)</f>
        <v>30</v>
      </c>
      <c r="F31" s="6">
        <f>IFERROR(__xludf.DUMMYFUNCTION("""COMPUTED_VALUE"""),22.5)</f>
        <v>22.5</v>
      </c>
      <c r="G31" s="6">
        <f>IFERROR(__xludf.DUMMYFUNCTION("""COMPUTED_VALUE"""),45.0)</f>
        <v>45</v>
      </c>
      <c r="H31" s="4" t="str">
        <f>IFERROR(__xludf.DUMMYFUNCTION("""COMPUTED_VALUE"""),"PHB 2024")</f>
        <v>PHB 2024</v>
      </c>
      <c r="I31" s="4"/>
      <c r="J31" s="4"/>
      <c r="K31" s="4" t="str">
        <f>IFERROR(__xludf.DUMMYFUNCTION("""COMPUTED_VALUE"""),"x")</f>
        <v>x</v>
      </c>
      <c r="L31" s="4"/>
      <c r="M31" s="7"/>
      <c r="N31" s="7"/>
      <c r="O31" s="7"/>
      <c r="P31" s="7" t="str">
        <f>IFERROR(__xludf.DUMMYFUNCTION("""COMPUTED_VALUE"""),"x")</f>
        <v>x</v>
      </c>
      <c r="Q31" s="4"/>
      <c r="R31" s="7"/>
      <c r="S31" s="7"/>
      <c r="T31" s="7"/>
      <c r="U31" s="7"/>
      <c r="V31" s="7"/>
      <c r="W31" s="7"/>
      <c r="X31" s="7"/>
      <c r="Y31" s="7"/>
    </row>
    <row r="32">
      <c r="A32" s="4" t="str">
        <f>IFERROR(__xludf.DUMMYFUNCTION("""COMPUTED_VALUE"""),"Tools")</f>
        <v>Tools</v>
      </c>
      <c r="B32" s="4" t="str">
        <f>IFERROR(__xludf.DUMMYFUNCTION("""COMPUTED_VALUE"""),"Artisan's Tools")</f>
        <v>Artisan's Tools</v>
      </c>
      <c r="C32" s="8" t="str">
        <f>IFERROR(__xludf.DUMMYFUNCTION("""COMPUTED_VALUE"""),"Leatherworker's Tools")</f>
        <v>Leatherworker's Tools</v>
      </c>
      <c r="D32" s="5">
        <f>IFERROR(__xludf.DUMMYFUNCTION("""COMPUTED_VALUE"""),5.0)</f>
        <v>5</v>
      </c>
      <c r="E32" s="6">
        <f>IFERROR(__xludf.DUMMYFUNCTION("""COMPUTED_VALUE"""),5.0)</f>
        <v>5</v>
      </c>
      <c r="F32" s="6">
        <f>IFERROR(__xludf.DUMMYFUNCTION("""COMPUTED_VALUE"""),3.75)</f>
        <v>3.75</v>
      </c>
      <c r="G32" s="6">
        <f>IFERROR(__xludf.DUMMYFUNCTION("""COMPUTED_VALUE"""),7.5)</f>
        <v>7.5</v>
      </c>
      <c r="H32" s="4" t="str">
        <f>IFERROR(__xludf.DUMMYFUNCTION("""COMPUTED_VALUE"""),"PHB 2024")</f>
        <v>PHB 2024</v>
      </c>
      <c r="I32" s="4" t="str">
        <f>IFERROR(__xludf.DUMMYFUNCTION("""COMPUTED_VALUE"""),"x")</f>
        <v>x</v>
      </c>
      <c r="J32" s="4" t="str">
        <f>IFERROR(__xludf.DUMMYFUNCTION("""COMPUTED_VALUE"""),"x")</f>
        <v>x</v>
      </c>
      <c r="K32" s="4" t="str">
        <f>IFERROR(__xludf.DUMMYFUNCTION("""COMPUTED_VALUE"""),"x")</f>
        <v>x</v>
      </c>
      <c r="L32" s="7"/>
      <c r="M32" s="7"/>
      <c r="N32" s="7" t="str">
        <f>IFERROR(__xludf.DUMMYFUNCTION("""COMPUTED_VALUE"""),"x")</f>
        <v>x</v>
      </c>
      <c r="O32" s="7"/>
      <c r="P32" s="4" t="str">
        <f>IFERROR(__xludf.DUMMYFUNCTION("""COMPUTED_VALUE"""),"x")</f>
        <v>x</v>
      </c>
      <c r="Q32" s="4"/>
      <c r="R32" s="7"/>
      <c r="S32" s="7"/>
      <c r="T32" s="7"/>
      <c r="U32" s="7"/>
      <c r="V32" s="7"/>
      <c r="W32" s="7"/>
      <c r="X32" s="7"/>
      <c r="Y32" s="7"/>
    </row>
    <row r="33">
      <c r="A33" s="4" t="str">
        <f>IFERROR(__xludf.DUMMYFUNCTION("""COMPUTED_VALUE"""),"Tools")</f>
        <v>Tools</v>
      </c>
      <c r="B33" s="4" t="str">
        <f>IFERROR(__xludf.DUMMYFUNCTION("""COMPUTED_VALUE"""),"Artisan's Tools")</f>
        <v>Artisan's Tools</v>
      </c>
      <c r="C33" s="8" t="str">
        <f>IFERROR(__xludf.DUMMYFUNCTION("""COMPUTED_VALUE"""),"Mason's Tools")</f>
        <v>Mason's Tools</v>
      </c>
      <c r="D33" s="5">
        <f>IFERROR(__xludf.DUMMYFUNCTION("""COMPUTED_VALUE"""),8.0)</f>
        <v>8</v>
      </c>
      <c r="E33" s="6">
        <f>IFERROR(__xludf.DUMMYFUNCTION("""COMPUTED_VALUE"""),10.0)</f>
        <v>10</v>
      </c>
      <c r="F33" s="6">
        <f>IFERROR(__xludf.DUMMYFUNCTION("""COMPUTED_VALUE"""),7.5)</f>
        <v>7.5</v>
      </c>
      <c r="G33" s="6">
        <f>IFERROR(__xludf.DUMMYFUNCTION("""COMPUTED_VALUE"""),15.0)</f>
        <v>15</v>
      </c>
      <c r="H33" s="4" t="str">
        <f>IFERROR(__xludf.DUMMYFUNCTION("""COMPUTED_VALUE"""),"PHB 2024")</f>
        <v>PHB 2024</v>
      </c>
      <c r="I33" s="4"/>
      <c r="J33" s="4" t="str">
        <f>IFERROR(__xludf.DUMMYFUNCTION("""COMPUTED_VALUE"""),"x")</f>
        <v>x</v>
      </c>
      <c r="K33" s="4" t="str">
        <f>IFERROR(__xludf.DUMMYFUNCTION("""COMPUTED_VALUE"""),"x")</f>
        <v>x</v>
      </c>
      <c r="L33" s="7" t="str">
        <f>IFERROR(__xludf.DUMMYFUNCTION("""COMPUTED_VALUE"""),"x")</f>
        <v>x</v>
      </c>
      <c r="M33" s="7"/>
      <c r="N33" s="7"/>
      <c r="O33" s="7"/>
      <c r="P33" s="7" t="str">
        <f>IFERROR(__xludf.DUMMYFUNCTION("""COMPUTED_VALUE"""),"x")</f>
        <v>x</v>
      </c>
      <c r="Q33" s="4"/>
      <c r="R33" s="7"/>
      <c r="S33" s="7"/>
      <c r="T33" s="7"/>
      <c r="U33" s="7"/>
      <c r="V33" s="7"/>
      <c r="W33" s="7"/>
      <c r="X33" s="7"/>
      <c r="Y33" s="7"/>
    </row>
    <row r="34">
      <c r="A34" s="4" t="str">
        <f>IFERROR(__xludf.DUMMYFUNCTION("""COMPUTED_VALUE"""),"Tools")</f>
        <v>Tools</v>
      </c>
      <c r="B34" s="4" t="str">
        <f>IFERROR(__xludf.DUMMYFUNCTION("""COMPUTED_VALUE"""),"Artisan's Tools")</f>
        <v>Artisan's Tools</v>
      </c>
      <c r="C34" s="8" t="str">
        <f>IFERROR(__xludf.DUMMYFUNCTION("""COMPUTED_VALUE"""),"Painter's Supplies")</f>
        <v>Painter's Supplies</v>
      </c>
      <c r="D34" s="5">
        <f>IFERROR(__xludf.DUMMYFUNCTION("""COMPUTED_VALUE"""),5.0)</f>
        <v>5</v>
      </c>
      <c r="E34" s="6">
        <f>IFERROR(__xludf.DUMMYFUNCTION("""COMPUTED_VALUE"""),10.0)</f>
        <v>10</v>
      </c>
      <c r="F34" s="6">
        <f>IFERROR(__xludf.DUMMYFUNCTION("""COMPUTED_VALUE"""),7.5)</f>
        <v>7.5</v>
      </c>
      <c r="G34" s="6">
        <f>IFERROR(__xludf.DUMMYFUNCTION("""COMPUTED_VALUE"""),15.0)</f>
        <v>15</v>
      </c>
      <c r="H34" s="4" t="str">
        <f>IFERROR(__xludf.DUMMYFUNCTION("""COMPUTED_VALUE"""),"PHB 2024")</f>
        <v>PHB 2024</v>
      </c>
      <c r="I34" s="4"/>
      <c r="J34" s="4"/>
      <c r="K34" s="4" t="str">
        <f>IFERROR(__xludf.DUMMYFUNCTION("""COMPUTED_VALUE"""),"x")</f>
        <v>x</v>
      </c>
      <c r="L34" s="7"/>
      <c r="M34" s="7"/>
      <c r="N34" s="7"/>
      <c r="O34" s="7"/>
      <c r="P34" s="4" t="str">
        <f>IFERROR(__xludf.DUMMYFUNCTION("""COMPUTED_VALUE"""),"x")</f>
        <v>x</v>
      </c>
      <c r="Q34" s="7"/>
      <c r="R34" s="4"/>
      <c r="S34" s="7"/>
      <c r="T34" s="7"/>
      <c r="U34" s="7"/>
      <c r="V34" s="7"/>
      <c r="W34" s="7"/>
      <c r="X34" s="7"/>
      <c r="Y34" s="7"/>
    </row>
    <row r="35">
      <c r="A35" s="4" t="str">
        <f>IFERROR(__xludf.DUMMYFUNCTION("""COMPUTED_VALUE"""),"Tools")</f>
        <v>Tools</v>
      </c>
      <c r="B35" s="4" t="str">
        <f>IFERROR(__xludf.DUMMYFUNCTION("""COMPUTED_VALUE"""),"Artisan's Tools")</f>
        <v>Artisan's Tools</v>
      </c>
      <c r="C35" s="8" t="str">
        <f>IFERROR(__xludf.DUMMYFUNCTION("""COMPUTED_VALUE"""),"Potter's Tools")</f>
        <v>Potter's Tools</v>
      </c>
      <c r="D35" s="5">
        <f>IFERROR(__xludf.DUMMYFUNCTION("""COMPUTED_VALUE"""),3.0)</f>
        <v>3</v>
      </c>
      <c r="E35" s="6">
        <f>IFERROR(__xludf.DUMMYFUNCTION("""COMPUTED_VALUE"""),10.0)</f>
        <v>10</v>
      </c>
      <c r="F35" s="6">
        <f>IFERROR(__xludf.DUMMYFUNCTION("""COMPUTED_VALUE"""),7.5)</f>
        <v>7.5</v>
      </c>
      <c r="G35" s="6">
        <f>IFERROR(__xludf.DUMMYFUNCTION("""COMPUTED_VALUE"""),15.0)</f>
        <v>15</v>
      </c>
      <c r="H35" s="4" t="str">
        <f>IFERROR(__xludf.DUMMYFUNCTION("""COMPUTED_VALUE"""),"PHB 2024")</f>
        <v>PHB 2024</v>
      </c>
      <c r="I35" s="4" t="str">
        <f>IFERROR(__xludf.DUMMYFUNCTION("""COMPUTED_VALUE"""),"x")</f>
        <v>x</v>
      </c>
      <c r="J35" s="4" t="str">
        <f>IFERROR(__xludf.DUMMYFUNCTION("""COMPUTED_VALUE"""),"x")</f>
        <v>x</v>
      </c>
      <c r="K35" s="4" t="str">
        <f>IFERROR(__xludf.DUMMYFUNCTION("""COMPUTED_VALUE"""),"x")</f>
        <v>x</v>
      </c>
      <c r="L35" s="7"/>
      <c r="M35" s="7"/>
      <c r="N35" s="7"/>
      <c r="O35" s="7"/>
      <c r="P35" s="7" t="str">
        <f>IFERROR(__xludf.DUMMYFUNCTION("""COMPUTED_VALUE"""),"x")</f>
        <v>x</v>
      </c>
      <c r="Q35" s="4"/>
      <c r="R35" s="4"/>
      <c r="S35" s="7"/>
      <c r="T35" s="7"/>
      <c r="U35" s="7"/>
      <c r="V35" s="7"/>
      <c r="W35" s="7"/>
      <c r="X35" s="7"/>
      <c r="Y35" s="7"/>
    </row>
    <row r="36">
      <c r="A36" s="4" t="str">
        <f>IFERROR(__xludf.DUMMYFUNCTION("""COMPUTED_VALUE"""),"Tools")</f>
        <v>Tools</v>
      </c>
      <c r="B36" s="4" t="str">
        <f>IFERROR(__xludf.DUMMYFUNCTION("""COMPUTED_VALUE"""),"Artisan's Tools")</f>
        <v>Artisan's Tools</v>
      </c>
      <c r="C36" s="8" t="str">
        <f>IFERROR(__xludf.DUMMYFUNCTION("""COMPUTED_VALUE"""),"Smith's Tools")</f>
        <v>Smith's Tools</v>
      </c>
      <c r="D36" s="5">
        <f>IFERROR(__xludf.DUMMYFUNCTION("""COMPUTED_VALUE"""),8.0)</f>
        <v>8</v>
      </c>
      <c r="E36" s="6">
        <f>IFERROR(__xludf.DUMMYFUNCTION("""COMPUTED_VALUE"""),20.0)</f>
        <v>20</v>
      </c>
      <c r="F36" s="6">
        <f>IFERROR(__xludf.DUMMYFUNCTION("""COMPUTED_VALUE"""),15.0)</f>
        <v>15</v>
      </c>
      <c r="G36" s="6">
        <f>IFERROR(__xludf.DUMMYFUNCTION("""COMPUTED_VALUE"""),30.0)</f>
        <v>30</v>
      </c>
      <c r="H36" s="4" t="str">
        <f>IFERROR(__xludf.DUMMYFUNCTION("""COMPUTED_VALUE"""),"PHB 2024")</f>
        <v>PHB 2024</v>
      </c>
      <c r="I36" s="4" t="str">
        <f>IFERROR(__xludf.DUMMYFUNCTION("""COMPUTED_VALUE"""),"x")</f>
        <v>x</v>
      </c>
      <c r="J36" s="4" t="str">
        <f>IFERROR(__xludf.DUMMYFUNCTION("""COMPUTED_VALUE"""),"x")</f>
        <v>x</v>
      </c>
      <c r="K36" s="4" t="str">
        <f>IFERROR(__xludf.DUMMYFUNCTION("""COMPUTED_VALUE"""),"x")</f>
        <v>x</v>
      </c>
      <c r="L36" s="7" t="str">
        <f>IFERROR(__xludf.DUMMYFUNCTION("""COMPUTED_VALUE"""),"x")</f>
        <v>x</v>
      </c>
      <c r="M36" s="7"/>
      <c r="N36" s="7"/>
      <c r="O36" s="7"/>
      <c r="P36" s="7" t="str">
        <f>IFERROR(__xludf.DUMMYFUNCTION("""COMPUTED_VALUE"""),"x")</f>
        <v>x</v>
      </c>
      <c r="Q36" s="7"/>
      <c r="R36" s="4"/>
      <c r="S36" s="7"/>
      <c r="T36" s="4"/>
      <c r="U36" s="4"/>
      <c r="V36" s="7"/>
      <c r="W36" s="7"/>
      <c r="X36" s="7"/>
      <c r="Y36" s="7"/>
    </row>
    <row r="37">
      <c r="A37" s="4" t="str">
        <f>IFERROR(__xludf.DUMMYFUNCTION("""COMPUTED_VALUE"""),"Tools")</f>
        <v>Tools</v>
      </c>
      <c r="B37" s="4" t="str">
        <f>IFERROR(__xludf.DUMMYFUNCTION("""COMPUTED_VALUE"""),"Artisan's Tools")</f>
        <v>Artisan's Tools</v>
      </c>
      <c r="C37" s="8" t="str">
        <f>IFERROR(__xludf.DUMMYFUNCTION("""COMPUTED_VALUE"""),"Weaver's Tools")</f>
        <v>Weaver's Tools</v>
      </c>
      <c r="D37" s="5">
        <f>IFERROR(__xludf.DUMMYFUNCTION("""COMPUTED_VALUE"""),5.0)</f>
        <v>5</v>
      </c>
      <c r="E37" s="6">
        <f>IFERROR(__xludf.DUMMYFUNCTION("""COMPUTED_VALUE"""),1.0)</f>
        <v>1</v>
      </c>
      <c r="F37" s="6">
        <f>IFERROR(__xludf.DUMMYFUNCTION("""COMPUTED_VALUE"""),0.75)</f>
        <v>0.75</v>
      </c>
      <c r="G37" s="6">
        <f>IFERROR(__xludf.DUMMYFUNCTION("""COMPUTED_VALUE"""),1.5)</f>
        <v>1.5</v>
      </c>
      <c r="H37" s="4" t="str">
        <f>IFERROR(__xludf.DUMMYFUNCTION("""COMPUTED_VALUE"""),"PHB 2024")</f>
        <v>PHB 2024</v>
      </c>
      <c r="I37" s="4" t="str">
        <f>IFERROR(__xludf.DUMMYFUNCTION("""COMPUTED_VALUE"""),"x")</f>
        <v>x</v>
      </c>
      <c r="J37" s="4" t="str">
        <f>IFERROR(__xludf.DUMMYFUNCTION("""COMPUTED_VALUE"""),"x")</f>
        <v>x</v>
      </c>
      <c r="K37" s="4" t="str">
        <f>IFERROR(__xludf.DUMMYFUNCTION("""COMPUTED_VALUE"""),"x")</f>
        <v>x</v>
      </c>
      <c r="L37" s="7"/>
      <c r="M37" s="7"/>
      <c r="N37" s="7"/>
      <c r="O37" s="7"/>
      <c r="P37" s="7" t="str">
        <f>IFERROR(__xludf.DUMMYFUNCTION("""COMPUTED_VALUE"""),"x")</f>
        <v>x</v>
      </c>
      <c r="Q37" s="7"/>
      <c r="R37" s="4" t="str">
        <f>IFERROR(__xludf.DUMMYFUNCTION("""COMPUTED_VALUE"""),"x")</f>
        <v>x</v>
      </c>
      <c r="S37" s="7"/>
      <c r="T37" s="7"/>
      <c r="U37" s="7"/>
      <c r="V37" s="7"/>
      <c r="W37" s="4"/>
      <c r="X37" s="7"/>
      <c r="Y37" s="7"/>
    </row>
    <row r="38">
      <c r="A38" s="4" t="str">
        <f>IFERROR(__xludf.DUMMYFUNCTION("""COMPUTED_VALUE"""),"Tools")</f>
        <v>Tools</v>
      </c>
      <c r="B38" s="4" t="str">
        <f>IFERROR(__xludf.DUMMYFUNCTION("""COMPUTED_VALUE"""),"Artisan's Tools")</f>
        <v>Artisan's Tools</v>
      </c>
      <c r="C38" s="8" t="str">
        <f>IFERROR(__xludf.DUMMYFUNCTION("""COMPUTED_VALUE"""),"Woodcarver's Tools")</f>
        <v>Woodcarver's Tools</v>
      </c>
      <c r="D38" s="5">
        <f>IFERROR(__xludf.DUMMYFUNCTION("""COMPUTED_VALUE"""),5.0)</f>
        <v>5</v>
      </c>
      <c r="E38" s="6">
        <f>IFERROR(__xludf.DUMMYFUNCTION("""COMPUTED_VALUE"""),1.0)</f>
        <v>1</v>
      </c>
      <c r="F38" s="6">
        <f>IFERROR(__xludf.DUMMYFUNCTION("""COMPUTED_VALUE"""),0.75)</f>
        <v>0.75</v>
      </c>
      <c r="G38" s="6">
        <f>IFERROR(__xludf.DUMMYFUNCTION("""COMPUTED_VALUE"""),1.5)</f>
        <v>1.5</v>
      </c>
      <c r="H38" s="4" t="str">
        <f>IFERROR(__xludf.DUMMYFUNCTION("""COMPUTED_VALUE"""),"PHB 2024")</f>
        <v>PHB 2024</v>
      </c>
      <c r="I38" s="4" t="str">
        <f>IFERROR(__xludf.DUMMYFUNCTION("""COMPUTED_VALUE"""),"x")</f>
        <v>x</v>
      </c>
      <c r="J38" s="4" t="str">
        <f>IFERROR(__xludf.DUMMYFUNCTION("""COMPUTED_VALUE"""),"x")</f>
        <v>x</v>
      </c>
      <c r="K38" s="4" t="str">
        <f>IFERROR(__xludf.DUMMYFUNCTION("""COMPUTED_VALUE"""),"x")</f>
        <v>x</v>
      </c>
      <c r="L38" s="4"/>
      <c r="M38" s="7"/>
      <c r="N38" s="7"/>
      <c r="O38" s="7"/>
      <c r="P38" s="7" t="str">
        <f>IFERROR(__xludf.DUMMYFUNCTION("""COMPUTED_VALUE"""),"x")</f>
        <v>x</v>
      </c>
      <c r="Q38" s="4"/>
      <c r="R38" s="7"/>
      <c r="S38" s="7"/>
      <c r="T38" s="7"/>
      <c r="U38" s="7"/>
      <c r="V38" s="7"/>
      <c r="W38" s="4"/>
      <c r="X38" s="7"/>
      <c r="Y38" s="7"/>
    </row>
    <row r="39">
      <c r="A39" s="4" t="str">
        <f>IFERROR(__xludf.DUMMYFUNCTION("""COMPUTED_VALUE"""),"Tools")</f>
        <v>Tools</v>
      </c>
      <c r="B39" s="8" t="str">
        <f>IFERROR(__xludf.DUMMYFUNCTION("""COMPUTED_VALUE"""),"Gaming Set")</f>
        <v>Gaming Set</v>
      </c>
      <c r="C39" s="8" t="str">
        <f>IFERROR(__xludf.DUMMYFUNCTION("""COMPUTED_VALUE"""),"Dice")</f>
        <v>Dice</v>
      </c>
      <c r="D39" s="5" t="str">
        <f>IFERROR(__xludf.DUMMYFUNCTION("""COMPUTED_VALUE"""),"-")</f>
        <v>-</v>
      </c>
      <c r="E39" s="6">
        <f>IFERROR(__xludf.DUMMYFUNCTION("""COMPUTED_VALUE"""),0.1)</f>
        <v>0.1</v>
      </c>
      <c r="F39" s="6">
        <f>IFERROR(__xludf.DUMMYFUNCTION("""COMPUTED_VALUE"""),0.07500000000000001)</f>
        <v>0.075</v>
      </c>
      <c r="G39" s="6">
        <f>IFERROR(__xludf.DUMMYFUNCTION("""COMPUTED_VALUE"""),0.15000000000000002)</f>
        <v>0.15</v>
      </c>
      <c r="H39" s="4" t="str">
        <f>IFERROR(__xludf.DUMMYFUNCTION("""COMPUTED_VALUE"""),"PHB 2024")</f>
        <v>PHB 2024</v>
      </c>
      <c r="I39" s="4" t="str">
        <f>IFERROR(__xludf.DUMMYFUNCTION("""COMPUTED_VALUE"""),"x")</f>
        <v>x</v>
      </c>
      <c r="J39" s="4" t="str">
        <f>IFERROR(__xludf.DUMMYFUNCTION("""COMPUTED_VALUE"""),"x")</f>
        <v>x</v>
      </c>
      <c r="K39" s="4" t="str">
        <f>IFERROR(__xludf.DUMMYFUNCTION("""COMPUTED_VALUE"""),"x")</f>
        <v>x</v>
      </c>
      <c r="L39" s="7"/>
      <c r="M39" s="7"/>
      <c r="N39" s="7"/>
      <c r="O39" s="4"/>
      <c r="P39" s="7" t="str">
        <f>IFERROR(__xludf.DUMMYFUNCTION("""COMPUTED_VALUE"""),"x")</f>
        <v>x</v>
      </c>
      <c r="Q39" s="7"/>
      <c r="R39" s="7"/>
      <c r="S39" s="7"/>
      <c r="T39" s="7"/>
      <c r="U39" s="7"/>
      <c r="V39" s="7"/>
      <c r="W39" s="7" t="str">
        <f>IFERROR(__xludf.DUMMYFUNCTION("""COMPUTED_VALUE"""),"x")</f>
        <v>x</v>
      </c>
      <c r="X39" s="7"/>
      <c r="Y39" s="7"/>
    </row>
    <row r="40">
      <c r="A40" s="4" t="str">
        <f>IFERROR(__xludf.DUMMYFUNCTION("""COMPUTED_VALUE"""),"Tools")</f>
        <v>Tools</v>
      </c>
      <c r="B40" s="8" t="str">
        <f>IFERROR(__xludf.DUMMYFUNCTION("""COMPUTED_VALUE"""),"Gaming Set")</f>
        <v>Gaming Set</v>
      </c>
      <c r="C40" s="8" t="str">
        <f>IFERROR(__xludf.DUMMYFUNCTION("""COMPUTED_VALUE"""),"Dragonchess")</f>
        <v>Dragonchess</v>
      </c>
      <c r="D40" s="5" t="str">
        <f>IFERROR(__xludf.DUMMYFUNCTION("""COMPUTED_VALUE"""),"-")</f>
        <v>-</v>
      </c>
      <c r="E40" s="6">
        <f>IFERROR(__xludf.DUMMYFUNCTION("""COMPUTED_VALUE"""),1.0)</f>
        <v>1</v>
      </c>
      <c r="F40" s="6">
        <f>IFERROR(__xludf.DUMMYFUNCTION("""COMPUTED_VALUE"""),0.75)</f>
        <v>0.75</v>
      </c>
      <c r="G40" s="6">
        <f>IFERROR(__xludf.DUMMYFUNCTION("""COMPUTED_VALUE"""),1.5)</f>
        <v>1.5</v>
      </c>
      <c r="H40" s="4" t="str">
        <f>IFERROR(__xludf.DUMMYFUNCTION("""COMPUTED_VALUE"""),"PHB 2024")</f>
        <v>PHB 2024</v>
      </c>
      <c r="I40" s="4"/>
      <c r="J40" s="4" t="str">
        <f>IFERROR(__xludf.DUMMYFUNCTION("""COMPUTED_VALUE"""),"x")</f>
        <v>x</v>
      </c>
      <c r="K40" s="4" t="str">
        <f>IFERROR(__xludf.DUMMYFUNCTION("""COMPUTED_VALUE"""),"x")</f>
        <v>x</v>
      </c>
      <c r="L40" s="7"/>
      <c r="M40" s="7"/>
      <c r="N40" s="7"/>
      <c r="O40" s="7"/>
      <c r="P40" s="7" t="str">
        <f>IFERROR(__xludf.DUMMYFUNCTION("""COMPUTED_VALUE"""),"x")</f>
        <v>x</v>
      </c>
      <c r="Q40" s="7"/>
      <c r="R40" s="7"/>
      <c r="S40" s="7"/>
      <c r="T40" s="7"/>
      <c r="U40" s="4"/>
      <c r="V40" s="7"/>
      <c r="W40" s="7"/>
      <c r="X40" s="7"/>
      <c r="Y40" s="7"/>
    </row>
    <row r="41">
      <c r="A41" s="4" t="str">
        <f>IFERROR(__xludf.DUMMYFUNCTION("""COMPUTED_VALUE"""),"Tools")</f>
        <v>Tools</v>
      </c>
      <c r="B41" s="8" t="str">
        <f>IFERROR(__xludf.DUMMYFUNCTION("""COMPUTED_VALUE"""),"Gaming Set")</f>
        <v>Gaming Set</v>
      </c>
      <c r="C41" s="8" t="str">
        <f>IFERROR(__xludf.DUMMYFUNCTION("""COMPUTED_VALUE"""),"Playing Cards")</f>
        <v>Playing Cards</v>
      </c>
      <c r="D41" s="5" t="str">
        <f>IFERROR(__xludf.DUMMYFUNCTION("""COMPUTED_VALUE"""),"-")</f>
        <v>-</v>
      </c>
      <c r="E41" s="6">
        <f>IFERROR(__xludf.DUMMYFUNCTION("""COMPUTED_VALUE"""),0.5)</f>
        <v>0.5</v>
      </c>
      <c r="F41" s="6">
        <f>IFERROR(__xludf.DUMMYFUNCTION("""COMPUTED_VALUE"""),0.375)</f>
        <v>0.375</v>
      </c>
      <c r="G41" s="6">
        <f>IFERROR(__xludf.DUMMYFUNCTION("""COMPUTED_VALUE"""),0.75)</f>
        <v>0.75</v>
      </c>
      <c r="H41" s="4" t="str">
        <f>IFERROR(__xludf.DUMMYFUNCTION("""COMPUTED_VALUE"""),"PHB 2024")</f>
        <v>PHB 2024</v>
      </c>
      <c r="I41" s="4" t="str">
        <f>IFERROR(__xludf.DUMMYFUNCTION("""COMPUTED_VALUE"""),"x")</f>
        <v>x</v>
      </c>
      <c r="J41" s="4" t="str">
        <f>IFERROR(__xludf.DUMMYFUNCTION("""COMPUTED_VALUE"""),"x")</f>
        <v>x</v>
      </c>
      <c r="K41" s="4" t="str">
        <f>IFERROR(__xludf.DUMMYFUNCTION("""COMPUTED_VALUE"""),"x")</f>
        <v>x</v>
      </c>
      <c r="L41" s="7"/>
      <c r="M41" s="7"/>
      <c r="N41" s="7"/>
      <c r="O41" s="7"/>
      <c r="P41" s="7" t="str">
        <f>IFERROR(__xludf.DUMMYFUNCTION("""COMPUTED_VALUE"""),"x")</f>
        <v>x</v>
      </c>
      <c r="Q41" s="7"/>
      <c r="R41" s="7"/>
      <c r="S41" s="7"/>
      <c r="T41" s="7"/>
      <c r="U41" s="4"/>
      <c r="V41" s="7"/>
      <c r="W41" s="7" t="str">
        <f>IFERROR(__xludf.DUMMYFUNCTION("""COMPUTED_VALUE"""),"x")</f>
        <v>x</v>
      </c>
      <c r="X41" s="7"/>
      <c r="Y41" s="7"/>
    </row>
    <row r="42">
      <c r="A42" s="4" t="str">
        <f>IFERROR(__xludf.DUMMYFUNCTION("""COMPUTED_VALUE"""),"Tools")</f>
        <v>Tools</v>
      </c>
      <c r="B42" s="8" t="str">
        <f>IFERROR(__xludf.DUMMYFUNCTION("""COMPUTED_VALUE"""),"Gaming Set")</f>
        <v>Gaming Set</v>
      </c>
      <c r="C42" s="8" t="str">
        <f>IFERROR(__xludf.DUMMYFUNCTION("""COMPUTED_VALUE"""),"Three-Dragon Ante")</f>
        <v>Three-Dragon Ante</v>
      </c>
      <c r="D42" s="5" t="str">
        <f>IFERROR(__xludf.DUMMYFUNCTION("""COMPUTED_VALUE"""),"-")</f>
        <v>-</v>
      </c>
      <c r="E42" s="6">
        <f>IFERROR(__xludf.DUMMYFUNCTION("""COMPUTED_VALUE"""),1.0)</f>
        <v>1</v>
      </c>
      <c r="F42" s="6">
        <f>IFERROR(__xludf.DUMMYFUNCTION("""COMPUTED_VALUE"""),0.75)</f>
        <v>0.75</v>
      </c>
      <c r="G42" s="6">
        <f>IFERROR(__xludf.DUMMYFUNCTION("""COMPUTED_VALUE"""),1.5)</f>
        <v>1.5</v>
      </c>
      <c r="H42" s="4" t="str">
        <f>IFERROR(__xludf.DUMMYFUNCTION("""COMPUTED_VALUE"""),"PHB 2024")</f>
        <v>PHB 2024</v>
      </c>
      <c r="I42" s="4"/>
      <c r="J42" s="4" t="str">
        <f>IFERROR(__xludf.DUMMYFUNCTION("""COMPUTED_VALUE"""),"x")</f>
        <v>x</v>
      </c>
      <c r="K42" s="4" t="str">
        <f>IFERROR(__xludf.DUMMYFUNCTION("""COMPUTED_VALUE"""),"x")</f>
        <v>x</v>
      </c>
      <c r="L42" s="7"/>
      <c r="M42" s="7"/>
      <c r="N42" s="7"/>
      <c r="O42" s="7"/>
      <c r="P42" s="7" t="str">
        <f>IFERROR(__xludf.DUMMYFUNCTION("""COMPUTED_VALUE"""),"x")</f>
        <v>x</v>
      </c>
      <c r="Q42" s="7"/>
      <c r="R42" s="7"/>
      <c r="S42" s="7"/>
      <c r="T42" s="7"/>
      <c r="U42" s="4"/>
      <c r="V42" s="7"/>
      <c r="W42" s="7"/>
      <c r="X42" s="7"/>
      <c r="Y42" s="7"/>
    </row>
    <row r="43">
      <c r="A43" s="4"/>
      <c r="B43" s="4"/>
      <c r="C43" s="8"/>
      <c r="D43" s="5"/>
      <c r="E43" s="6"/>
      <c r="F43" s="6"/>
      <c r="G43" s="6"/>
      <c r="H43" s="4"/>
      <c r="I43" s="4"/>
      <c r="J43" s="4"/>
      <c r="K43" s="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4"/>
      <c r="B44" s="4"/>
      <c r="C44" s="8"/>
      <c r="D44" s="5"/>
      <c r="E44" s="6"/>
      <c r="F44" s="6"/>
      <c r="G44" s="6"/>
      <c r="H44" s="4"/>
      <c r="I44" s="4"/>
      <c r="J44" s="4"/>
      <c r="K44" s="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4"/>
      <c r="B45" s="4"/>
      <c r="C45" s="8"/>
      <c r="D45" s="5"/>
      <c r="E45" s="6"/>
      <c r="F45" s="6"/>
      <c r="G45" s="6"/>
      <c r="H45" s="4"/>
      <c r="I45" s="4"/>
      <c r="J45" s="4"/>
      <c r="K45" s="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4"/>
      <c r="B46" s="4"/>
      <c r="C46" s="8"/>
      <c r="D46" s="5"/>
      <c r="E46" s="6"/>
      <c r="F46" s="6"/>
      <c r="G46" s="6"/>
      <c r="H46" s="4"/>
      <c r="I46" s="4"/>
      <c r="J46" s="4"/>
      <c r="K46" s="4"/>
      <c r="L46" s="7"/>
      <c r="M46" s="7"/>
      <c r="N46" s="7"/>
      <c r="O46" s="4"/>
      <c r="P46" s="4"/>
      <c r="Q46" s="4"/>
      <c r="R46" s="7"/>
      <c r="S46" s="7"/>
      <c r="T46" s="4"/>
      <c r="U46" s="7"/>
      <c r="V46" s="7"/>
      <c r="W46" s="7"/>
      <c r="X46" s="7"/>
      <c r="Y46" s="7"/>
    </row>
    <row r="47">
      <c r="A47" s="4"/>
      <c r="B47" s="4"/>
      <c r="C47" s="8"/>
      <c r="D47" s="5"/>
      <c r="E47" s="6"/>
      <c r="F47" s="6"/>
      <c r="G47" s="6"/>
      <c r="H47" s="4"/>
      <c r="I47" s="4"/>
      <c r="J47" s="4"/>
      <c r="K47" s="4"/>
      <c r="L47" s="4"/>
      <c r="M47" s="7"/>
      <c r="N47" s="7"/>
      <c r="O47" s="7"/>
      <c r="P47" s="7"/>
      <c r="Q47" s="4"/>
      <c r="R47" s="7"/>
      <c r="S47" s="7"/>
      <c r="T47" s="7"/>
      <c r="U47" s="7"/>
      <c r="V47" s="7"/>
      <c r="W47" s="4"/>
      <c r="X47" s="7"/>
      <c r="Y47" s="7"/>
    </row>
    <row r="48">
      <c r="A48" s="4"/>
      <c r="B48" s="4"/>
      <c r="C48" s="8"/>
      <c r="D48" s="5"/>
      <c r="E48" s="6"/>
      <c r="F48" s="6"/>
      <c r="G48" s="6"/>
      <c r="H48" s="4"/>
      <c r="I48" s="4"/>
      <c r="J48" s="4"/>
      <c r="K48" s="4"/>
      <c r="L48" s="7"/>
      <c r="M48" s="7"/>
      <c r="N48" s="7"/>
      <c r="O48" s="4"/>
      <c r="P48" s="7"/>
      <c r="Q48" s="4"/>
      <c r="R48" s="7"/>
      <c r="S48" s="7"/>
      <c r="T48" s="7"/>
      <c r="U48" s="7"/>
      <c r="V48" s="7"/>
      <c r="W48" s="7"/>
      <c r="X48" s="7"/>
      <c r="Y48" s="7"/>
    </row>
    <row r="49">
      <c r="A49" s="4"/>
      <c r="B49" s="4"/>
      <c r="C49" s="8"/>
      <c r="D49" s="5"/>
      <c r="E49" s="6"/>
      <c r="F49" s="6"/>
      <c r="G49" s="6"/>
      <c r="H49" s="4"/>
      <c r="I49" s="4"/>
      <c r="J49" s="4"/>
      <c r="K49" s="4"/>
      <c r="L49" s="7"/>
      <c r="M49" s="7"/>
      <c r="N49" s="7"/>
      <c r="O49" s="4"/>
      <c r="P49" s="7"/>
      <c r="Q49" s="7"/>
      <c r="R49" s="7"/>
      <c r="S49" s="4"/>
      <c r="T49" s="7"/>
      <c r="U49" s="7"/>
      <c r="V49" s="7"/>
      <c r="W49" s="7"/>
      <c r="X49" s="7"/>
      <c r="Y49" s="7"/>
    </row>
    <row r="50">
      <c r="A50" s="4"/>
      <c r="B50" s="4"/>
      <c r="C50" s="8"/>
      <c r="D50" s="5"/>
      <c r="E50" s="6"/>
      <c r="F50" s="6"/>
      <c r="G50" s="6"/>
      <c r="H50" s="4"/>
      <c r="I50" s="4"/>
      <c r="J50" s="4"/>
      <c r="K50" s="4"/>
      <c r="L50" s="7"/>
      <c r="M50" s="7"/>
      <c r="N50" s="7"/>
      <c r="O50" s="4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4"/>
      <c r="B51" s="4"/>
      <c r="C51" s="8"/>
      <c r="D51" s="5"/>
      <c r="E51" s="6"/>
      <c r="F51" s="6"/>
      <c r="G51" s="6"/>
      <c r="H51" s="4"/>
      <c r="I51" s="4"/>
      <c r="J51" s="4"/>
      <c r="K51" s="4"/>
      <c r="L51" s="7"/>
      <c r="M51" s="7"/>
      <c r="N51" s="7"/>
      <c r="O51" s="4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4"/>
      <c r="B52" s="4"/>
      <c r="C52" s="8"/>
      <c r="D52" s="5"/>
      <c r="E52" s="6"/>
      <c r="F52" s="6"/>
      <c r="G52" s="6"/>
      <c r="H52" s="4"/>
      <c r="I52" s="4"/>
      <c r="J52" s="4"/>
      <c r="K52" s="4"/>
      <c r="L52" s="7"/>
      <c r="M52" s="7"/>
      <c r="N52" s="7"/>
      <c r="O52" s="4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4"/>
      <c r="B53" s="4"/>
      <c r="C53" s="8"/>
      <c r="D53" s="5"/>
      <c r="E53" s="6"/>
      <c r="F53" s="6"/>
      <c r="G53" s="6"/>
      <c r="H53" s="4"/>
      <c r="I53" s="4"/>
      <c r="J53" s="4"/>
      <c r="K53" s="4"/>
      <c r="L53" s="4"/>
      <c r="M53" s="7"/>
      <c r="N53" s="7"/>
      <c r="O53" s="7"/>
      <c r="P53" s="7"/>
      <c r="Q53" s="4"/>
      <c r="R53" s="7"/>
      <c r="S53" s="7"/>
      <c r="T53" s="7"/>
      <c r="U53" s="7"/>
      <c r="V53" s="7"/>
      <c r="W53" s="7"/>
      <c r="X53" s="7"/>
      <c r="Y53" s="7"/>
    </row>
    <row r="54">
      <c r="A54" s="4"/>
      <c r="B54" s="4"/>
      <c r="C54" s="8"/>
      <c r="D54" s="5"/>
      <c r="E54" s="6"/>
      <c r="F54" s="6"/>
      <c r="G54" s="6"/>
      <c r="H54" s="4"/>
      <c r="I54" s="4"/>
      <c r="J54" s="4"/>
      <c r="K54" s="4"/>
      <c r="L54" s="7"/>
      <c r="M54" s="7"/>
      <c r="N54" s="7"/>
      <c r="O54" s="4"/>
      <c r="P54" s="4"/>
      <c r="Q54" s="4"/>
      <c r="R54" s="7"/>
      <c r="S54" s="7"/>
      <c r="T54" s="7"/>
      <c r="U54" s="4"/>
      <c r="V54" s="7"/>
      <c r="W54" s="4"/>
      <c r="X54" s="7"/>
      <c r="Y54" s="7"/>
    </row>
    <row r="55">
      <c r="A55" s="4"/>
      <c r="B55" s="4"/>
      <c r="C55" s="8"/>
      <c r="D55" s="5"/>
      <c r="E55" s="6"/>
      <c r="F55" s="6"/>
      <c r="G55" s="6"/>
      <c r="H55" s="4"/>
      <c r="I55" s="4"/>
      <c r="J55" s="4"/>
      <c r="K55" s="4"/>
      <c r="L55" s="7"/>
      <c r="M55" s="7"/>
      <c r="N55" s="7"/>
      <c r="O55" s="4"/>
      <c r="P55" s="4"/>
      <c r="Q55" s="4"/>
      <c r="R55" s="7"/>
      <c r="S55" s="7"/>
      <c r="T55" s="7"/>
      <c r="U55" s="4"/>
      <c r="V55" s="7"/>
      <c r="W55" s="4"/>
      <c r="X55" s="7"/>
      <c r="Y55" s="7"/>
    </row>
    <row r="56">
      <c r="A56" s="4"/>
      <c r="B56" s="4"/>
      <c r="C56" s="8"/>
      <c r="D56" s="5"/>
      <c r="E56" s="6"/>
      <c r="F56" s="6"/>
      <c r="G56" s="6"/>
      <c r="H56" s="4"/>
      <c r="I56" s="4"/>
      <c r="J56" s="4"/>
      <c r="K56" s="4"/>
      <c r="L56" s="7"/>
      <c r="M56" s="7"/>
      <c r="N56" s="7"/>
      <c r="O56" s="7"/>
      <c r="P56" s="4"/>
      <c r="Q56" s="4"/>
      <c r="R56" s="7"/>
      <c r="S56" s="7"/>
      <c r="T56" s="7"/>
      <c r="U56" s="7"/>
      <c r="V56" s="7"/>
      <c r="W56" s="7"/>
      <c r="X56" s="7"/>
      <c r="Y56" s="7"/>
    </row>
    <row r="57">
      <c r="A57" s="4"/>
      <c r="B57" s="4"/>
      <c r="C57" s="8"/>
      <c r="D57" s="5"/>
      <c r="E57" s="6"/>
      <c r="F57" s="6"/>
      <c r="G57" s="6"/>
      <c r="H57" s="4"/>
      <c r="I57" s="4"/>
      <c r="J57" s="4"/>
      <c r="K57" s="4"/>
      <c r="L57" s="7"/>
      <c r="M57" s="7"/>
      <c r="N57" s="7"/>
      <c r="O57" s="7"/>
      <c r="P57" s="4"/>
      <c r="Q57" s="4"/>
      <c r="R57" s="7"/>
      <c r="S57" s="7"/>
      <c r="T57" s="7"/>
      <c r="U57" s="7"/>
      <c r="V57" s="7"/>
      <c r="W57" s="7"/>
      <c r="X57" s="7"/>
      <c r="Y57" s="7"/>
    </row>
    <row r="58">
      <c r="A58" s="4"/>
      <c r="B58" s="4"/>
      <c r="C58" s="8"/>
      <c r="D58" s="5"/>
      <c r="E58" s="6"/>
      <c r="F58" s="6"/>
      <c r="G58" s="6"/>
      <c r="H58" s="4"/>
      <c r="I58" s="4"/>
      <c r="J58" s="4"/>
      <c r="K58" s="4"/>
      <c r="L58" s="4"/>
      <c r="M58" s="7"/>
      <c r="N58" s="7"/>
      <c r="O58" s="4"/>
      <c r="P58" s="4"/>
      <c r="Q58" s="7"/>
      <c r="R58" s="7"/>
      <c r="S58" s="7"/>
      <c r="T58" s="7"/>
      <c r="U58" s="7"/>
      <c r="V58" s="7"/>
      <c r="W58" s="7"/>
      <c r="X58" s="7"/>
      <c r="Y58" s="7"/>
    </row>
    <row r="59">
      <c r="A59" s="4"/>
      <c r="B59" s="4"/>
      <c r="C59" s="8"/>
      <c r="D59" s="5"/>
      <c r="E59" s="6"/>
      <c r="F59" s="6"/>
      <c r="G59" s="6"/>
      <c r="H59" s="4"/>
      <c r="I59" s="4"/>
      <c r="J59" s="4"/>
      <c r="K59" s="4"/>
      <c r="L59" s="4"/>
      <c r="M59" s="7"/>
      <c r="N59" s="7"/>
      <c r="O59" s="7"/>
      <c r="P59" s="7"/>
      <c r="Q59" s="4"/>
      <c r="R59" s="7"/>
      <c r="S59" s="7"/>
      <c r="T59" s="7"/>
      <c r="U59" s="7"/>
      <c r="V59" s="7"/>
      <c r="W59" s="4"/>
      <c r="X59" s="7"/>
      <c r="Y59" s="7"/>
    </row>
    <row r="60">
      <c r="A60" s="4"/>
      <c r="B60" s="4"/>
      <c r="C60" s="8"/>
      <c r="D60" s="5"/>
      <c r="E60" s="6"/>
      <c r="F60" s="6"/>
      <c r="G60" s="6"/>
      <c r="H60" s="4"/>
      <c r="I60" s="4"/>
      <c r="J60" s="4"/>
      <c r="K60" s="4"/>
      <c r="L60" s="4"/>
      <c r="M60" s="7"/>
      <c r="N60" s="7"/>
      <c r="O60" s="4"/>
      <c r="P60" s="4"/>
      <c r="Q60" s="4"/>
      <c r="R60" s="7"/>
      <c r="S60" s="7"/>
      <c r="T60" s="7"/>
      <c r="U60" s="7"/>
      <c r="V60" s="7"/>
      <c r="W60" s="7"/>
      <c r="X60" s="7"/>
      <c r="Y60" s="7"/>
    </row>
    <row r="61">
      <c r="A61" s="4"/>
      <c r="B61" s="4"/>
      <c r="C61" s="8"/>
      <c r="D61" s="5"/>
      <c r="E61" s="6"/>
      <c r="F61" s="6"/>
      <c r="G61" s="6"/>
      <c r="H61" s="4"/>
      <c r="I61" s="4"/>
      <c r="J61" s="4"/>
      <c r="K61" s="4"/>
      <c r="L61" s="4"/>
      <c r="M61" s="7"/>
      <c r="N61" s="7"/>
      <c r="O61" s="7"/>
      <c r="P61" s="4"/>
      <c r="Q61" s="4"/>
      <c r="R61" s="7"/>
      <c r="S61" s="7"/>
      <c r="T61" s="7"/>
      <c r="U61" s="7"/>
      <c r="V61" s="7"/>
      <c r="W61" s="4"/>
      <c r="X61" s="7"/>
      <c r="Y61" s="7"/>
    </row>
    <row r="62">
      <c r="A62" s="4"/>
      <c r="B62" s="4"/>
      <c r="C62" s="8"/>
      <c r="D62" s="5"/>
      <c r="E62" s="6"/>
      <c r="F62" s="6"/>
      <c r="G62" s="6"/>
      <c r="H62" s="4"/>
      <c r="I62" s="4"/>
      <c r="J62" s="4"/>
      <c r="K62" s="4"/>
      <c r="L62" s="7"/>
      <c r="M62" s="7"/>
      <c r="N62" s="7"/>
      <c r="O62" s="4"/>
      <c r="P62" s="7"/>
      <c r="Q62" s="7"/>
      <c r="R62" s="7"/>
      <c r="S62" s="4"/>
      <c r="T62" s="7"/>
      <c r="U62" s="7"/>
      <c r="V62" s="7"/>
      <c r="W62" s="7"/>
      <c r="X62" s="7"/>
      <c r="Y62" s="7"/>
    </row>
    <row r="63">
      <c r="A63" s="4"/>
      <c r="B63" s="4"/>
      <c r="C63" s="8"/>
      <c r="D63" s="5"/>
      <c r="E63" s="6"/>
      <c r="F63" s="6"/>
      <c r="G63" s="6"/>
      <c r="H63" s="4"/>
      <c r="I63" s="4"/>
      <c r="J63" s="4"/>
      <c r="K63" s="4"/>
      <c r="L63" s="4"/>
      <c r="M63" s="7"/>
      <c r="N63" s="7"/>
      <c r="O63" s="7"/>
      <c r="P63" s="7"/>
      <c r="Q63" s="7"/>
      <c r="R63" s="7"/>
      <c r="S63" s="7"/>
      <c r="T63" s="7"/>
      <c r="U63" s="7"/>
      <c r="V63" s="7"/>
      <c r="W63" s="4"/>
      <c r="X63" s="7"/>
      <c r="Y63" s="7"/>
    </row>
    <row r="64">
      <c r="A64" s="4"/>
      <c r="B64" s="4"/>
      <c r="C64" s="8"/>
      <c r="D64" s="5"/>
      <c r="E64" s="6"/>
      <c r="F64" s="6"/>
      <c r="G64" s="6"/>
      <c r="H64" s="4"/>
      <c r="I64" s="4"/>
      <c r="J64" s="4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4"/>
      <c r="B65" s="4"/>
      <c r="C65" s="8"/>
      <c r="D65" s="5"/>
      <c r="E65" s="6"/>
      <c r="F65" s="6"/>
      <c r="G65" s="6"/>
      <c r="H65" s="4"/>
      <c r="I65" s="4"/>
      <c r="J65" s="4"/>
      <c r="K65" s="4"/>
      <c r="L65" s="4"/>
      <c r="M65" s="7"/>
      <c r="N65" s="7"/>
      <c r="O65" s="7"/>
      <c r="P65" s="4"/>
      <c r="Q65" s="4"/>
      <c r="R65" s="7"/>
      <c r="S65" s="7"/>
      <c r="T65" s="7"/>
      <c r="U65" s="7"/>
      <c r="V65" s="7"/>
      <c r="W65" s="7"/>
      <c r="X65" s="7"/>
      <c r="Y65" s="7"/>
    </row>
    <row r="66">
      <c r="A66" s="4"/>
      <c r="B66" s="4"/>
      <c r="C66" s="8"/>
      <c r="D66" s="5"/>
      <c r="E66" s="6"/>
      <c r="F66" s="6"/>
      <c r="G66" s="6"/>
      <c r="H66" s="4"/>
      <c r="I66" s="4"/>
      <c r="J66" s="4"/>
      <c r="K66" s="4"/>
      <c r="L66" s="7"/>
      <c r="M66" s="7"/>
      <c r="N66" s="7"/>
      <c r="O66" s="7"/>
      <c r="P66" s="4"/>
      <c r="Q66" s="7"/>
      <c r="R66" s="7"/>
      <c r="S66" s="7"/>
      <c r="T66" s="7"/>
      <c r="U66" s="7"/>
      <c r="V66" s="7"/>
      <c r="W66" s="7"/>
      <c r="X66" s="7"/>
      <c r="Y66" s="7"/>
    </row>
    <row r="67">
      <c r="A67" s="4"/>
      <c r="B67" s="4"/>
      <c r="C67" s="8"/>
      <c r="D67" s="5"/>
      <c r="E67" s="6"/>
      <c r="F67" s="6"/>
      <c r="G67" s="6"/>
      <c r="H67" s="4"/>
      <c r="I67" s="4"/>
      <c r="J67" s="4"/>
      <c r="K67" s="4"/>
      <c r="L67" s="7"/>
      <c r="M67" s="7"/>
      <c r="N67" s="7"/>
      <c r="O67" s="4"/>
      <c r="P67" s="7"/>
      <c r="Q67" s="7"/>
      <c r="R67" s="7"/>
      <c r="S67" s="7"/>
      <c r="T67" s="4"/>
      <c r="U67" s="7"/>
      <c r="V67" s="7"/>
      <c r="W67" s="4"/>
      <c r="X67" s="7"/>
      <c r="Y67" s="7"/>
    </row>
    <row r="68">
      <c r="A68" s="4"/>
      <c r="B68" s="4"/>
      <c r="C68" s="8"/>
      <c r="D68" s="5"/>
      <c r="E68" s="6"/>
      <c r="F68" s="6"/>
      <c r="G68" s="6"/>
      <c r="H68" s="4"/>
      <c r="I68" s="4"/>
      <c r="J68" s="4"/>
      <c r="K68" s="4"/>
      <c r="L68" s="7"/>
      <c r="M68" s="7"/>
      <c r="N68" s="7"/>
      <c r="O68" s="4"/>
      <c r="P68" s="4"/>
      <c r="Q68" s="4"/>
      <c r="R68" s="7"/>
      <c r="S68" s="7"/>
      <c r="T68" s="7"/>
      <c r="U68" s="4"/>
      <c r="V68" s="7"/>
      <c r="W68" s="7"/>
      <c r="X68" s="7"/>
      <c r="Y68" s="7"/>
    </row>
    <row r="69">
      <c r="A69" s="4"/>
      <c r="B69" s="4"/>
      <c r="C69" s="8"/>
      <c r="D69" s="5"/>
      <c r="E69" s="6"/>
      <c r="F69" s="6"/>
      <c r="G69" s="6"/>
      <c r="H69" s="4"/>
      <c r="I69" s="4"/>
      <c r="J69" s="4"/>
      <c r="K69" s="4"/>
      <c r="L69" s="7"/>
      <c r="M69" s="7"/>
      <c r="N69" s="7"/>
      <c r="O69" s="4"/>
      <c r="P69" s="4"/>
      <c r="Q69" s="4"/>
      <c r="R69" s="7"/>
      <c r="S69" s="7"/>
      <c r="T69" s="7"/>
      <c r="U69" s="4"/>
      <c r="V69" s="7"/>
      <c r="W69" s="7"/>
      <c r="X69" s="7"/>
      <c r="Y69" s="7"/>
    </row>
    <row r="70">
      <c r="A70" s="4"/>
      <c r="B70" s="4"/>
      <c r="C70" s="8"/>
      <c r="D70" s="5"/>
      <c r="E70" s="6"/>
      <c r="F70" s="6"/>
      <c r="G70" s="6"/>
      <c r="H70" s="4"/>
      <c r="I70" s="4"/>
      <c r="J70" s="4"/>
      <c r="K70" s="4"/>
      <c r="L70" s="7"/>
      <c r="M70" s="7"/>
      <c r="N70" s="7"/>
      <c r="O70" s="4"/>
      <c r="P70" s="7"/>
      <c r="Q70" s="7"/>
      <c r="R70" s="7"/>
      <c r="S70" s="7"/>
      <c r="T70" s="4"/>
      <c r="U70" s="7"/>
      <c r="V70" s="7"/>
      <c r="W70" s="7"/>
      <c r="X70" s="7"/>
      <c r="Y70" s="7"/>
    </row>
    <row r="71">
      <c r="A71" s="4"/>
      <c r="B71" s="4"/>
      <c r="C71" s="8"/>
      <c r="D71" s="5"/>
      <c r="E71" s="6"/>
      <c r="F71" s="6"/>
      <c r="G71" s="6"/>
      <c r="H71" s="4"/>
      <c r="I71" s="4"/>
      <c r="J71" s="4"/>
      <c r="K71" s="4"/>
      <c r="L71" s="7"/>
      <c r="M71" s="7"/>
      <c r="N71" s="7"/>
      <c r="O71" s="7"/>
      <c r="P71" s="7"/>
      <c r="Q71" s="7"/>
      <c r="R71" s="7"/>
      <c r="S71" s="7"/>
      <c r="T71" s="4"/>
      <c r="U71" s="7"/>
      <c r="V71" s="7"/>
      <c r="W71" s="4"/>
      <c r="X71" s="7"/>
      <c r="Y71" s="7"/>
    </row>
    <row r="72">
      <c r="A72" s="4"/>
      <c r="B72" s="4"/>
      <c r="C72" s="8"/>
      <c r="D72" s="5"/>
      <c r="E72" s="6"/>
      <c r="F72" s="6"/>
      <c r="G72" s="6"/>
      <c r="H72" s="4"/>
      <c r="I72" s="4"/>
      <c r="J72" s="4"/>
      <c r="K72" s="4"/>
      <c r="L72" s="7"/>
      <c r="M72" s="7"/>
      <c r="N72" s="7"/>
      <c r="O72" s="7"/>
      <c r="P72" s="7"/>
      <c r="Q72" s="4"/>
      <c r="R72" s="7"/>
      <c r="S72" s="7"/>
      <c r="T72" s="7"/>
      <c r="U72" s="7"/>
      <c r="V72" s="7"/>
      <c r="W72" s="7"/>
      <c r="X72" s="7"/>
      <c r="Y72" s="7"/>
    </row>
    <row r="73">
      <c r="A73" s="4"/>
      <c r="B73" s="4"/>
      <c r="C73" s="8"/>
      <c r="D73" s="5"/>
      <c r="E73" s="6"/>
      <c r="F73" s="6"/>
      <c r="G73" s="6"/>
      <c r="H73" s="4"/>
      <c r="I73" s="4"/>
      <c r="J73" s="4"/>
      <c r="K73" s="4"/>
      <c r="L73" s="4"/>
      <c r="M73" s="7"/>
      <c r="N73" s="7"/>
      <c r="O73" s="7"/>
      <c r="P73" s="4"/>
      <c r="Q73" s="4"/>
      <c r="R73" s="7"/>
      <c r="S73" s="7"/>
      <c r="T73" s="7"/>
      <c r="U73" s="7"/>
      <c r="V73" s="7"/>
      <c r="W73" s="7"/>
      <c r="X73" s="7"/>
      <c r="Y73" s="7"/>
    </row>
    <row r="74">
      <c r="A74" s="4"/>
      <c r="B74" s="4"/>
      <c r="C74" s="8"/>
      <c r="D74" s="5"/>
      <c r="E74" s="6"/>
      <c r="F74" s="6"/>
      <c r="G74" s="6"/>
      <c r="H74" s="4"/>
      <c r="I74" s="4"/>
      <c r="J74" s="4"/>
      <c r="K74" s="4"/>
      <c r="L74" s="7"/>
      <c r="M74" s="7"/>
      <c r="N74" s="7"/>
      <c r="O74" s="4"/>
      <c r="P74" s="7"/>
      <c r="Q74" s="7"/>
      <c r="R74" s="7"/>
      <c r="S74" s="7"/>
      <c r="T74" s="4"/>
      <c r="U74" s="7"/>
      <c r="V74" s="7"/>
      <c r="W74" s="7"/>
      <c r="X74" s="7"/>
      <c r="Y74" s="7"/>
    </row>
    <row r="75">
      <c r="A75" s="4"/>
      <c r="B75" s="4"/>
      <c r="C75" s="8"/>
      <c r="D75" s="5"/>
      <c r="E75" s="6"/>
      <c r="F75" s="6"/>
      <c r="G75" s="6"/>
      <c r="H75" s="4"/>
      <c r="I75" s="4"/>
      <c r="J75" s="4"/>
      <c r="K75" s="4"/>
      <c r="L75" s="7"/>
      <c r="M75" s="7"/>
      <c r="N75" s="7"/>
      <c r="O75" s="7"/>
      <c r="P75" s="4"/>
      <c r="Q75" s="4"/>
      <c r="R75" s="4"/>
      <c r="S75" s="7"/>
      <c r="T75" s="4"/>
      <c r="U75" s="4"/>
      <c r="V75" s="7"/>
      <c r="W75" s="4"/>
      <c r="X75" s="4"/>
      <c r="Y75" s="4"/>
    </row>
    <row r="76">
      <c r="A76" s="4"/>
      <c r="B76" s="4"/>
      <c r="C76" s="8"/>
      <c r="D76" s="5"/>
      <c r="E76" s="6"/>
      <c r="F76" s="6"/>
      <c r="G76" s="6"/>
      <c r="H76" s="4"/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4"/>
      <c r="B77" s="4"/>
      <c r="C77" s="8"/>
      <c r="D77" s="5"/>
      <c r="E77" s="6"/>
      <c r="F77" s="6"/>
      <c r="G77" s="6"/>
      <c r="H77" s="4"/>
      <c r="I77" s="4"/>
      <c r="J77" s="4"/>
      <c r="K77" s="4"/>
      <c r="L77" s="7"/>
      <c r="M77" s="4"/>
      <c r="N77" s="7"/>
      <c r="O77" s="7"/>
      <c r="P77" s="7"/>
      <c r="Q77" s="4"/>
      <c r="R77" s="7"/>
      <c r="S77" s="7"/>
      <c r="T77" s="7"/>
      <c r="U77" s="7"/>
      <c r="V77" s="7"/>
      <c r="W77" s="7"/>
      <c r="X77" s="7"/>
      <c r="Y77" s="7"/>
    </row>
    <row r="78">
      <c r="A78" s="4"/>
      <c r="B78" s="4"/>
      <c r="C78" s="8"/>
      <c r="D78" s="5"/>
      <c r="E78" s="6"/>
      <c r="F78" s="6"/>
      <c r="G78" s="6"/>
      <c r="H78" s="4"/>
      <c r="I78" s="4"/>
      <c r="J78" s="4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"/>
      <c r="X78" s="7"/>
      <c r="Y78" s="7"/>
    </row>
    <row r="79">
      <c r="A79" s="4"/>
      <c r="B79" s="4"/>
      <c r="C79" s="8"/>
      <c r="D79" s="5"/>
      <c r="E79" s="6"/>
      <c r="F79" s="6"/>
      <c r="G79" s="6"/>
      <c r="H79" s="4"/>
      <c r="I79" s="4"/>
      <c r="J79" s="4"/>
      <c r="K79" s="4"/>
      <c r="L79" s="7"/>
      <c r="M79" s="7"/>
      <c r="N79" s="7"/>
      <c r="O79" s="4"/>
      <c r="P79" s="7"/>
      <c r="Q79" s="4"/>
      <c r="R79" s="4"/>
      <c r="S79" s="7"/>
      <c r="T79" s="7"/>
      <c r="U79" s="4"/>
      <c r="V79" s="7"/>
      <c r="W79" s="7"/>
      <c r="X79" s="7"/>
      <c r="Y79" s="7"/>
    </row>
    <row r="80">
      <c r="A80" s="4"/>
      <c r="B80" s="4"/>
      <c r="C80" s="8"/>
      <c r="D80" s="5"/>
      <c r="E80" s="6"/>
      <c r="F80" s="6"/>
      <c r="G80" s="6"/>
      <c r="H80" s="4"/>
      <c r="I80" s="4"/>
      <c r="J80" s="4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4"/>
      <c r="B81" s="4"/>
      <c r="C81" s="8"/>
      <c r="D81" s="5"/>
      <c r="E81" s="6"/>
      <c r="F81" s="6"/>
      <c r="G81" s="6"/>
      <c r="H81" s="4"/>
      <c r="I81" s="4"/>
      <c r="J81" s="4"/>
      <c r="K81" s="4"/>
      <c r="L81" s="7"/>
      <c r="M81" s="7"/>
      <c r="N81" s="7"/>
      <c r="O81" s="7"/>
      <c r="P81" s="4"/>
      <c r="Q81" s="4"/>
      <c r="R81" s="7"/>
      <c r="S81" s="7"/>
      <c r="T81" s="7"/>
      <c r="U81" s="7"/>
      <c r="V81" s="7"/>
      <c r="W81" s="4"/>
      <c r="X81" s="7"/>
      <c r="Y81" s="7"/>
    </row>
    <row r="82">
      <c r="A82" s="4"/>
      <c r="B82" s="4"/>
      <c r="C82" s="8"/>
      <c r="D82" s="5"/>
      <c r="E82" s="6"/>
      <c r="F82" s="6"/>
      <c r="G82" s="6"/>
      <c r="H82" s="4"/>
      <c r="I82" s="4"/>
      <c r="J82" s="4"/>
      <c r="K82" s="4"/>
      <c r="L82" s="7"/>
      <c r="M82" s="7"/>
      <c r="N82" s="7"/>
      <c r="O82" s="7"/>
      <c r="P82" s="4"/>
      <c r="Q82" s="4"/>
      <c r="R82" s="4"/>
      <c r="S82" s="7"/>
      <c r="T82" s="7"/>
      <c r="U82" s="7"/>
      <c r="V82" s="7"/>
      <c r="W82" s="7"/>
      <c r="X82" s="7"/>
      <c r="Y82" s="7"/>
    </row>
    <row r="83">
      <c r="A83" s="4"/>
      <c r="B83" s="4"/>
      <c r="C83" s="8"/>
      <c r="D83" s="5"/>
      <c r="E83" s="6"/>
      <c r="F83" s="6"/>
      <c r="G83" s="6"/>
      <c r="H83" s="4"/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4"/>
      <c r="B84" s="4"/>
      <c r="C84" s="8"/>
      <c r="D84" s="5"/>
      <c r="E84" s="6"/>
      <c r="F84" s="6"/>
      <c r="G84" s="6"/>
      <c r="H84" s="4"/>
      <c r="I84" s="4"/>
      <c r="J84" s="4"/>
      <c r="K84" s="4"/>
      <c r="L84" s="7"/>
      <c r="M84" s="7"/>
      <c r="N84" s="7"/>
      <c r="O84" s="7"/>
      <c r="P84" s="4"/>
      <c r="Q84" s="4"/>
      <c r="R84" s="7"/>
      <c r="S84" s="7"/>
      <c r="T84" s="7"/>
      <c r="U84" s="7"/>
      <c r="V84" s="7"/>
      <c r="W84" s="7"/>
      <c r="X84" s="7"/>
      <c r="Y84" s="7"/>
    </row>
    <row r="85">
      <c r="A85" s="4"/>
      <c r="B85" s="4"/>
      <c r="C85" s="8"/>
      <c r="D85" s="5"/>
      <c r="E85" s="6"/>
      <c r="F85" s="6"/>
      <c r="G85" s="6"/>
      <c r="H85" s="4"/>
      <c r="I85" s="4"/>
      <c r="J85" s="4"/>
      <c r="K85" s="4"/>
      <c r="L85" s="7"/>
      <c r="M85" s="7"/>
      <c r="N85" s="7"/>
      <c r="O85" s="7"/>
      <c r="P85" s="7"/>
      <c r="Q85" s="4"/>
      <c r="R85" s="7"/>
      <c r="S85" s="7"/>
      <c r="T85" s="7"/>
      <c r="U85" s="7"/>
      <c r="V85" s="7"/>
      <c r="W85" s="7"/>
      <c r="X85" s="7"/>
      <c r="Y85" s="7"/>
    </row>
    <row r="86">
      <c r="A86" s="4"/>
      <c r="B86" s="4"/>
      <c r="C86" s="8"/>
      <c r="D86" s="5"/>
      <c r="E86" s="6"/>
      <c r="F86" s="6"/>
      <c r="G86" s="6"/>
      <c r="H86" s="4"/>
      <c r="I86" s="4"/>
      <c r="J86" s="4"/>
      <c r="K86" s="4"/>
      <c r="L86" s="7"/>
      <c r="M86" s="7"/>
      <c r="N86" s="7"/>
      <c r="O86" s="7"/>
      <c r="P86" s="7"/>
      <c r="Q86" s="7"/>
      <c r="R86" s="7"/>
      <c r="S86" s="7"/>
      <c r="T86" s="7"/>
      <c r="U86" s="4"/>
      <c r="V86" s="7"/>
      <c r="W86" s="7"/>
      <c r="X86" s="7"/>
      <c r="Y86" s="7"/>
    </row>
    <row r="87">
      <c r="A87" s="4"/>
      <c r="B87" s="4"/>
      <c r="C87" s="8"/>
      <c r="D87" s="5"/>
      <c r="E87" s="6"/>
      <c r="F87" s="6"/>
      <c r="G87" s="6"/>
      <c r="H87" s="4"/>
      <c r="I87" s="4"/>
      <c r="J87" s="4"/>
      <c r="K87" s="4"/>
      <c r="L87" s="7"/>
      <c r="M87" s="7"/>
      <c r="N87" s="7"/>
      <c r="O87" s="7"/>
      <c r="P87" s="7"/>
      <c r="Q87" s="7"/>
      <c r="R87" s="7"/>
      <c r="S87" s="7"/>
      <c r="T87" s="7"/>
      <c r="U87" s="4"/>
      <c r="V87" s="7"/>
      <c r="W87" s="7"/>
      <c r="X87" s="7"/>
      <c r="Y87" s="7"/>
    </row>
    <row r="88">
      <c r="A88" s="4"/>
      <c r="B88" s="4"/>
      <c r="C88" s="8"/>
      <c r="D88" s="5"/>
      <c r="E88" s="6"/>
      <c r="F88" s="6"/>
      <c r="G88" s="6"/>
      <c r="H88" s="4"/>
      <c r="I88" s="4"/>
      <c r="J88" s="4"/>
      <c r="K88" s="4"/>
      <c r="L88" s="4"/>
      <c r="M88" s="7"/>
      <c r="N88" s="7"/>
      <c r="O88" s="7"/>
      <c r="P88" s="7"/>
      <c r="Q88" s="7"/>
      <c r="R88" s="7"/>
      <c r="S88" s="7"/>
      <c r="T88" s="7"/>
      <c r="U88" s="7"/>
      <c r="V88" s="7"/>
      <c r="W88" s="4"/>
      <c r="X88" s="7"/>
      <c r="Y88" s="7"/>
    </row>
    <row r="89">
      <c r="A89" s="4"/>
      <c r="B89" s="4"/>
      <c r="C89" s="8"/>
      <c r="D89" s="5"/>
      <c r="E89" s="6"/>
      <c r="F89" s="6"/>
      <c r="G89" s="6"/>
      <c r="H89" s="4"/>
      <c r="I89" s="4"/>
      <c r="J89" s="4"/>
      <c r="K89" s="4"/>
      <c r="L89" s="7"/>
      <c r="M89" s="7"/>
      <c r="N89" s="7"/>
      <c r="O89" s="7"/>
      <c r="P89" s="7"/>
      <c r="Q89" s="4"/>
      <c r="R89" s="7"/>
      <c r="S89" s="7"/>
      <c r="T89" s="7"/>
      <c r="U89" s="7"/>
      <c r="V89" s="7"/>
      <c r="W89" s="7"/>
      <c r="X89" s="7"/>
      <c r="Y89" s="7"/>
    </row>
    <row r="90">
      <c r="A90" s="4"/>
      <c r="B90" s="4"/>
      <c r="C90" s="8"/>
      <c r="D90" s="5"/>
      <c r="E90" s="6"/>
      <c r="F90" s="6"/>
      <c r="G90" s="6"/>
      <c r="H90" s="4"/>
      <c r="I90" s="4"/>
      <c r="J90" s="4"/>
      <c r="K90" s="4"/>
      <c r="L90" s="7"/>
      <c r="M90" s="7"/>
      <c r="N90" s="7"/>
      <c r="O90" s="7"/>
      <c r="P90" s="4"/>
      <c r="Q90" s="7"/>
      <c r="R90" s="7"/>
      <c r="S90" s="7"/>
      <c r="T90" s="7"/>
      <c r="U90" s="7"/>
      <c r="V90" s="7"/>
      <c r="W90" s="7"/>
      <c r="X90" s="7"/>
      <c r="Y90" s="7"/>
    </row>
    <row r="91">
      <c r="A91" s="4"/>
      <c r="B91" s="4"/>
      <c r="C91" s="8"/>
      <c r="D91" s="5"/>
      <c r="E91" s="6"/>
      <c r="F91" s="6"/>
      <c r="G91" s="6"/>
      <c r="H91" s="4"/>
      <c r="I91" s="4"/>
      <c r="J91" s="4"/>
      <c r="K91" s="4"/>
      <c r="L91" s="7"/>
      <c r="M91" s="7"/>
      <c r="N91" s="7"/>
      <c r="O91" s="7"/>
      <c r="P91" s="7"/>
      <c r="Q91" s="4"/>
      <c r="R91" s="4"/>
      <c r="S91" s="7"/>
      <c r="T91" s="7"/>
      <c r="U91" s="7"/>
      <c r="V91" s="7"/>
      <c r="W91" s="7"/>
      <c r="X91" s="7"/>
      <c r="Y91" s="7"/>
    </row>
    <row r="92">
      <c r="A92" s="4"/>
      <c r="B92" s="4"/>
      <c r="C92" s="8"/>
      <c r="D92" s="5"/>
      <c r="E92" s="6"/>
      <c r="F92" s="6"/>
      <c r="G92" s="6"/>
      <c r="H92" s="4"/>
      <c r="I92" s="4"/>
      <c r="J92" s="4"/>
      <c r="K92" s="4"/>
      <c r="L92" s="7"/>
      <c r="M92" s="7"/>
      <c r="N92" s="7"/>
      <c r="O92" s="7"/>
      <c r="P92" s="7"/>
      <c r="Q92" s="4"/>
      <c r="R92" s="7"/>
      <c r="S92" s="7"/>
      <c r="T92" s="7"/>
      <c r="U92" s="7"/>
      <c r="V92" s="7"/>
      <c r="W92" s="7"/>
      <c r="X92" s="7"/>
      <c r="Y92" s="7"/>
    </row>
    <row r="93">
      <c r="A93" s="4"/>
      <c r="B93" s="4"/>
      <c r="C93" s="8"/>
      <c r="D93" s="5"/>
      <c r="E93" s="6"/>
      <c r="F93" s="6"/>
      <c r="G93" s="6"/>
      <c r="H93" s="4"/>
      <c r="I93" s="4"/>
      <c r="J93" s="4"/>
      <c r="K93" s="4"/>
      <c r="L93" s="7"/>
      <c r="M93" s="7"/>
      <c r="N93" s="7"/>
      <c r="O93" s="4"/>
      <c r="P93" s="7"/>
      <c r="Q93" s="4"/>
      <c r="R93" s="7"/>
      <c r="S93" s="7"/>
      <c r="T93" s="7"/>
      <c r="U93" s="7"/>
      <c r="V93" s="7"/>
      <c r="W93" s="7"/>
      <c r="X93" s="7"/>
      <c r="Y93" s="7"/>
    </row>
    <row r="94">
      <c r="A94" s="4"/>
      <c r="B94" s="4"/>
      <c r="C94" s="8"/>
      <c r="D94" s="5"/>
      <c r="E94" s="6"/>
      <c r="F94" s="6"/>
      <c r="G94" s="6"/>
      <c r="H94" s="4"/>
      <c r="I94" s="4"/>
      <c r="J94" s="4"/>
      <c r="K94" s="4"/>
      <c r="L94" s="7"/>
      <c r="M94" s="7"/>
      <c r="N94" s="7"/>
      <c r="O94" s="4"/>
      <c r="P94" s="4"/>
      <c r="Q94" s="4"/>
      <c r="R94" s="7"/>
      <c r="S94" s="7"/>
      <c r="T94" s="4"/>
      <c r="U94" s="4"/>
      <c r="V94" s="7"/>
      <c r="W94" s="4"/>
      <c r="X94" s="7"/>
      <c r="Y94" s="7"/>
    </row>
    <row r="95">
      <c r="A95" s="4"/>
      <c r="B95" s="4"/>
      <c r="C95" s="8"/>
      <c r="D95" s="5"/>
      <c r="E95" s="6"/>
      <c r="F95" s="6"/>
      <c r="G95" s="6"/>
      <c r="H95" s="4"/>
      <c r="I95" s="4"/>
      <c r="J95" s="4"/>
      <c r="K95" s="4"/>
      <c r="L95" s="7"/>
      <c r="M95" s="7"/>
      <c r="N95" s="4"/>
      <c r="O95" s="4"/>
      <c r="P95" s="7"/>
      <c r="Q95" s="4"/>
      <c r="R95" s="7"/>
      <c r="S95" s="7"/>
      <c r="T95" s="7"/>
      <c r="U95" s="7"/>
      <c r="V95" s="7"/>
      <c r="W95" s="7"/>
      <c r="X95" s="7"/>
      <c r="Y95" s="7"/>
    </row>
    <row r="96">
      <c r="A96" s="4"/>
      <c r="B96" s="4"/>
      <c r="C96" s="8"/>
      <c r="D96" s="5"/>
      <c r="E96" s="6"/>
      <c r="F96" s="6"/>
      <c r="G96" s="6"/>
      <c r="H96" s="4"/>
      <c r="I96" s="4"/>
      <c r="J96" s="4"/>
      <c r="K96" s="4"/>
      <c r="L96" s="7"/>
      <c r="M96" s="7"/>
      <c r="N96" s="7"/>
      <c r="O96" s="7"/>
      <c r="P96" s="7"/>
      <c r="Q96" s="4"/>
      <c r="R96" s="7"/>
      <c r="S96" s="7"/>
      <c r="T96" s="7"/>
      <c r="U96" s="7"/>
      <c r="V96" s="7"/>
      <c r="W96" s="7"/>
      <c r="X96" s="7"/>
      <c r="Y96" s="7"/>
    </row>
    <row r="97">
      <c r="A97" s="4"/>
      <c r="B97" s="4"/>
      <c r="C97" s="8"/>
      <c r="D97" s="5"/>
      <c r="E97" s="6"/>
      <c r="F97" s="6"/>
      <c r="G97" s="6"/>
      <c r="H97" s="4"/>
      <c r="I97" s="4"/>
      <c r="J97" s="4"/>
      <c r="K97" s="4"/>
      <c r="L97" s="4"/>
      <c r="M97" s="7"/>
      <c r="N97" s="7"/>
      <c r="O97" s="7"/>
      <c r="P97" s="7"/>
      <c r="Q97" s="4"/>
      <c r="R97" s="7"/>
      <c r="S97" s="7"/>
      <c r="T97" s="7"/>
      <c r="U97" s="7"/>
      <c r="V97" s="7"/>
      <c r="W97" s="4"/>
      <c r="X97" s="7"/>
      <c r="Y97" s="7"/>
    </row>
    <row r="98">
      <c r="A98" s="4"/>
      <c r="B98" s="4"/>
      <c r="C98" s="8"/>
      <c r="D98" s="5"/>
      <c r="E98" s="6"/>
      <c r="F98" s="6"/>
      <c r="G98" s="6"/>
      <c r="H98" s="4"/>
      <c r="I98" s="4"/>
      <c r="J98" s="4"/>
      <c r="K98" s="4"/>
      <c r="L98" s="7"/>
      <c r="M98" s="7"/>
      <c r="N98" s="7"/>
      <c r="O98" s="7"/>
      <c r="P98" s="7"/>
      <c r="Q98" s="4"/>
      <c r="R98" s="7"/>
      <c r="S98" s="7"/>
      <c r="T98" s="7"/>
      <c r="U98" s="7"/>
      <c r="V98" s="7"/>
      <c r="W98" s="7"/>
      <c r="X98" s="7"/>
      <c r="Y98" s="7"/>
    </row>
    <row r="99">
      <c r="A99" s="4"/>
      <c r="B99" s="4"/>
      <c r="C99" s="8"/>
      <c r="D99" s="5"/>
      <c r="E99" s="6"/>
      <c r="F99" s="6"/>
      <c r="G99" s="6"/>
      <c r="H99" s="4"/>
      <c r="I99" s="4"/>
      <c r="J99" s="4"/>
      <c r="K99" s="4"/>
      <c r="L99" s="4"/>
      <c r="M99" s="7"/>
      <c r="N99" s="7"/>
      <c r="O99" s="7"/>
      <c r="P99" s="7"/>
      <c r="Q99" s="4"/>
      <c r="R99" s="7"/>
      <c r="S99" s="7"/>
      <c r="T99" s="7"/>
      <c r="U99" s="7"/>
      <c r="V99" s="7"/>
      <c r="W99" s="7"/>
      <c r="X99" s="7"/>
      <c r="Y99" s="7"/>
    </row>
    <row r="100">
      <c r="A100" s="4"/>
      <c r="B100" s="4"/>
      <c r="C100" s="8"/>
      <c r="D100" s="5"/>
      <c r="E100" s="6"/>
      <c r="F100" s="6"/>
      <c r="G100" s="6"/>
      <c r="H100" s="4"/>
      <c r="I100" s="4"/>
      <c r="J100" s="4"/>
      <c r="K100" s="4"/>
      <c r="L100" s="4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4"/>
      <c r="B101" s="4"/>
      <c r="C101" s="8"/>
      <c r="D101" s="5"/>
      <c r="E101" s="6"/>
      <c r="F101" s="6"/>
      <c r="G101" s="6"/>
      <c r="H101" s="4"/>
      <c r="I101" s="4"/>
      <c r="J101" s="4"/>
      <c r="K101" s="4"/>
      <c r="L101" s="4"/>
      <c r="M101" s="7"/>
      <c r="N101" s="7"/>
      <c r="O101" s="7"/>
      <c r="P101" s="7"/>
      <c r="Q101" s="4"/>
      <c r="R101" s="7"/>
      <c r="S101" s="7"/>
      <c r="T101" s="7"/>
      <c r="U101" s="7"/>
      <c r="V101" s="7"/>
      <c r="W101" s="7"/>
      <c r="X101" s="7"/>
      <c r="Y101" s="7"/>
    </row>
    <row r="102">
      <c r="A102" s="4"/>
      <c r="B102" s="4"/>
      <c r="C102" s="8"/>
      <c r="D102" s="5"/>
      <c r="E102" s="6"/>
      <c r="F102" s="6"/>
      <c r="G102" s="6"/>
      <c r="H102" s="4"/>
      <c r="I102" s="4"/>
      <c r="J102" s="4"/>
      <c r="K102" s="4"/>
      <c r="L102" s="4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4"/>
      <c r="B103" s="4"/>
      <c r="C103" s="8"/>
      <c r="D103" s="5"/>
      <c r="E103" s="6"/>
      <c r="F103" s="6"/>
      <c r="G103" s="6"/>
      <c r="H103" s="4"/>
      <c r="I103" s="4"/>
      <c r="J103" s="4"/>
      <c r="K103" s="4"/>
      <c r="L103" s="7"/>
      <c r="M103" s="7"/>
      <c r="N103" s="7"/>
      <c r="O103" s="7"/>
      <c r="P103" s="7"/>
      <c r="Q103" s="4"/>
      <c r="R103" s="7"/>
      <c r="S103" s="7"/>
      <c r="T103" s="7"/>
      <c r="U103" s="4"/>
      <c r="V103" s="7"/>
      <c r="W103" s="7"/>
      <c r="X103" s="7"/>
      <c r="Y103" s="7"/>
    </row>
    <row r="104">
      <c r="A104" s="4"/>
      <c r="B104" s="4"/>
      <c r="C104" s="8"/>
      <c r="D104" s="5"/>
      <c r="E104" s="6"/>
      <c r="F104" s="6"/>
      <c r="G104" s="6"/>
      <c r="H104" s="4"/>
      <c r="I104" s="4"/>
      <c r="J104" s="4"/>
      <c r="K104" s="4"/>
      <c r="L104" s="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4"/>
      <c r="B105" s="4"/>
      <c r="C105" s="8"/>
      <c r="D105" s="5"/>
      <c r="E105" s="6"/>
      <c r="F105" s="6"/>
      <c r="G105" s="6"/>
      <c r="H105" s="4"/>
      <c r="I105" s="4"/>
      <c r="J105" s="4"/>
      <c r="K105" s="4"/>
      <c r="L105" s="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4"/>
      <c r="B106" s="4"/>
      <c r="C106" s="8"/>
      <c r="D106" s="5"/>
      <c r="E106" s="6"/>
      <c r="F106" s="6"/>
      <c r="G106" s="6"/>
      <c r="H106" s="4"/>
      <c r="I106" s="4"/>
      <c r="J106" s="4"/>
      <c r="K106" s="4"/>
      <c r="L106" s="4"/>
      <c r="M106" s="7"/>
      <c r="N106" s="7"/>
      <c r="O106" s="7"/>
      <c r="P106" s="7"/>
      <c r="Q106" s="4"/>
      <c r="R106" s="7"/>
      <c r="S106" s="7"/>
      <c r="T106" s="7"/>
      <c r="U106" s="7"/>
      <c r="V106" s="7"/>
      <c r="W106" s="4"/>
      <c r="X106" s="7"/>
      <c r="Y106" s="7"/>
    </row>
    <row r="107">
      <c r="A107" s="4"/>
      <c r="B107" s="4"/>
      <c r="C107" s="8"/>
      <c r="D107" s="5"/>
      <c r="E107" s="6"/>
      <c r="F107" s="6"/>
      <c r="G107" s="6"/>
      <c r="H107" s="4"/>
      <c r="I107" s="4"/>
      <c r="J107" s="4"/>
      <c r="K107" s="4"/>
      <c r="L107" s="7"/>
      <c r="M107" s="4"/>
      <c r="N107" s="7"/>
      <c r="O107" s="7"/>
      <c r="P107" s="7"/>
      <c r="Q107" s="4"/>
      <c r="R107" s="7"/>
      <c r="S107" s="7"/>
      <c r="T107" s="7"/>
      <c r="U107" s="7"/>
      <c r="V107" s="7"/>
      <c r="W107" s="4"/>
      <c r="X107" s="7"/>
      <c r="Y107" s="7"/>
    </row>
    <row r="108">
      <c r="A108" s="4"/>
      <c r="B108" s="4"/>
      <c r="C108" s="8"/>
      <c r="D108" s="5"/>
      <c r="E108" s="6"/>
      <c r="F108" s="6"/>
      <c r="G108" s="6"/>
      <c r="H108" s="4"/>
      <c r="I108" s="4"/>
      <c r="J108" s="4"/>
      <c r="K108" s="4"/>
      <c r="L108" s="7"/>
      <c r="M108" s="4"/>
      <c r="N108" s="7"/>
      <c r="O108" s="7"/>
      <c r="P108" s="7"/>
      <c r="Q108" s="4"/>
      <c r="R108" s="7"/>
      <c r="S108" s="7"/>
      <c r="T108" s="7"/>
      <c r="U108" s="7"/>
      <c r="V108" s="7"/>
      <c r="W108" s="4"/>
      <c r="X108" s="7"/>
      <c r="Y108" s="7"/>
    </row>
    <row r="109">
      <c r="A109" s="4"/>
      <c r="B109" s="4"/>
      <c r="C109" s="8"/>
      <c r="D109" s="5"/>
      <c r="E109" s="6"/>
      <c r="F109" s="6"/>
      <c r="G109" s="6"/>
      <c r="H109" s="4"/>
      <c r="I109" s="4"/>
      <c r="J109" s="4"/>
      <c r="K109" s="4"/>
      <c r="L109" s="7"/>
      <c r="M109" s="7"/>
      <c r="N109" s="4"/>
      <c r="O109" s="7"/>
      <c r="P109" s="7"/>
      <c r="Q109" s="4"/>
      <c r="R109" s="7"/>
      <c r="S109" s="7"/>
      <c r="T109" s="7"/>
      <c r="U109" s="7"/>
      <c r="V109" s="7"/>
      <c r="W109" s="7"/>
      <c r="X109" s="7"/>
      <c r="Y109" s="7"/>
    </row>
    <row r="110">
      <c r="A110" s="4"/>
      <c r="B110" s="4"/>
      <c r="C110" s="8"/>
      <c r="D110" s="5"/>
      <c r="E110" s="6"/>
      <c r="F110" s="6"/>
      <c r="G110" s="6"/>
      <c r="H110" s="4"/>
      <c r="I110" s="4"/>
      <c r="J110" s="4"/>
      <c r="K110" s="4"/>
      <c r="L110" s="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4"/>
      <c r="B111" s="4"/>
      <c r="C111" s="8"/>
      <c r="D111" s="5"/>
      <c r="E111" s="6"/>
      <c r="F111" s="6"/>
      <c r="G111" s="6"/>
      <c r="H111" s="4"/>
      <c r="I111" s="4"/>
      <c r="J111" s="4"/>
      <c r="K111" s="4"/>
      <c r="L111" s="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4"/>
      <c r="B112" s="4"/>
      <c r="C112" s="8"/>
      <c r="D112" s="5"/>
      <c r="E112" s="6"/>
      <c r="F112" s="6"/>
      <c r="G112" s="6"/>
      <c r="H112" s="4"/>
      <c r="I112" s="4"/>
      <c r="J112" s="4"/>
      <c r="K112" s="4"/>
      <c r="L112" s="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4"/>
      <c r="B113" s="4"/>
      <c r="C113" s="8"/>
      <c r="D113" s="5"/>
      <c r="E113" s="6"/>
      <c r="F113" s="6"/>
      <c r="G113" s="6"/>
      <c r="H113" s="4"/>
      <c r="I113" s="4"/>
      <c r="J113" s="4"/>
      <c r="K113" s="4"/>
      <c r="L113" s="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4"/>
      <c r="B114" s="4"/>
      <c r="C114" s="8"/>
      <c r="D114" s="5"/>
      <c r="E114" s="6"/>
      <c r="F114" s="6"/>
      <c r="G114" s="6"/>
      <c r="H114" s="4"/>
      <c r="I114" s="4"/>
      <c r="J114" s="4"/>
      <c r="K114" s="4"/>
      <c r="L114" s="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4"/>
      <c r="B115" s="4"/>
      <c r="C115" s="8"/>
      <c r="D115" s="5"/>
      <c r="E115" s="6"/>
      <c r="F115" s="6"/>
      <c r="G115" s="6"/>
      <c r="H115" s="4"/>
      <c r="I115" s="4"/>
      <c r="J115" s="4"/>
      <c r="K115" s="4"/>
      <c r="L115" s="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4"/>
      <c r="B116" s="4"/>
      <c r="C116" s="8"/>
      <c r="D116" s="5"/>
      <c r="E116" s="6"/>
      <c r="F116" s="6"/>
      <c r="G116" s="6"/>
      <c r="H116" s="4"/>
      <c r="I116" s="4"/>
      <c r="J116" s="4"/>
      <c r="K116" s="4"/>
      <c r="L116" s="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4"/>
      <c r="B117" s="4"/>
      <c r="C117" s="8"/>
      <c r="D117" s="5"/>
      <c r="E117" s="6"/>
      <c r="F117" s="6"/>
      <c r="G117" s="6"/>
      <c r="H117" s="4"/>
      <c r="I117" s="4"/>
      <c r="J117" s="4"/>
      <c r="K117" s="4"/>
      <c r="L117" s="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4"/>
      <c r="B118" s="4"/>
      <c r="C118" s="8"/>
      <c r="D118" s="5"/>
      <c r="E118" s="6"/>
      <c r="F118" s="6"/>
      <c r="G118" s="6"/>
      <c r="H118" s="4"/>
      <c r="I118" s="4"/>
      <c r="J118" s="4"/>
      <c r="K118" s="4"/>
      <c r="L118" s="4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4"/>
      <c r="B119" s="4"/>
      <c r="C119" s="8"/>
      <c r="D119" s="5"/>
      <c r="E119" s="6"/>
      <c r="F119" s="6"/>
      <c r="G119" s="6"/>
      <c r="H119" s="4"/>
      <c r="I119" s="4"/>
      <c r="J119" s="4"/>
      <c r="K119" s="4"/>
      <c r="L119" s="4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4"/>
      <c r="B120" s="4"/>
      <c r="C120" s="8"/>
      <c r="D120" s="5"/>
      <c r="E120" s="6"/>
      <c r="F120" s="6"/>
      <c r="G120" s="6"/>
      <c r="H120" s="4"/>
      <c r="I120" s="4"/>
      <c r="J120" s="4"/>
      <c r="K120" s="4"/>
      <c r="L120" s="4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4"/>
      <c r="B121" s="4"/>
      <c r="C121" s="8"/>
      <c r="D121" s="5"/>
      <c r="E121" s="6"/>
      <c r="F121" s="6"/>
      <c r="G121" s="6"/>
      <c r="H121" s="4"/>
      <c r="I121" s="4"/>
      <c r="J121" s="4"/>
      <c r="K121" s="4"/>
      <c r="L121" s="4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"/>
      <c r="X121" s="7"/>
      <c r="Y121" s="7"/>
    </row>
    <row r="122">
      <c r="A122" s="4"/>
      <c r="B122" s="4"/>
      <c r="C122" s="8"/>
      <c r="D122" s="5"/>
      <c r="E122" s="6"/>
      <c r="F122" s="6"/>
      <c r="G122" s="6"/>
      <c r="H122" s="4"/>
      <c r="I122" s="4"/>
      <c r="J122" s="4"/>
      <c r="K122" s="4"/>
      <c r="L122" s="4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4"/>
      <c r="B123" s="4"/>
      <c r="C123" s="8"/>
      <c r="D123" s="5"/>
      <c r="E123" s="6"/>
      <c r="F123" s="6"/>
      <c r="G123" s="6"/>
      <c r="H123" s="4"/>
      <c r="I123" s="4"/>
      <c r="J123" s="4"/>
      <c r="K123" s="4"/>
      <c r="L123" s="4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"/>
      <c r="X123" s="7"/>
      <c r="Y123" s="7"/>
    </row>
    <row r="124">
      <c r="A124" s="4"/>
      <c r="B124" s="4"/>
      <c r="C124" s="8"/>
      <c r="D124" s="5"/>
      <c r="E124" s="6"/>
      <c r="F124" s="6"/>
      <c r="G124" s="6"/>
      <c r="H124" s="4"/>
      <c r="I124" s="4"/>
      <c r="J124" s="4"/>
      <c r="K124" s="4"/>
      <c r="L124" s="4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4"/>
      <c r="B125" s="4"/>
      <c r="C125" s="8"/>
      <c r="D125" s="5"/>
      <c r="E125" s="6"/>
      <c r="F125" s="6"/>
      <c r="G125" s="6"/>
      <c r="H125" s="4"/>
      <c r="I125" s="4"/>
      <c r="J125" s="4"/>
      <c r="K125" s="4"/>
      <c r="L125" s="4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4"/>
      <c r="B126" s="4"/>
      <c r="C126" s="8"/>
      <c r="D126" s="5"/>
      <c r="E126" s="6"/>
      <c r="F126" s="6"/>
      <c r="G126" s="6"/>
      <c r="H126" s="4"/>
      <c r="I126" s="4"/>
      <c r="J126" s="4"/>
      <c r="K126" s="4"/>
      <c r="L126" s="4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4"/>
      <c r="B127" s="4"/>
      <c r="C127" s="8"/>
      <c r="D127" s="5"/>
      <c r="E127" s="6"/>
      <c r="F127" s="6"/>
      <c r="G127" s="6"/>
      <c r="H127" s="4"/>
      <c r="I127" s="4"/>
      <c r="J127" s="4"/>
      <c r="K127" s="4"/>
      <c r="L127" s="7"/>
      <c r="M127" s="7"/>
      <c r="N127" s="7"/>
      <c r="O127" s="7"/>
      <c r="P127" s="7"/>
      <c r="Q127" s="4"/>
      <c r="R127" s="7"/>
      <c r="S127" s="7"/>
      <c r="T127" s="7"/>
      <c r="U127" s="7"/>
      <c r="V127" s="7"/>
      <c r="W127" s="7"/>
      <c r="X127" s="7"/>
      <c r="Y127" s="7"/>
    </row>
    <row r="128">
      <c r="A128" s="4"/>
      <c r="B128" s="4"/>
      <c r="C128" s="8"/>
      <c r="D128" s="5"/>
      <c r="E128" s="6"/>
      <c r="F128" s="6"/>
      <c r="G128" s="6"/>
      <c r="H128" s="4"/>
      <c r="I128" s="4"/>
      <c r="J128" s="4"/>
      <c r="K128" s="4"/>
      <c r="L128" s="7"/>
      <c r="M128" s="7"/>
      <c r="N128" s="7"/>
      <c r="O128" s="7"/>
      <c r="P128" s="7"/>
      <c r="Q128" s="4"/>
      <c r="R128" s="7"/>
      <c r="S128" s="7"/>
      <c r="T128" s="7"/>
      <c r="U128" s="7"/>
      <c r="V128" s="7"/>
      <c r="W128" s="4"/>
      <c r="X128" s="7"/>
      <c r="Y128" s="7"/>
    </row>
    <row r="129">
      <c r="A129" s="4"/>
      <c r="B129" s="4"/>
      <c r="C129" s="8"/>
      <c r="D129" s="5"/>
      <c r="E129" s="6"/>
      <c r="F129" s="6"/>
      <c r="G129" s="6"/>
      <c r="H129" s="4"/>
      <c r="I129" s="4"/>
      <c r="J129" s="4"/>
      <c r="K129" s="4"/>
      <c r="L129" s="7"/>
      <c r="M129" s="4"/>
      <c r="N129" s="7"/>
      <c r="O129" s="7"/>
      <c r="P129" s="7"/>
      <c r="Q129" s="4"/>
      <c r="R129" s="7"/>
      <c r="S129" s="7"/>
      <c r="T129" s="7"/>
      <c r="U129" s="7"/>
      <c r="V129" s="7"/>
      <c r="W129" s="4"/>
      <c r="X129" s="7"/>
      <c r="Y129" s="7"/>
    </row>
    <row r="130">
      <c r="A130" s="4"/>
      <c r="B130" s="4"/>
      <c r="C130" s="8"/>
      <c r="D130" s="5"/>
      <c r="E130" s="6"/>
      <c r="F130" s="6"/>
      <c r="G130" s="6"/>
      <c r="H130" s="4"/>
      <c r="I130" s="4"/>
      <c r="J130" s="4"/>
      <c r="K130" s="4"/>
      <c r="L130" s="7"/>
      <c r="M130" s="4"/>
      <c r="N130" s="7"/>
      <c r="O130" s="7"/>
      <c r="P130" s="7"/>
      <c r="Q130" s="4"/>
      <c r="R130" s="7"/>
      <c r="S130" s="7"/>
      <c r="T130" s="7"/>
      <c r="U130" s="7"/>
      <c r="V130" s="7"/>
      <c r="W130" s="4"/>
      <c r="X130" s="7"/>
      <c r="Y130" s="7"/>
    </row>
    <row r="131">
      <c r="A131" s="4"/>
      <c r="B131" s="4"/>
      <c r="C131" s="8"/>
      <c r="D131" s="5"/>
      <c r="E131" s="6"/>
      <c r="F131" s="6"/>
      <c r="G131" s="6"/>
      <c r="H131" s="4"/>
      <c r="I131" s="4"/>
      <c r="J131" s="4"/>
      <c r="K131" s="4"/>
      <c r="L131" s="7"/>
      <c r="M131" s="4"/>
      <c r="N131" s="7"/>
      <c r="O131" s="7"/>
      <c r="P131" s="7"/>
      <c r="Q131" s="4"/>
      <c r="R131" s="7"/>
      <c r="S131" s="7"/>
      <c r="T131" s="7"/>
      <c r="U131" s="7"/>
      <c r="V131" s="7"/>
      <c r="W131" s="4"/>
      <c r="X131" s="7"/>
      <c r="Y131" s="7"/>
    </row>
    <row r="132">
      <c r="A132" s="4"/>
      <c r="B132" s="4"/>
      <c r="C132" s="8"/>
      <c r="D132" s="5"/>
      <c r="E132" s="6"/>
      <c r="F132" s="6"/>
      <c r="G132" s="6"/>
      <c r="H132" s="4"/>
      <c r="I132" s="4"/>
      <c r="J132" s="4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"/>
      <c r="X132" s="4"/>
      <c r="Y132" s="4"/>
    </row>
    <row r="133">
      <c r="A133" s="4"/>
      <c r="B133" s="4"/>
      <c r="C133" s="8"/>
      <c r="D133" s="5"/>
      <c r="E133" s="6"/>
      <c r="F133" s="6"/>
      <c r="G133" s="6"/>
      <c r="H133" s="4"/>
      <c r="I133" s="4"/>
      <c r="J133" s="4"/>
      <c r="K133" s="4"/>
      <c r="L133" s="7"/>
      <c r="M133" s="7"/>
      <c r="N133" s="7"/>
      <c r="O133" s="7"/>
      <c r="P133" s="7"/>
      <c r="Q133" s="4"/>
      <c r="R133" s="7"/>
      <c r="S133" s="7"/>
      <c r="T133" s="7"/>
      <c r="U133" s="7"/>
      <c r="V133" s="7"/>
      <c r="W133" s="4"/>
      <c r="X133" s="4"/>
      <c r="Y133" s="4"/>
    </row>
    <row r="134">
      <c r="A134" s="4"/>
      <c r="B134" s="4"/>
      <c r="C134" s="8"/>
      <c r="D134" s="5"/>
      <c r="E134" s="6"/>
      <c r="F134" s="6"/>
      <c r="G134" s="6"/>
      <c r="H134" s="4"/>
      <c r="I134" s="4"/>
      <c r="J134" s="4"/>
      <c r="K134" s="4"/>
      <c r="L134" s="7"/>
      <c r="M134" s="7"/>
      <c r="N134" s="7"/>
      <c r="O134" s="7"/>
      <c r="P134" s="7"/>
      <c r="Q134" s="4"/>
      <c r="R134" s="7"/>
      <c r="S134" s="7"/>
      <c r="T134" s="7"/>
      <c r="U134" s="7"/>
      <c r="V134" s="7"/>
      <c r="W134" s="4"/>
      <c r="X134" s="7"/>
      <c r="Y134" s="7"/>
    </row>
    <row r="135">
      <c r="A135" s="4"/>
      <c r="B135" s="4"/>
      <c r="C135" s="8"/>
      <c r="D135" s="5"/>
      <c r="E135" s="6"/>
      <c r="F135" s="6"/>
      <c r="G135" s="6"/>
      <c r="H135" s="4"/>
      <c r="I135" s="4"/>
      <c r="J135" s="4"/>
      <c r="K135" s="4"/>
      <c r="L135" s="7"/>
      <c r="M135" s="7"/>
      <c r="N135" s="4"/>
      <c r="O135" s="7"/>
      <c r="P135" s="7"/>
      <c r="Q135" s="4"/>
      <c r="R135" s="7"/>
      <c r="S135" s="7"/>
      <c r="T135" s="7"/>
      <c r="U135" s="7"/>
      <c r="V135" s="7"/>
      <c r="W135" s="4"/>
      <c r="X135" s="7"/>
      <c r="Y135" s="7"/>
    </row>
    <row r="136">
      <c r="A136" s="4"/>
      <c r="B136" s="4"/>
      <c r="C136" s="8"/>
      <c r="D136" s="5"/>
      <c r="E136" s="6"/>
      <c r="F136" s="6"/>
      <c r="G136" s="6"/>
      <c r="H136" s="4"/>
      <c r="I136" s="4"/>
      <c r="J136" s="4"/>
      <c r="K136" s="4"/>
      <c r="L136" s="7"/>
      <c r="M136" s="7"/>
      <c r="N136" s="4"/>
      <c r="O136" s="7"/>
      <c r="P136" s="7"/>
      <c r="Q136" s="4"/>
      <c r="R136" s="7"/>
      <c r="S136" s="7"/>
      <c r="T136" s="7"/>
      <c r="U136" s="7"/>
      <c r="V136" s="7"/>
      <c r="W136" s="4"/>
      <c r="X136" s="7"/>
      <c r="Y136" s="7"/>
    </row>
    <row r="137">
      <c r="A137" s="4"/>
      <c r="B137" s="4"/>
      <c r="C137" s="8"/>
      <c r="D137" s="5"/>
      <c r="E137" s="6"/>
      <c r="F137" s="6"/>
      <c r="G137" s="6"/>
      <c r="H137" s="4"/>
      <c r="I137" s="4"/>
      <c r="J137" s="4"/>
      <c r="K137" s="4"/>
      <c r="L137" s="7"/>
      <c r="M137" s="7"/>
      <c r="N137" s="4"/>
      <c r="O137" s="7"/>
      <c r="P137" s="7"/>
      <c r="Q137" s="4"/>
      <c r="R137" s="7"/>
      <c r="S137" s="7"/>
      <c r="T137" s="7"/>
      <c r="U137" s="7"/>
      <c r="V137" s="7"/>
      <c r="W137" s="7"/>
      <c r="X137" s="7"/>
      <c r="Y137" s="7"/>
    </row>
    <row r="138">
      <c r="A138" s="4"/>
      <c r="B138" s="4"/>
      <c r="C138" s="8"/>
      <c r="D138" s="5"/>
      <c r="E138" s="6"/>
      <c r="F138" s="6"/>
      <c r="G138" s="6"/>
      <c r="H138" s="4"/>
      <c r="I138" s="4"/>
      <c r="J138" s="4"/>
      <c r="K138" s="4"/>
      <c r="L138" s="4"/>
      <c r="M138" s="7"/>
      <c r="N138" s="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4"/>
      <c r="B139" s="4"/>
      <c r="C139" s="8"/>
      <c r="D139" s="5"/>
      <c r="E139" s="6"/>
      <c r="F139" s="6"/>
      <c r="G139" s="6"/>
      <c r="H139" s="4"/>
      <c r="I139" s="4"/>
      <c r="J139" s="4"/>
      <c r="K139" s="4"/>
      <c r="L139" s="4"/>
      <c r="M139" s="7"/>
      <c r="N139" s="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4"/>
      <c r="B140" s="4"/>
      <c r="C140" s="8"/>
      <c r="D140" s="5"/>
      <c r="E140" s="6"/>
      <c r="F140" s="6"/>
      <c r="G140" s="6"/>
      <c r="H140" s="4"/>
      <c r="I140" s="4"/>
      <c r="J140" s="4"/>
      <c r="K140" s="4"/>
      <c r="L140" s="4"/>
      <c r="M140" s="7"/>
      <c r="N140" s="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4"/>
      <c r="B141" s="4"/>
      <c r="C141" s="8"/>
      <c r="D141" s="5"/>
      <c r="E141" s="6"/>
      <c r="F141" s="6"/>
      <c r="G141" s="6"/>
      <c r="H141" s="4"/>
      <c r="I141" s="4"/>
      <c r="J141" s="4"/>
      <c r="K141" s="4"/>
      <c r="L141" s="4"/>
      <c r="M141" s="7"/>
      <c r="N141" s="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4"/>
      <c r="B142" s="4"/>
      <c r="C142" s="8"/>
      <c r="D142" s="5"/>
      <c r="E142" s="6"/>
      <c r="F142" s="6"/>
      <c r="G142" s="6"/>
      <c r="H142" s="4"/>
      <c r="I142" s="4"/>
      <c r="J142" s="4"/>
      <c r="K142" s="4"/>
      <c r="L142" s="4"/>
      <c r="M142" s="7"/>
      <c r="N142" s="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4"/>
      <c r="B143" s="4"/>
      <c r="C143" s="8"/>
      <c r="D143" s="5"/>
      <c r="E143" s="6"/>
      <c r="F143" s="6"/>
      <c r="G143" s="6"/>
      <c r="H143" s="4"/>
      <c r="I143" s="4"/>
      <c r="J143" s="4"/>
      <c r="K143" s="4"/>
      <c r="L143" s="4"/>
      <c r="M143" s="7"/>
      <c r="N143" s="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4"/>
      <c r="B144" s="4"/>
      <c r="C144" s="8"/>
      <c r="D144" s="5"/>
      <c r="E144" s="6"/>
      <c r="F144" s="6"/>
      <c r="G144" s="6"/>
      <c r="H144" s="4"/>
      <c r="I144" s="4"/>
      <c r="J144" s="4"/>
      <c r="K144" s="4"/>
      <c r="L144" s="4"/>
      <c r="M144" s="7"/>
      <c r="N144" s="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4"/>
      <c r="B145" s="4"/>
      <c r="C145" s="8"/>
      <c r="D145" s="5"/>
      <c r="E145" s="6"/>
      <c r="F145" s="6"/>
      <c r="G145" s="6"/>
      <c r="H145" s="4"/>
      <c r="I145" s="4"/>
      <c r="J145" s="4"/>
      <c r="K145" s="4"/>
      <c r="L145" s="4"/>
      <c r="M145" s="7"/>
      <c r="N145" s="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4"/>
      <c r="B146" s="4"/>
      <c r="C146" s="4"/>
      <c r="D146" s="5"/>
      <c r="E146" s="6"/>
      <c r="F146" s="6"/>
      <c r="G146" s="6"/>
      <c r="H146" s="4"/>
      <c r="I146" s="4"/>
      <c r="J146" s="4"/>
      <c r="K146" s="4"/>
      <c r="L146" s="7"/>
      <c r="M146" s="7"/>
      <c r="N146" s="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4"/>
      <c r="B147" s="4"/>
      <c r="C147" s="8"/>
      <c r="D147" s="5"/>
      <c r="E147" s="6"/>
      <c r="F147" s="6"/>
      <c r="G147" s="6"/>
      <c r="H147" s="4"/>
      <c r="I147" s="4"/>
      <c r="J147" s="4"/>
      <c r="K147" s="4"/>
      <c r="L147" s="7"/>
      <c r="M147" s="7"/>
      <c r="N147" s="7"/>
      <c r="O147" s="7"/>
      <c r="P147" s="7"/>
      <c r="Q147" s="7"/>
      <c r="R147" s="7"/>
      <c r="S147" s="7"/>
      <c r="T147" s="4"/>
      <c r="U147" s="4"/>
      <c r="V147" s="7"/>
      <c r="W147" s="7"/>
      <c r="X147" s="7"/>
      <c r="Y147" s="7"/>
    </row>
    <row r="148">
      <c r="A148" s="4"/>
      <c r="B148" s="4"/>
      <c r="C148" s="8"/>
      <c r="D148" s="5"/>
      <c r="E148" s="6"/>
      <c r="F148" s="6"/>
      <c r="G148" s="6"/>
      <c r="H148" s="4"/>
      <c r="I148" s="4"/>
      <c r="J148" s="4"/>
      <c r="K148" s="4"/>
      <c r="L148" s="7"/>
      <c r="M148" s="7"/>
      <c r="N148" s="7"/>
      <c r="O148" s="7"/>
      <c r="P148" s="7"/>
      <c r="Q148" s="7"/>
      <c r="R148" s="7"/>
      <c r="S148" s="7"/>
      <c r="T148" s="4"/>
      <c r="U148" s="7"/>
      <c r="V148" s="7"/>
      <c r="W148" s="7"/>
      <c r="X148" s="7"/>
      <c r="Y148" s="7"/>
    </row>
    <row r="149">
      <c r="A149" s="4"/>
      <c r="B149" s="4"/>
      <c r="C149" s="8"/>
      <c r="D149" s="5"/>
      <c r="E149" s="6"/>
      <c r="F149" s="6"/>
      <c r="G149" s="6"/>
      <c r="H149" s="4"/>
      <c r="I149" s="4"/>
      <c r="J149" s="4"/>
      <c r="K149" s="4"/>
      <c r="L149" s="7"/>
      <c r="M149" s="7"/>
      <c r="N149" s="7"/>
      <c r="O149" s="4"/>
      <c r="P149" s="7"/>
      <c r="Q149" s="7"/>
      <c r="R149" s="7"/>
      <c r="S149" s="7"/>
      <c r="T149" s="7"/>
      <c r="U149" s="4"/>
      <c r="V149" s="7"/>
      <c r="W149" s="7"/>
      <c r="X149" s="7"/>
      <c r="Y149" s="7"/>
    </row>
    <row r="150">
      <c r="A150" s="4"/>
      <c r="B150" s="4"/>
      <c r="C150" s="8"/>
      <c r="D150" s="5"/>
      <c r="E150" s="6"/>
      <c r="F150" s="6"/>
      <c r="G150" s="6"/>
      <c r="H150" s="4"/>
      <c r="I150" s="4"/>
      <c r="J150" s="4"/>
      <c r="K150" s="4"/>
      <c r="L150" s="4"/>
      <c r="M150" s="7"/>
      <c r="N150" s="7"/>
      <c r="O150" s="7"/>
      <c r="P150" s="4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4"/>
      <c r="B151" s="4"/>
      <c r="C151" s="8"/>
      <c r="D151" s="5"/>
      <c r="E151" s="6"/>
      <c r="F151" s="6"/>
      <c r="G151" s="6"/>
      <c r="H151" s="4"/>
      <c r="I151" s="4"/>
      <c r="J151" s="4"/>
      <c r="K151" s="4"/>
      <c r="L151" s="7"/>
      <c r="M151" s="7"/>
      <c r="N151" s="7"/>
      <c r="O151" s="7"/>
      <c r="P151" s="7"/>
      <c r="Q151" s="4"/>
      <c r="R151" s="7"/>
      <c r="S151" s="7"/>
      <c r="T151" s="7"/>
      <c r="U151" s="7"/>
      <c r="V151" s="7"/>
      <c r="W151" s="7"/>
      <c r="X151" s="7"/>
      <c r="Y151" s="7"/>
    </row>
    <row r="152">
      <c r="A152" s="4"/>
      <c r="B152" s="4"/>
      <c r="C152" s="8"/>
      <c r="D152" s="5"/>
      <c r="E152" s="6"/>
      <c r="F152" s="6"/>
      <c r="G152" s="6"/>
      <c r="H152" s="4"/>
      <c r="I152" s="4"/>
      <c r="J152" s="4"/>
      <c r="K152" s="4"/>
      <c r="L152" s="7"/>
      <c r="M152" s="7"/>
      <c r="N152" s="4"/>
      <c r="O152" s="7"/>
      <c r="P152" s="4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4"/>
      <c r="B153" s="4"/>
      <c r="C153" s="8"/>
      <c r="D153" s="5"/>
      <c r="E153" s="6"/>
      <c r="F153" s="6"/>
      <c r="G153" s="6"/>
      <c r="H153" s="4"/>
      <c r="I153" s="4"/>
      <c r="J153" s="4"/>
      <c r="K153" s="4"/>
      <c r="L153" s="7"/>
      <c r="M153" s="7"/>
      <c r="N153" s="7"/>
      <c r="O153" s="7"/>
      <c r="P153" s="4"/>
      <c r="Q153" s="7"/>
      <c r="R153" s="7"/>
      <c r="S153" s="7"/>
      <c r="T153" s="4"/>
      <c r="U153" s="7"/>
      <c r="V153" s="7"/>
      <c r="W153" s="7"/>
      <c r="X153" s="7"/>
      <c r="Y153" s="7"/>
    </row>
    <row r="154">
      <c r="A154" s="4"/>
      <c r="B154" s="4"/>
      <c r="C154" s="8"/>
      <c r="D154" s="5"/>
      <c r="E154" s="6"/>
      <c r="F154" s="6"/>
      <c r="G154" s="6"/>
      <c r="H154" s="4"/>
      <c r="I154" s="4"/>
      <c r="J154" s="4"/>
      <c r="K154" s="4"/>
      <c r="L154" s="7"/>
      <c r="M154" s="7"/>
      <c r="N154" s="7"/>
      <c r="O154" s="7"/>
      <c r="P154" s="4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4"/>
      <c r="B155" s="4"/>
      <c r="C155" s="8"/>
      <c r="D155" s="5"/>
      <c r="E155" s="6"/>
      <c r="F155" s="6"/>
      <c r="G155" s="6"/>
      <c r="H155" s="4"/>
      <c r="I155" s="4"/>
      <c r="J155" s="4"/>
      <c r="K155" s="4"/>
      <c r="L155" s="7"/>
      <c r="M155" s="7"/>
      <c r="N155" s="7"/>
      <c r="O155" s="7"/>
      <c r="P155" s="7"/>
      <c r="Q155" s="4"/>
      <c r="R155" s="7"/>
      <c r="S155" s="4"/>
      <c r="T155" s="7"/>
      <c r="U155" s="7"/>
      <c r="V155" s="7"/>
      <c r="W155" s="7"/>
      <c r="X155" s="7"/>
      <c r="Y155" s="7"/>
    </row>
    <row r="156">
      <c r="A156" s="4"/>
      <c r="B156" s="4"/>
      <c r="C156" s="8"/>
      <c r="D156" s="5"/>
      <c r="E156" s="6"/>
      <c r="F156" s="6"/>
      <c r="G156" s="6"/>
      <c r="H156" s="4"/>
      <c r="I156" s="4"/>
      <c r="J156" s="4"/>
      <c r="K156" s="4"/>
      <c r="L156" s="7"/>
      <c r="M156" s="7"/>
      <c r="N156" s="4"/>
      <c r="O156" s="7"/>
      <c r="P156" s="4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4"/>
      <c r="B157" s="4"/>
      <c r="C157" s="8"/>
      <c r="D157" s="5"/>
      <c r="E157" s="6"/>
      <c r="F157" s="6"/>
      <c r="G157" s="6"/>
      <c r="H157" s="4"/>
      <c r="I157" s="4"/>
      <c r="J157" s="4"/>
      <c r="K157" s="4"/>
      <c r="L157" s="4"/>
      <c r="M157" s="7"/>
      <c r="N157" s="7"/>
      <c r="O157" s="7"/>
      <c r="P157" s="4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4"/>
      <c r="B158" s="4"/>
      <c r="C158" s="8"/>
      <c r="D158" s="5"/>
      <c r="E158" s="6"/>
      <c r="F158" s="6"/>
      <c r="G158" s="6"/>
      <c r="H158" s="4"/>
      <c r="I158" s="4"/>
      <c r="J158" s="4"/>
      <c r="K158" s="4"/>
      <c r="L158" s="7"/>
      <c r="M158" s="7"/>
      <c r="N158" s="7"/>
      <c r="O158" s="7"/>
      <c r="P158" s="4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4"/>
      <c r="B159" s="4"/>
      <c r="C159" s="8"/>
      <c r="D159" s="5"/>
      <c r="E159" s="6"/>
      <c r="F159" s="6"/>
      <c r="G159" s="6"/>
      <c r="H159" s="4"/>
      <c r="I159" s="4"/>
      <c r="J159" s="4"/>
      <c r="K159" s="4"/>
      <c r="L159" s="7"/>
      <c r="M159" s="7"/>
      <c r="N159" s="7"/>
      <c r="O159" s="7"/>
      <c r="P159" s="4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4"/>
      <c r="B160" s="4"/>
      <c r="C160" s="8"/>
      <c r="D160" s="5"/>
      <c r="E160" s="6"/>
      <c r="F160" s="6"/>
      <c r="G160" s="6"/>
      <c r="H160" s="4"/>
      <c r="I160" s="4"/>
      <c r="J160" s="4"/>
      <c r="K160" s="4"/>
      <c r="L160" s="4"/>
      <c r="M160" s="7"/>
      <c r="N160" s="7"/>
      <c r="O160" s="7"/>
      <c r="P160" s="4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4"/>
      <c r="B161" s="4"/>
      <c r="C161" s="8"/>
      <c r="D161" s="5"/>
      <c r="E161" s="6"/>
      <c r="F161" s="6"/>
      <c r="G161" s="6"/>
      <c r="H161" s="4"/>
      <c r="I161" s="4"/>
      <c r="J161" s="4"/>
      <c r="K161" s="4"/>
      <c r="L161" s="4"/>
      <c r="M161" s="7"/>
      <c r="N161" s="7"/>
      <c r="O161" s="7"/>
      <c r="P161" s="7"/>
      <c r="Q161" s="4"/>
      <c r="R161" s="7"/>
      <c r="S161" s="7"/>
      <c r="T161" s="7"/>
      <c r="U161" s="7"/>
      <c r="V161" s="7"/>
      <c r="W161" s="7"/>
      <c r="X161" s="7"/>
      <c r="Y161" s="7"/>
    </row>
    <row r="162">
      <c r="A162" s="4"/>
      <c r="B162" s="4"/>
      <c r="C162" s="8"/>
      <c r="D162" s="5"/>
      <c r="E162" s="6"/>
      <c r="F162" s="6"/>
      <c r="G162" s="6"/>
      <c r="H162" s="4"/>
      <c r="I162" s="4"/>
      <c r="J162" s="4"/>
      <c r="K162" s="4"/>
      <c r="L162" s="7"/>
      <c r="M162" s="7"/>
      <c r="N162" s="7"/>
      <c r="O162" s="7"/>
      <c r="P162" s="4"/>
      <c r="Q162" s="7"/>
      <c r="R162" s="4"/>
      <c r="S162" s="7"/>
      <c r="T162" s="7"/>
      <c r="U162" s="7"/>
      <c r="V162" s="7"/>
      <c r="W162" s="7"/>
      <c r="X162" s="7"/>
      <c r="Y162" s="7"/>
    </row>
    <row r="163">
      <c r="A163" s="4"/>
      <c r="B163" s="4"/>
      <c r="C163" s="8"/>
      <c r="D163" s="5"/>
      <c r="E163" s="6"/>
      <c r="F163" s="6"/>
      <c r="G163" s="6"/>
      <c r="H163" s="4"/>
      <c r="I163" s="4"/>
      <c r="J163" s="4"/>
      <c r="K163" s="4"/>
      <c r="L163" s="7"/>
      <c r="M163" s="7"/>
      <c r="N163" s="7"/>
      <c r="O163" s="7"/>
      <c r="P163" s="4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4"/>
      <c r="B164" s="4"/>
      <c r="C164" s="8"/>
      <c r="D164" s="5"/>
      <c r="E164" s="6"/>
      <c r="F164" s="6"/>
      <c r="G164" s="6"/>
      <c r="H164" s="4"/>
      <c r="I164" s="4"/>
      <c r="J164" s="4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"/>
      <c r="X164" s="7"/>
      <c r="Y164" s="7"/>
    </row>
    <row r="165">
      <c r="A165" s="4"/>
      <c r="B165" s="4"/>
      <c r="C165" s="8"/>
      <c r="D165" s="5"/>
      <c r="E165" s="6"/>
      <c r="F165" s="6"/>
      <c r="G165" s="6"/>
      <c r="H165" s="4"/>
      <c r="I165" s="4"/>
      <c r="J165" s="4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"/>
      <c r="X165" s="7"/>
      <c r="Y165" s="7"/>
    </row>
    <row r="166">
      <c r="A166" s="4"/>
      <c r="B166" s="8"/>
      <c r="C166" s="4"/>
      <c r="D166" s="5"/>
      <c r="E166" s="6"/>
      <c r="F166" s="6"/>
      <c r="G166" s="6"/>
      <c r="H166" s="4"/>
      <c r="I166" s="4"/>
      <c r="J166" s="4"/>
      <c r="K166" s="4"/>
      <c r="L166" s="7"/>
      <c r="M166" s="7"/>
      <c r="N166" s="7"/>
      <c r="O166" s="7"/>
      <c r="P166" s="4"/>
      <c r="Q166" s="7"/>
      <c r="R166" s="7"/>
      <c r="S166" s="7"/>
      <c r="T166" s="7"/>
      <c r="U166" s="7"/>
      <c r="V166" s="7"/>
      <c r="W166" s="4"/>
      <c r="X166" s="7"/>
      <c r="Y166" s="7"/>
    </row>
    <row r="167">
      <c r="A167" s="4"/>
      <c r="B167" s="8"/>
      <c r="C167" s="8"/>
      <c r="D167" s="5"/>
      <c r="E167" s="6"/>
      <c r="F167" s="6"/>
      <c r="G167" s="6"/>
      <c r="H167" s="4"/>
      <c r="I167" s="4"/>
      <c r="J167" s="4"/>
      <c r="K167" s="4"/>
      <c r="L167" s="7"/>
      <c r="M167" s="7"/>
      <c r="N167" s="7"/>
      <c r="O167" s="7"/>
      <c r="P167" s="4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4"/>
      <c r="B168" s="8"/>
      <c r="C168" s="8"/>
      <c r="D168" s="5"/>
      <c r="E168" s="6"/>
      <c r="F168" s="6"/>
      <c r="G168" s="6"/>
      <c r="H168" s="4"/>
      <c r="I168" s="4"/>
      <c r="J168" s="4"/>
      <c r="K168" s="4"/>
      <c r="L168" s="7"/>
      <c r="M168" s="7"/>
      <c r="N168" s="7"/>
      <c r="O168" s="7"/>
      <c r="P168" s="4"/>
      <c r="Q168" s="7"/>
      <c r="R168" s="7"/>
      <c r="S168" s="7"/>
      <c r="T168" s="7"/>
      <c r="U168" s="7"/>
      <c r="V168" s="7"/>
      <c r="W168" s="4"/>
      <c r="X168" s="7"/>
      <c r="Y168" s="7"/>
    </row>
    <row r="169">
      <c r="A169" s="4"/>
      <c r="B169" s="8"/>
      <c r="C169" s="8"/>
      <c r="D169" s="5"/>
      <c r="E169" s="6"/>
      <c r="F169" s="6"/>
      <c r="G169" s="6"/>
      <c r="H169" s="4"/>
      <c r="I169" s="4"/>
      <c r="J169" s="4"/>
      <c r="K169" s="4"/>
      <c r="L169" s="7"/>
      <c r="M169" s="7"/>
      <c r="N169" s="7"/>
      <c r="O169" s="7"/>
      <c r="P169" s="4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4"/>
      <c r="B170" s="4"/>
      <c r="C170" s="8"/>
      <c r="D170" s="5"/>
      <c r="E170" s="6"/>
      <c r="F170" s="6"/>
      <c r="G170" s="6"/>
      <c r="H170" s="4"/>
      <c r="I170" s="4"/>
      <c r="J170" s="4"/>
      <c r="K170" s="4"/>
      <c r="L170" s="7"/>
      <c r="M170" s="7"/>
      <c r="N170" s="7"/>
      <c r="O170" s="4"/>
      <c r="P170" s="7"/>
      <c r="Q170" s="4"/>
      <c r="R170" s="7"/>
      <c r="S170" s="7"/>
      <c r="T170" s="7"/>
      <c r="U170" s="7"/>
      <c r="V170" s="7"/>
      <c r="W170" s="7"/>
      <c r="X170" s="7"/>
      <c r="Y170" s="7"/>
    </row>
    <row r="171">
      <c r="A171" s="4"/>
      <c r="B171" s="4"/>
      <c r="C171" s="8"/>
      <c r="D171" s="5"/>
      <c r="E171" s="6"/>
      <c r="F171" s="6"/>
      <c r="G171" s="6"/>
      <c r="H171" s="4"/>
      <c r="I171" s="4"/>
      <c r="J171" s="4"/>
      <c r="K171" s="4"/>
      <c r="L171" s="7"/>
      <c r="M171" s="7"/>
      <c r="N171" s="4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7"/>
    </row>
    <row r="172">
      <c r="A172" s="4"/>
      <c r="B172" s="4"/>
      <c r="C172" s="8"/>
      <c r="D172" s="5"/>
      <c r="E172" s="6"/>
      <c r="F172" s="6"/>
      <c r="G172" s="6"/>
      <c r="H172" s="4"/>
      <c r="I172" s="4"/>
      <c r="J172" s="4"/>
      <c r="K172" s="4"/>
      <c r="L172" s="7"/>
      <c r="M172" s="7"/>
      <c r="N172" s="4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7"/>
    </row>
    <row r="173">
      <c r="A173" s="4"/>
      <c r="B173" s="4"/>
      <c r="C173" s="8"/>
      <c r="D173" s="5"/>
      <c r="E173" s="6"/>
      <c r="F173" s="6"/>
      <c r="G173" s="6"/>
      <c r="H173" s="4"/>
      <c r="I173" s="4"/>
      <c r="J173" s="4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7"/>
    </row>
    <row r="174">
      <c r="A174" s="4"/>
      <c r="B174" s="4"/>
      <c r="C174" s="8"/>
      <c r="D174" s="5"/>
      <c r="E174" s="6"/>
      <c r="F174" s="6"/>
      <c r="G174" s="6"/>
      <c r="H174" s="4"/>
      <c r="I174" s="4"/>
      <c r="J174" s="4"/>
      <c r="K174" s="4"/>
      <c r="L174" s="7"/>
      <c r="M174" s="7"/>
      <c r="N174" s="7"/>
      <c r="O174" s="4"/>
      <c r="P174" s="7"/>
      <c r="Q174" s="7"/>
      <c r="R174" s="7"/>
      <c r="S174" s="7"/>
      <c r="T174" s="7"/>
      <c r="U174" s="7"/>
      <c r="V174" s="7"/>
      <c r="W174" s="7"/>
      <c r="X174" s="4"/>
      <c r="Y174" s="7"/>
    </row>
    <row r="175">
      <c r="A175" s="4"/>
      <c r="B175" s="4"/>
      <c r="C175" s="8"/>
      <c r="D175" s="5"/>
      <c r="E175" s="6"/>
      <c r="F175" s="6"/>
      <c r="G175" s="6"/>
      <c r="H175" s="4"/>
      <c r="I175" s="4"/>
      <c r="J175" s="4"/>
      <c r="K175" s="4"/>
      <c r="L175" s="7"/>
      <c r="M175" s="7"/>
      <c r="N175" s="7"/>
      <c r="O175" s="4"/>
      <c r="P175" s="7"/>
      <c r="Q175" s="7"/>
      <c r="R175" s="7"/>
      <c r="S175" s="7"/>
      <c r="T175" s="7"/>
      <c r="U175" s="7"/>
      <c r="V175" s="7"/>
      <c r="W175" s="7"/>
      <c r="X175" s="4"/>
      <c r="Y175" s="7"/>
    </row>
    <row r="176">
      <c r="A176" s="4"/>
      <c r="B176" s="4"/>
      <c r="C176" s="8"/>
      <c r="D176" s="5"/>
      <c r="E176" s="6"/>
      <c r="F176" s="6"/>
      <c r="G176" s="6"/>
      <c r="H176" s="4"/>
      <c r="I176" s="4"/>
      <c r="J176" s="4"/>
      <c r="K176" s="4"/>
      <c r="L176" s="7"/>
      <c r="M176" s="7"/>
      <c r="N176" s="7"/>
      <c r="O176" s="4"/>
      <c r="P176" s="7"/>
      <c r="Q176" s="7"/>
      <c r="R176" s="7"/>
      <c r="S176" s="7"/>
      <c r="T176" s="7"/>
      <c r="U176" s="7"/>
      <c r="V176" s="7"/>
      <c r="W176" s="7"/>
      <c r="X176" s="4"/>
      <c r="Y176" s="7"/>
    </row>
    <row r="177">
      <c r="A177" s="4"/>
      <c r="B177" s="4"/>
      <c r="C177" s="8"/>
      <c r="D177" s="5"/>
      <c r="E177" s="6"/>
      <c r="F177" s="6"/>
      <c r="G177" s="6"/>
      <c r="H177" s="4"/>
      <c r="I177" s="4"/>
      <c r="J177" s="4"/>
      <c r="K177" s="4"/>
      <c r="L177" s="7"/>
      <c r="M177" s="7"/>
      <c r="N177" s="7"/>
      <c r="O177" s="4"/>
      <c r="P177" s="7"/>
      <c r="Q177" s="7"/>
      <c r="R177" s="7"/>
      <c r="S177" s="7"/>
      <c r="T177" s="7"/>
      <c r="U177" s="7"/>
      <c r="V177" s="7"/>
      <c r="W177" s="7"/>
      <c r="X177" s="4"/>
      <c r="Y177" s="7"/>
    </row>
    <row r="178">
      <c r="A178" s="4"/>
      <c r="B178" s="4"/>
      <c r="C178" s="8"/>
      <c r="D178" s="5"/>
      <c r="E178" s="6"/>
      <c r="F178" s="6"/>
      <c r="G178" s="6"/>
      <c r="H178" s="4"/>
      <c r="I178" s="4"/>
      <c r="J178" s="4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7"/>
    </row>
    <row r="179">
      <c r="A179" s="4"/>
      <c r="B179" s="4"/>
      <c r="C179" s="8"/>
      <c r="D179" s="5"/>
      <c r="E179" s="6"/>
      <c r="F179" s="6"/>
      <c r="G179" s="6"/>
      <c r="H179" s="4"/>
      <c r="I179" s="4"/>
      <c r="J179" s="4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7"/>
    </row>
    <row r="180">
      <c r="A180" s="4"/>
      <c r="B180" s="4"/>
      <c r="C180" s="8"/>
      <c r="D180" s="5"/>
      <c r="E180" s="6"/>
      <c r="F180" s="6"/>
      <c r="G180" s="6"/>
      <c r="H180" s="4"/>
      <c r="I180" s="4"/>
      <c r="J180" s="4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7"/>
    </row>
    <row r="181">
      <c r="A181" s="4"/>
      <c r="B181" s="4"/>
      <c r="C181" s="8"/>
      <c r="D181" s="5"/>
      <c r="E181" s="6"/>
      <c r="F181" s="6"/>
      <c r="G181" s="6"/>
      <c r="H181" s="4"/>
      <c r="I181" s="4"/>
      <c r="J181" s="4"/>
      <c r="K181" s="4"/>
      <c r="L181" s="7"/>
      <c r="M181" s="7"/>
      <c r="N181" s="7"/>
      <c r="O181" s="7"/>
      <c r="P181" s="7"/>
      <c r="Q181" s="4"/>
      <c r="R181" s="7"/>
      <c r="S181" s="7"/>
      <c r="T181" s="7"/>
      <c r="U181" s="7"/>
      <c r="V181" s="7"/>
      <c r="W181" s="4"/>
      <c r="X181" s="7"/>
      <c r="Y181" s="7"/>
    </row>
    <row r="182">
      <c r="A182" s="4"/>
      <c r="B182" s="4"/>
      <c r="C182" s="8"/>
      <c r="D182" s="5"/>
      <c r="E182" s="6"/>
      <c r="F182" s="6"/>
      <c r="G182" s="6"/>
      <c r="H182" s="4"/>
      <c r="I182" s="4"/>
      <c r="J182" s="4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"/>
      <c r="X182" s="7"/>
      <c r="Y182" s="7"/>
    </row>
    <row r="183">
      <c r="A183" s="4"/>
      <c r="B183" s="4"/>
      <c r="C183" s="8"/>
      <c r="D183" s="5"/>
      <c r="E183" s="6"/>
      <c r="F183" s="6"/>
      <c r="G183" s="6"/>
      <c r="H183" s="4"/>
      <c r="I183" s="4"/>
      <c r="J183" s="4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"/>
      <c r="X183" s="7"/>
      <c r="Y183" s="7"/>
    </row>
    <row r="184">
      <c r="A184" s="4"/>
      <c r="B184" s="4"/>
      <c r="C184" s="8"/>
      <c r="D184" s="5"/>
      <c r="E184" s="6"/>
      <c r="F184" s="6"/>
      <c r="G184" s="6"/>
      <c r="H184" s="4"/>
      <c r="I184" s="4"/>
      <c r="J184" s="4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4"/>
      <c r="W184" s="7"/>
      <c r="X184" s="7"/>
      <c r="Y184" s="7"/>
    </row>
    <row r="185">
      <c r="A185" s="4"/>
      <c r="B185" s="4"/>
      <c r="C185" s="8"/>
      <c r="D185" s="5"/>
      <c r="E185" s="6"/>
      <c r="F185" s="6"/>
      <c r="G185" s="6"/>
      <c r="H185" s="4"/>
      <c r="I185" s="4"/>
      <c r="J185" s="4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4"/>
      <c r="W185" s="7"/>
      <c r="X185" s="7"/>
      <c r="Y185" s="7"/>
    </row>
    <row r="186">
      <c r="A186" s="4"/>
      <c r="B186" s="4"/>
      <c r="C186" s="8"/>
      <c r="D186" s="5"/>
      <c r="E186" s="6"/>
      <c r="F186" s="6"/>
      <c r="G186" s="6"/>
      <c r="H186" s="4"/>
      <c r="I186" s="4"/>
      <c r="J186" s="4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4"/>
      <c r="W186" s="7"/>
      <c r="X186" s="7"/>
      <c r="Y186" s="7"/>
    </row>
    <row r="187">
      <c r="A187" s="4"/>
      <c r="B187" s="4"/>
      <c r="C187" s="8"/>
      <c r="D187" s="5"/>
      <c r="E187" s="6"/>
      <c r="F187" s="6"/>
      <c r="G187" s="6"/>
      <c r="H187" s="4"/>
      <c r="I187" s="4"/>
      <c r="J187" s="4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4"/>
      <c r="W187" s="7"/>
      <c r="X187" s="7"/>
      <c r="Y187" s="7"/>
    </row>
    <row r="188">
      <c r="A188" s="4"/>
      <c r="B188" s="4"/>
      <c r="C188" s="8"/>
      <c r="D188" s="5"/>
      <c r="E188" s="6"/>
      <c r="F188" s="6"/>
      <c r="G188" s="6"/>
      <c r="H188" s="4"/>
      <c r="I188" s="4"/>
      <c r="J188" s="4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4"/>
      <c r="W188" s="7"/>
      <c r="X188" s="7"/>
      <c r="Y188" s="7"/>
    </row>
    <row r="189">
      <c r="A189" s="4"/>
      <c r="B189" s="4"/>
      <c r="C189" s="8"/>
      <c r="D189" s="5"/>
      <c r="E189" s="6"/>
      <c r="F189" s="6"/>
      <c r="G189" s="6"/>
      <c r="H189" s="4"/>
      <c r="I189" s="4"/>
      <c r="J189" s="4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4"/>
      <c r="W189" s="7"/>
      <c r="X189" s="7"/>
      <c r="Y189" s="7"/>
    </row>
    <row r="190">
      <c r="A190" s="4"/>
      <c r="B190" s="4"/>
      <c r="C190" s="8"/>
      <c r="D190" s="5"/>
      <c r="E190" s="6"/>
      <c r="F190" s="6"/>
      <c r="G190" s="6"/>
      <c r="H190" s="4"/>
      <c r="I190" s="4"/>
      <c r="J190" s="4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4"/>
      <c r="W190" s="7"/>
      <c r="X190" s="7"/>
      <c r="Y190" s="7"/>
    </row>
    <row r="191">
      <c r="A191" s="4"/>
      <c r="B191" s="4"/>
      <c r="C191" s="8"/>
      <c r="D191" s="5"/>
      <c r="E191" s="6"/>
      <c r="F191" s="6"/>
      <c r="G191" s="6"/>
      <c r="H191" s="4"/>
      <c r="I191" s="4"/>
      <c r="J191" s="4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4"/>
      <c r="W191" s="7"/>
      <c r="X191" s="7"/>
      <c r="Y191" s="7"/>
    </row>
    <row r="192">
      <c r="A192" s="4"/>
      <c r="B192" s="4"/>
      <c r="C192" s="8"/>
      <c r="D192" s="5"/>
      <c r="E192" s="6"/>
      <c r="F192" s="6"/>
      <c r="G192" s="6"/>
      <c r="H192" s="4"/>
      <c r="I192" s="4"/>
      <c r="J192" s="4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4"/>
      <c r="W192" s="7"/>
      <c r="X192" s="7"/>
      <c r="Y192" s="7"/>
    </row>
    <row r="193">
      <c r="A193" s="4"/>
      <c r="B193" s="4"/>
      <c r="C193" s="8"/>
      <c r="D193" s="5"/>
      <c r="E193" s="6"/>
      <c r="F193" s="6"/>
      <c r="G193" s="6"/>
      <c r="H193" s="4"/>
      <c r="I193" s="4"/>
      <c r="J193" s="4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4"/>
      <c r="W193" s="7"/>
      <c r="X193" s="7"/>
      <c r="Y193" s="7"/>
    </row>
    <row r="194">
      <c r="A194" s="4"/>
      <c r="B194" s="4"/>
      <c r="C194" s="8"/>
      <c r="D194" s="5"/>
      <c r="E194" s="6"/>
      <c r="F194" s="6"/>
      <c r="G194" s="6"/>
      <c r="H194" s="4"/>
      <c r="I194" s="4"/>
      <c r="J194" s="4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4"/>
      <c r="W194" s="7"/>
      <c r="X194" s="7"/>
      <c r="Y194" s="7"/>
    </row>
    <row r="195">
      <c r="A195" s="4"/>
      <c r="B195" s="4"/>
      <c r="C195" s="8"/>
      <c r="D195" s="5"/>
      <c r="E195" s="6"/>
      <c r="F195" s="6"/>
      <c r="G195" s="6"/>
      <c r="H195" s="4"/>
      <c r="I195" s="4"/>
      <c r="J195" s="4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4"/>
      <c r="W195" s="7"/>
      <c r="X195" s="7"/>
      <c r="Y195" s="7"/>
    </row>
    <row r="196">
      <c r="A196" s="4"/>
      <c r="B196" s="4"/>
      <c r="C196" s="8"/>
      <c r="D196" s="5"/>
      <c r="E196" s="6"/>
      <c r="F196" s="6"/>
      <c r="G196" s="6"/>
      <c r="H196" s="4"/>
      <c r="I196" s="4"/>
      <c r="J196" s="4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4"/>
      <c r="W196" s="7"/>
      <c r="X196" s="7"/>
      <c r="Y196" s="7"/>
    </row>
    <row r="197">
      <c r="A197" s="4"/>
      <c r="B197" s="4"/>
      <c r="C197" s="8"/>
      <c r="D197" s="5"/>
      <c r="E197" s="6"/>
      <c r="F197" s="6"/>
      <c r="G197" s="6"/>
      <c r="H197" s="4"/>
      <c r="I197" s="4"/>
      <c r="J197" s="4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4"/>
      <c r="W197" s="7"/>
      <c r="X197" s="7"/>
      <c r="Y197" s="7"/>
    </row>
    <row r="198">
      <c r="A198" s="4"/>
      <c r="B198" s="4"/>
      <c r="C198" s="8"/>
      <c r="D198" s="5"/>
      <c r="E198" s="6"/>
      <c r="F198" s="6"/>
      <c r="G198" s="6"/>
      <c r="H198" s="4"/>
      <c r="I198" s="4"/>
      <c r="J198" s="4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4"/>
      <c r="W198" s="7"/>
      <c r="X198" s="7"/>
      <c r="Y198" s="7"/>
    </row>
    <row r="199">
      <c r="A199" s="4"/>
      <c r="B199" s="4"/>
      <c r="C199" s="8"/>
      <c r="D199" s="5"/>
      <c r="E199" s="6"/>
      <c r="F199" s="6"/>
      <c r="G199" s="6"/>
      <c r="H199" s="4"/>
      <c r="I199" s="4"/>
      <c r="J199" s="4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4"/>
      <c r="W199" s="7"/>
      <c r="X199" s="7"/>
      <c r="Y199" s="7"/>
    </row>
    <row r="200">
      <c r="A200" s="4"/>
      <c r="B200" s="4"/>
      <c r="C200" s="8"/>
      <c r="D200" s="5"/>
      <c r="E200" s="6"/>
      <c r="F200" s="6"/>
      <c r="G200" s="6"/>
      <c r="H200" s="4"/>
      <c r="I200" s="4"/>
      <c r="J200" s="4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4"/>
      <c r="W200" s="7"/>
      <c r="X200" s="7"/>
      <c r="Y200" s="7"/>
    </row>
    <row r="201">
      <c r="A201" s="4"/>
      <c r="B201" s="4"/>
      <c r="C201" s="8"/>
      <c r="D201" s="5"/>
      <c r="E201" s="6"/>
      <c r="F201" s="6"/>
      <c r="G201" s="6"/>
      <c r="H201" s="4"/>
      <c r="I201" s="4"/>
      <c r="J201" s="4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4"/>
      <c r="B202" s="4"/>
      <c r="C202" s="8"/>
      <c r="D202" s="5"/>
      <c r="E202" s="6"/>
      <c r="F202" s="6"/>
      <c r="G202" s="6"/>
      <c r="H202" s="4"/>
      <c r="I202" s="4"/>
      <c r="J202" s="4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4"/>
      <c r="B203" s="4"/>
      <c r="C203" s="8"/>
      <c r="D203" s="5"/>
      <c r="E203" s="6"/>
      <c r="F203" s="6"/>
      <c r="G203" s="6"/>
      <c r="H203" s="4"/>
      <c r="I203" s="4"/>
      <c r="J203" s="4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4"/>
      <c r="B204" s="4"/>
      <c r="C204" s="8"/>
      <c r="D204" s="5"/>
      <c r="E204" s="6"/>
      <c r="F204" s="6"/>
      <c r="G204" s="6"/>
      <c r="H204" s="4"/>
      <c r="I204" s="4"/>
      <c r="J204" s="4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4"/>
      <c r="B205" s="4"/>
      <c r="C205" s="8"/>
      <c r="D205" s="5"/>
      <c r="E205" s="6"/>
      <c r="F205" s="6"/>
      <c r="G205" s="6"/>
      <c r="H205" s="4"/>
      <c r="I205" s="4"/>
      <c r="J205" s="4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4"/>
      <c r="B206" s="4"/>
      <c r="C206" s="8"/>
      <c r="D206" s="5"/>
      <c r="E206" s="6"/>
      <c r="F206" s="6"/>
      <c r="G206" s="6"/>
      <c r="H206" s="4"/>
      <c r="I206" s="4"/>
      <c r="J206" s="4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4"/>
      <c r="B207" s="4"/>
      <c r="C207" s="8"/>
      <c r="D207" s="5"/>
      <c r="E207" s="6"/>
      <c r="F207" s="6"/>
      <c r="G207" s="6"/>
      <c r="H207" s="4"/>
      <c r="I207" s="4"/>
      <c r="J207" s="4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4"/>
      <c r="B208" s="4"/>
      <c r="C208" s="8"/>
      <c r="D208" s="5"/>
      <c r="E208" s="6"/>
      <c r="F208" s="6"/>
      <c r="G208" s="6"/>
      <c r="H208" s="4"/>
      <c r="I208" s="4"/>
      <c r="J208" s="4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4"/>
      <c r="B209" s="4"/>
      <c r="C209" s="8"/>
      <c r="D209" s="5"/>
      <c r="E209" s="6"/>
      <c r="F209" s="6"/>
      <c r="G209" s="6"/>
      <c r="H209" s="4"/>
      <c r="I209" s="4"/>
      <c r="J209" s="4"/>
      <c r="K209" s="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4"/>
      <c r="B210" s="4"/>
      <c r="C210" s="8"/>
      <c r="D210" s="5"/>
      <c r="E210" s="6"/>
      <c r="F210" s="6"/>
      <c r="G210" s="6"/>
      <c r="H210" s="4"/>
      <c r="I210" s="4"/>
      <c r="J210" s="4"/>
      <c r="K210" s="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4"/>
      <c r="B211" s="4"/>
      <c r="C211" s="8"/>
      <c r="D211" s="5"/>
      <c r="E211" s="6"/>
      <c r="F211" s="6"/>
      <c r="G211" s="6"/>
      <c r="H211" s="4"/>
      <c r="I211" s="4"/>
      <c r="J211" s="4"/>
      <c r="K211" s="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4"/>
      <c r="B212" s="4"/>
      <c r="C212" s="8"/>
      <c r="D212" s="5"/>
      <c r="E212" s="6"/>
      <c r="F212" s="6"/>
      <c r="G212" s="6"/>
      <c r="H212" s="4"/>
      <c r="I212" s="4"/>
      <c r="J212" s="4"/>
      <c r="K212" s="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4"/>
      <c r="B213" s="4"/>
      <c r="C213" s="8"/>
      <c r="D213" s="5"/>
      <c r="E213" s="6"/>
      <c r="F213" s="6"/>
      <c r="G213" s="6"/>
      <c r="H213" s="4"/>
      <c r="I213" s="4"/>
      <c r="J213" s="4"/>
      <c r="K213" s="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4"/>
      <c r="B214" s="4"/>
      <c r="C214" s="8"/>
      <c r="D214" s="5"/>
      <c r="E214" s="6"/>
      <c r="F214" s="6"/>
      <c r="G214" s="6"/>
      <c r="H214" s="4"/>
      <c r="I214" s="4"/>
      <c r="J214" s="4"/>
      <c r="K214" s="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4"/>
      <c r="B215" s="4"/>
      <c r="C215" s="8"/>
      <c r="D215" s="5"/>
      <c r="E215" s="6"/>
      <c r="F215" s="6"/>
      <c r="G215" s="6"/>
      <c r="H215" s="4"/>
      <c r="I215" s="4"/>
      <c r="J215" s="4"/>
      <c r="K215" s="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4"/>
      <c r="B216" s="4"/>
      <c r="C216" s="8"/>
      <c r="D216" s="5"/>
      <c r="E216" s="6"/>
      <c r="F216" s="6"/>
      <c r="G216" s="6"/>
      <c r="H216" s="4"/>
      <c r="I216" s="4"/>
      <c r="J216" s="4"/>
      <c r="K216" s="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4"/>
      <c r="B217" s="4"/>
      <c r="C217" s="8"/>
      <c r="D217" s="5"/>
      <c r="E217" s="6"/>
      <c r="F217" s="6"/>
      <c r="G217" s="6"/>
      <c r="H217" s="4"/>
      <c r="I217" s="4"/>
      <c r="J217" s="4"/>
      <c r="K217" s="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4"/>
      <c r="B218" s="4"/>
      <c r="C218" s="8"/>
      <c r="D218" s="5"/>
      <c r="E218" s="6"/>
      <c r="F218" s="6"/>
      <c r="G218" s="6"/>
      <c r="H218" s="4"/>
      <c r="I218" s="4"/>
      <c r="J218" s="4"/>
      <c r="K218" s="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4"/>
      <c r="B219" s="4"/>
      <c r="C219" s="8"/>
      <c r="D219" s="5"/>
      <c r="E219" s="6"/>
      <c r="F219" s="6"/>
      <c r="G219" s="6"/>
      <c r="H219" s="4"/>
      <c r="I219" s="4"/>
      <c r="J219" s="4"/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4"/>
      <c r="B220" s="4"/>
      <c r="C220" s="8"/>
      <c r="D220" s="5"/>
      <c r="E220" s="6"/>
      <c r="F220" s="6"/>
      <c r="G220" s="6"/>
      <c r="H220" s="4"/>
      <c r="I220" s="4"/>
      <c r="J220" s="4"/>
      <c r="K220" s="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4"/>
      <c r="B221" s="4"/>
      <c r="C221" s="8"/>
      <c r="D221" s="5"/>
      <c r="E221" s="6"/>
      <c r="F221" s="6"/>
      <c r="G221" s="6"/>
      <c r="H221" s="4"/>
      <c r="I221" s="4"/>
      <c r="J221" s="4"/>
      <c r="K221" s="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4"/>
      <c r="B222" s="4"/>
      <c r="C222" s="8"/>
      <c r="D222" s="5"/>
      <c r="E222" s="6"/>
      <c r="F222" s="6"/>
      <c r="G222" s="6"/>
      <c r="H222" s="4"/>
      <c r="I222" s="4"/>
      <c r="J222" s="4"/>
      <c r="K222" s="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4"/>
      <c r="B223" s="4"/>
      <c r="C223" s="8"/>
      <c r="D223" s="5"/>
      <c r="E223" s="6"/>
      <c r="F223" s="6"/>
      <c r="G223" s="6"/>
      <c r="H223" s="4"/>
      <c r="I223" s="4"/>
      <c r="J223" s="4"/>
      <c r="K223" s="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4"/>
      <c r="B224" s="4"/>
      <c r="C224" s="8"/>
      <c r="D224" s="5"/>
      <c r="E224" s="6"/>
      <c r="F224" s="6"/>
      <c r="G224" s="6"/>
      <c r="H224" s="4"/>
      <c r="I224" s="4"/>
      <c r="J224" s="4"/>
      <c r="K224" s="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4"/>
      <c r="B225" s="4"/>
      <c r="C225" s="8"/>
      <c r="D225" s="5"/>
      <c r="E225" s="6"/>
      <c r="F225" s="6"/>
      <c r="G225" s="6"/>
      <c r="H225" s="4"/>
      <c r="I225" s="4"/>
      <c r="J225" s="4"/>
      <c r="K225" s="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4"/>
      <c r="B226" s="4"/>
      <c r="C226" s="8"/>
      <c r="D226" s="5"/>
      <c r="E226" s="6"/>
      <c r="F226" s="6"/>
      <c r="G226" s="6"/>
      <c r="H226" s="4"/>
      <c r="I226" s="4"/>
      <c r="J226" s="4"/>
      <c r="K226" s="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4"/>
      <c r="B227" s="4"/>
      <c r="C227" s="8"/>
      <c r="D227" s="5"/>
      <c r="E227" s="6"/>
      <c r="F227" s="6"/>
      <c r="G227" s="6"/>
      <c r="H227" s="4"/>
      <c r="I227" s="4"/>
      <c r="J227" s="4"/>
      <c r="K227" s="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4"/>
      <c r="B228" s="4"/>
      <c r="C228" s="8"/>
      <c r="D228" s="5"/>
      <c r="E228" s="6"/>
      <c r="F228" s="6"/>
      <c r="G228" s="6"/>
      <c r="H228" s="4"/>
      <c r="I228" s="4"/>
      <c r="J228" s="4"/>
      <c r="K228" s="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4"/>
      <c r="B229" s="4"/>
      <c r="C229" s="8"/>
      <c r="D229" s="5"/>
      <c r="E229" s="6"/>
      <c r="F229" s="6"/>
      <c r="G229" s="6"/>
      <c r="H229" s="4"/>
      <c r="I229" s="4"/>
      <c r="J229" s="4"/>
      <c r="K229" s="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4"/>
      <c r="B230" s="4"/>
      <c r="C230" s="4"/>
      <c r="D230" s="5"/>
      <c r="E230" s="6"/>
      <c r="F230" s="6"/>
      <c r="G230" s="6"/>
      <c r="H230" s="4"/>
      <c r="I230" s="4"/>
      <c r="J230" s="4"/>
      <c r="K230" s="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4"/>
      <c r="B231" s="4"/>
      <c r="C231" s="4"/>
      <c r="D231" s="5"/>
      <c r="E231" s="6"/>
      <c r="F231" s="6"/>
      <c r="G231" s="6"/>
      <c r="H231" s="4"/>
      <c r="I231" s="4"/>
      <c r="J231" s="4"/>
      <c r="K231" s="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4"/>
      <c r="B232" s="4"/>
      <c r="C232" s="4"/>
      <c r="D232" s="5"/>
      <c r="E232" s="6"/>
      <c r="F232" s="6"/>
      <c r="G232" s="6"/>
      <c r="H232" s="4"/>
      <c r="I232" s="4"/>
      <c r="J232" s="4"/>
      <c r="K232" s="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4"/>
      <c r="B233" s="4"/>
      <c r="C233" s="8"/>
      <c r="D233" s="5"/>
      <c r="E233" s="6"/>
      <c r="F233" s="6"/>
      <c r="G233" s="6"/>
      <c r="H233" s="4"/>
      <c r="I233" s="4"/>
      <c r="J233" s="4"/>
      <c r="K233" s="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4"/>
      <c r="B234" s="4"/>
      <c r="C234" s="8"/>
      <c r="D234" s="5"/>
      <c r="E234" s="6"/>
      <c r="F234" s="6"/>
      <c r="G234" s="6"/>
      <c r="H234" s="4"/>
      <c r="I234" s="4"/>
      <c r="J234" s="4"/>
      <c r="K234" s="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4"/>
      <c r="B235" s="4"/>
      <c r="C235" s="8"/>
      <c r="D235" s="5"/>
      <c r="E235" s="6"/>
      <c r="F235" s="6"/>
      <c r="G235" s="6"/>
      <c r="H235" s="4"/>
      <c r="I235" s="4"/>
      <c r="J235" s="4"/>
      <c r="K235" s="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4"/>
      <c r="B236" s="4"/>
      <c r="C236" s="8"/>
      <c r="D236" s="5"/>
      <c r="E236" s="6"/>
      <c r="F236" s="6"/>
      <c r="G236" s="6"/>
      <c r="H236" s="4"/>
      <c r="I236" s="4"/>
      <c r="J236" s="4"/>
      <c r="K236" s="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4"/>
      <c r="B237" s="4"/>
      <c r="C237" s="8"/>
      <c r="D237" s="5"/>
      <c r="E237" s="6"/>
      <c r="F237" s="6"/>
      <c r="G237" s="6"/>
      <c r="H237" s="4"/>
      <c r="I237" s="4"/>
      <c r="J237" s="4"/>
      <c r="K237" s="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4"/>
      <c r="B238" s="4"/>
      <c r="C238" s="8"/>
      <c r="D238" s="5"/>
      <c r="E238" s="6"/>
      <c r="F238" s="6"/>
      <c r="G238" s="6"/>
      <c r="H238" s="4"/>
      <c r="I238" s="4"/>
      <c r="J238" s="4"/>
      <c r="K238" s="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4"/>
      <c r="B239" s="4"/>
      <c r="C239" s="8"/>
      <c r="D239" s="5"/>
      <c r="E239" s="6"/>
      <c r="F239" s="6"/>
      <c r="G239" s="6"/>
      <c r="H239" s="4"/>
      <c r="I239" s="4"/>
      <c r="J239" s="4"/>
      <c r="K239" s="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4"/>
      <c r="B240" s="4"/>
      <c r="C240" s="8"/>
      <c r="D240" s="9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11"/>
      <c r="D241" s="9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11"/>
      <c r="D242" s="9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11"/>
      <c r="D243" s="9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11"/>
      <c r="D244" s="9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11"/>
      <c r="D245" s="9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11"/>
      <c r="D246" s="9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11"/>
      <c r="D247" s="9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11"/>
      <c r="D248" s="9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11"/>
      <c r="D249" s="9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11"/>
      <c r="D250" s="9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11"/>
      <c r="D251" s="9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11"/>
      <c r="D252" s="9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11"/>
      <c r="D253" s="9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11"/>
      <c r="D254" s="9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11"/>
      <c r="D255" s="9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11"/>
      <c r="D256" s="9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11"/>
      <c r="D257" s="9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11"/>
      <c r="D258" s="9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11"/>
      <c r="D259" s="9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11"/>
      <c r="D260" s="9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11"/>
      <c r="D261" s="9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11"/>
      <c r="D262" s="9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11"/>
      <c r="D263" s="9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11"/>
      <c r="D264" s="9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11"/>
      <c r="D265" s="9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11"/>
      <c r="D266" s="9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11"/>
      <c r="D267" s="9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11"/>
      <c r="D268" s="9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11"/>
      <c r="D269" s="9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11"/>
      <c r="D270" s="9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11"/>
      <c r="D271" s="9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11"/>
      <c r="D272" s="9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11"/>
      <c r="D273" s="9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11"/>
      <c r="D274" s="9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11"/>
      <c r="D275" s="9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11"/>
      <c r="D276" s="9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11"/>
      <c r="D277" s="9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11"/>
      <c r="D278" s="9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11"/>
      <c r="D279" s="9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11"/>
      <c r="D280" s="9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11"/>
      <c r="D281" s="9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11"/>
      <c r="D282" s="9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11"/>
      <c r="D283" s="9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11"/>
      <c r="D284" s="9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11"/>
      <c r="D285" s="9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11"/>
      <c r="D286" s="9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11"/>
      <c r="D287" s="9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11"/>
      <c r="D288" s="9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11"/>
      <c r="D289" s="9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11"/>
      <c r="D290" s="9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11"/>
      <c r="D291" s="9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11"/>
      <c r="D292" s="9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11"/>
      <c r="D293" s="9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11"/>
      <c r="D294" s="9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11"/>
      <c r="D295" s="9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11"/>
      <c r="D296" s="9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11"/>
      <c r="D297" s="9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11"/>
      <c r="D298" s="9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11"/>
      <c r="D299" s="9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11"/>
      <c r="D300" s="9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11"/>
      <c r="D301" s="9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11"/>
      <c r="D302" s="9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11"/>
      <c r="D303" s="9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11"/>
      <c r="D304" s="9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11"/>
      <c r="D305" s="9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11"/>
      <c r="D306" s="9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11"/>
      <c r="D307" s="9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11"/>
      <c r="D308" s="9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11"/>
      <c r="D309" s="9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11"/>
      <c r="D310" s="9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11"/>
      <c r="D311" s="9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11"/>
      <c r="D312" s="9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11"/>
      <c r="D313" s="9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11"/>
      <c r="D314" s="9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11"/>
      <c r="D315" s="9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11"/>
      <c r="D316" s="9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11"/>
      <c r="D317" s="9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11"/>
      <c r="D318" s="9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11"/>
      <c r="D319" s="9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11"/>
      <c r="D320" s="9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11"/>
      <c r="D321" s="9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11"/>
      <c r="D322" s="9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11"/>
      <c r="D323" s="9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11"/>
      <c r="D324" s="9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11"/>
      <c r="D325" s="9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11"/>
      <c r="D326" s="9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11"/>
      <c r="D327" s="9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11"/>
      <c r="D328" s="9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11"/>
      <c r="D329" s="9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11"/>
      <c r="D330" s="9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11"/>
      <c r="D331" s="9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11"/>
      <c r="D332" s="9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11"/>
      <c r="D333" s="9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11"/>
      <c r="D334" s="9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11"/>
      <c r="D335" s="9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11"/>
      <c r="D336" s="9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11"/>
      <c r="D337" s="9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11"/>
      <c r="D338" s="9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11"/>
      <c r="D339" s="9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11"/>
      <c r="D340" s="9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11"/>
      <c r="D341" s="9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11"/>
      <c r="D342" s="9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11"/>
      <c r="D343" s="9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11"/>
      <c r="D344" s="9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11"/>
      <c r="D345" s="9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11"/>
      <c r="D346" s="9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11"/>
      <c r="D347" s="9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11"/>
      <c r="D348" s="9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11"/>
      <c r="D349" s="9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11"/>
      <c r="D350" s="9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11"/>
      <c r="D351" s="9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11"/>
      <c r="D352" s="9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11"/>
      <c r="D353" s="9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11"/>
      <c r="D354" s="9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11"/>
      <c r="D355" s="9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11"/>
      <c r="D356" s="9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11"/>
      <c r="D357" s="9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11"/>
      <c r="D358" s="9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11"/>
      <c r="D359" s="9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11"/>
      <c r="D360" s="9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11"/>
      <c r="D361" s="9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11"/>
      <c r="D362" s="9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11"/>
      <c r="D363" s="9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11"/>
      <c r="D364" s="9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11"/>
      <c r="D365" s="9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11"/>
      <c r="D366" s="9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11"/>
      <c r="D367" s="9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11"/>
      <c r="D368" s="9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11"/>
      <c r="D369" s="9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11"/>
      <c r="D370" s="9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11"/>
      <c r="D371" s="9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11"/>
      <c r="D372" s="9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11"/>
      <c r="D373" s="9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11"/>
      <c r="D374" s="9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11"/>
      <c r="D375" s="9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11"/>
      <c r="D376" s="9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11"/>
      <c r="D377" s="9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11"/>
      <c r="D378" s="9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11"/>
      <c r="D379" s="9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11"/>
      <c r="D380" s="9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11"/>
      <c r="D381" s="9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11"/>
      <c r="D382" s="9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11"/>
      <c r="D383" s="9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11"/>
      <c r="D384" s="9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11"/>
      <c r="D385" s="9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11"/>
      <c r="D386" s="9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11"/>
      <c r="D387" s="9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11"/>
      <c r="D388" s="9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11"/>
      <c r="D389" s="9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11"/>
      <c r="D390" s="9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11"/>
      <c r="D391" s="9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11"/>
      <c r="D392" s="9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11"/>
      <c r="D393" s="9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11"/>
      <c r="D394" s="9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11"/>
      <c r="D395" s="9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11"/>
      <c r="D396" s="9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11"/>
      <c r="D397" s="9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11"/>
      <c r="D398" s="9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11"/>
      <c r="D399" s="9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11"/>
      <c r="D400" s="9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11"/>
      <c r="D401" s="9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11"/>
      <c r="D402" s="9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11"/>
      <c r="D403" s="9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11"/>
      <c r="D404" s="9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11"/>
      <c r="D405" s="9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11"/>
      <c r="D406" s="9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11"/>
      <c r="D407" s="9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11"/>
      <c r="D408" s="9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11"/>
      <c r="D409" s="9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11"/>
      <c r="D410" s="9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11"/>
      <c r="D411" s="9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11"/>
      <c r="D412" s="9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11"/>
      <c r="D413" s="9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11"/>
      <c r="D414" s="9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11"/>
      <c r="D415" s="9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11"/>
      <c r="D416" s="9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11"/>
      <c r="D417" s="9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11"/>
      <c r="D418" s="9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11"/>
      <c r="D419" s="9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11"/>
      <c r="D420" s="9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11"/>
      <c r="D421" s="9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11"/>
      <c r="D422" s="9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11"/>
      <c r="D423" s="9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11"/>
      <c r="D424" s="9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11"/>
      <c r="D425" s="9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11"/>
      <c r="D426" s="9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11"/>
      <c r="D427" s="9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11"/>
      <c r="D428" s="9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11"/>
      <c r="D429" s="9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11"/>
      <c r="D430" s="9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11"/>
      <c r="D431" s="9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11"/>
      <c r="D432" s="9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11"/>
      <c r="D433" s="9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11"/>
      <c r="D434" s="9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11"/>
      <c r="D435" s="9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11"/>
      <c r="D436" s="9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11"/>
      <c r="D437" s="9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11"/>
      <c r="D438" s="9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11"/>
      <c r="D439" s="9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11"/>
      <c r="D440" s="9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11"/>
      <c r="D441" s="9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11"/>
      <c r="D442" s="9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11"/>
      <c r="D443" s="9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11"/>
      <c r="D444" s="9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11"/>
      <c r="D445" s="9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11"/>
      <c r="D446" s="9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11"/>
      <c r="D447" s="9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11"/>
      <c r="D448" s="9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11"/>
      <c r="D449" s="9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11"/>
      <c r="D450" s="9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11"/>
      <c r="D451" s="9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11"/>
      <c r="D452" s="9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11"/>
      <c r="D453" s="9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11"/>
      <c r="D454" s="9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11"/>
      <c r="D455" s="9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11"/>
      <c r="D456" s="9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11"/>
      <c r="D457" s="9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11"/>
      <c r="D458" s="9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11"/>
      <c r="D459" s="9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11"/>
      <c r="D460" s="9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11"/>
      <c r="D461" s="9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11"/>
      <c r="D462" s="9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11"/>
      <c r="D463" s="9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11"/>
      <c r="D464" s="9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11"/>
      <c r="D465" s="9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11"/>
      <c r="D466" s="9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11"/>
      <c r="D467" s="9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11"/>
      <c r="D468" s="9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11"/>
      <c r="D469" s="9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11"/>
      <c r="D470" s="9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11"/>
      <c r="D471" s="9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11"/>
      <c r="D472" s="9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11"/>
      <c r="D473" s="9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11"/>
      <c r="D474" s="9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11"/>
      <c r="D475" s="9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11"/>
      <c r="D476" s="9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11"/>
      <c r="D477" s="9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11"/>
      <c r="D478" s="9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11"/>
      <c r="D479" s="9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11"/>
      <c r="D480" s="9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11"/>
      <c r="D481" s="9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11"/>
      <c r="D482" s="9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11"/>
      <c r="D483" s="9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11"/>
      <c r="D484" s="9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11"/>
      <c r="D485" s="9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11"/>
      <c r="D486" s="9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11"/>
      <c r="D487" s="9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11"/>
      <c r="D488" s="9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11"/>
      <c r="D489" s="9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11"/>
      <c r="D490" s="9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11"/>
      <c r="D491" s="9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11"/>
      <c r="D492" s="9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11"/>
      <c r="D493" s="9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11"/>
      <c r="D494" s="9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11"/>
      <c r="D495" s="9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11"/>
      <c r="D496" s="9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11"/>
      <c r="D497" s="9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11"/>
      <c r="D498" s="9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11"/>
      <c r="D499" s="9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11"/>
      <c r="D500" s="9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11"/>
      <c r="D501" s="9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11"/>
      <c r="D502" s="9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11"/>
      <c r="D503" s="9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11"/>
      <c r="D504" s="9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11"/>
      <c r="D505" s="9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11"/>
      <c r="D506" s="9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11"/>
      <c r="D507" s="9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11"/>
      <c r="D508" s="9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11"/>
      <c r="D509" s="9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11"/>
      <c r="D510" s="9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11"/>
      <c r="D511" s="9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11"/>
      <c r="D512" s="9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11"/>
      <c r="D513" s="9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11"/>
      <c r="D514" s="9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11"/>
      <c r="D515" s="9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11"/>
      <c r="D516" s="9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11"/>
      <c r="D517" s="9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11"/>
      <c r="D518" s="9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11"/>
      <c r="D519" s="9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11"/>
      <c r="D520" s="9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11"/>
      <c r="D521" s="9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11"/>
      <c r="D522" s="9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11"/>
      <c r="D523" s="9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11"/>
      <c r="D524" s="9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11"/>
      <c r="D525" s="9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11"/>
      <c r="D526" s="9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11"/>
      <c r="D527" s="9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11"/>
      <c r="D528" s="9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11"/>
      <c r="D529" s="9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11"/>
      <c r="D530" s="9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11"/>
      <c r="D531" s="9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11"/>
      <c r="D532" s="9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11"/>
      <c r="D533" s="9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11"/>
      <c r="D534" s="9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11"/>
      <c r="D535" s="9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11"/>
      <c r="D536" s="9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11"/>
      <c r="D537" s="9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11"/>
      <c r="D538" s="9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11"/>
      <c r="D539" s="9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11"/>
      <c r="D540" s="9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11"/>
      <c r="D541" s="9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11"/>
      <c r="D542" s="9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11"/>
      <c r="D543" s="9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11"/>
      <c r="D544" s="9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11"/>
      <c r="D545" s="9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11"/>
      <c r="D546" s="9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11"/>
      <c r="D547" s="9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11"/>
      <c r="D548" s="9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11"/>
      <c r="D549" s="9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11"/>
      <c r="D550" s="9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11"/>
      <c r="D551" s="9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11"/>
      <c r="D552" s="9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11"/>
      <c r="D553" s="9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11"/>
      <c r="D554" s="9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11"/>
      <c r="D555" s="9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11"/>
      <c r="D556" s="9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11"/>
      <c r="D557" s="9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11"/>
      <c r="D558" s="9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11"/>
      <c r="D559" s="9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11"/>
      <c r="D560" s="9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11"/>
      <c r="D561" s="9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11"/>
      <c r="D562" s="9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11"/>
      <c r="D563" s="9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11"/>
      <c r="D564" s="9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11"/>
      <c r="D565" s="9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11"/>
      <c r="D566" s="9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11"/>
      <c r="D567" s="9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11"/>
      <c r="D568" s="9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11"/>
      <c r="D569" s="9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11"/>
      <c r="D570" s="9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11"/>
      <c r="D571" s="9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11"/>
      <c r="D572" s="9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11"/>
      <c r="D573" s="9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11"/>
      <c r="D574" s="9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11"/>
      <c r="D575" s="9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11"/>
      <c r="D576" s="9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11"/>
      <c r="D577" s="9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11"/>
      <c r="D578" s="9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11"/>
      <c r="D579" s="9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11"/>
      <c r="D580" s="9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11"/>
      <c r="D581" s="9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11"/>
      <c r="D582" s="9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11"/>
      <c r="D583" s="9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11"/>
      <c r="D584" s="9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11"/>
      <c r="D585" s="9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11"/>
      <c r="D586" s="9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11"/>
      <c r="D587" s="9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11"/>
      <c r="D588" s="9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11"/>
      <c r="D589" s="9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11"/>
      <c r="D590" s="9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11"/>
      <c r="D591" s="9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11"/>
      <c r="D592" s="9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11"/>
      <c r="D593" s="9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11"/>
      <c r="D594" s="9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11"/>
      <c r="D595" s="9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11"/>
      <c r="D596" s="9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11"/>
      <c r="D597" s="9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11"/>
      <c r="D598" s="9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11"/>
      <c r="D599" s="9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11"/>
      <c r="D600" s="9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11"/>
      <c r="D601" s="9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11"/>
      <c r="D602" s="9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11"/>
      <c r="D603" s="9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11"/>
      <c r="D604" s="9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11"/>
      <c r="D605" s="9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11"/>
      <c r="D606" s="9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11"/>
      <c r="D607" s="9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11"/>
      <c r="D608" s="9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11"/>
      <c r="D609" s="9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11"/>
      <c r="D610" s="9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11"/>
      <c r="D611" s="9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11"/>
      <c r="D612" s="9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11"/>
      <c r="D613" s="9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11"/>
      <c r="D614" s="9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11"/>
      <c r="D615" s="9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11"/>
      <c r="D616" s="9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11"/>
      <c r="D617" s="9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11"/>
      <c r="D618" s="9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11"/>
      <c r="D619" s="9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11"/>
      <c r="D620" s="9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11"/>
      <c r="D621" s="9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11"/>
      <c r="D622" s="9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11"/>
      <c r="D623" s="9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11"/>
      <c r="D624" s="9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11"/>
      <c r="D625" s="9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11"/>
      <c r="D626" s="9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11"/>
      <c r="D627" s="9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11"/>
      <c r="D628" s="9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11"/>
      <c r="D629" s="9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11"/>
      <c r="D630" s="9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11"/>
      <c r="D631" s="9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11"/>
      <c r="D632" s="9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11"/>
      <c r="D633" s="9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11"/>
      <c r="D634" s="9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11"/>
      <c r="D635" s="9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11"/>
      <c r="D636" s="9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11"/>
      <c r="D637" s="9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11"/>
      <c r="D638" s="9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11"/>
      <c r="D639" s="9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11"/>
      <c r="D640" s="9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11"/>
      <c r="D641" s="9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11"/>
      <c r="D642" s="9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11"/>
      <c r="D643" s="9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11"/>
      <c r="D644" s="9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11"/>
      <c r="D645" s="9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11"/>
      <c r="D646" s="9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11"/>
      <c r="D647" s="9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11"/>
      <c r="D648" s="9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11"/>
      <c r="D649" s="9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11"/>
      <c r="D650" s="9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11"/>
      <c r="D651" s="9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11"/>
      <c r="D652" s="9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11"/>
      <c r="D653" s="9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11"/>
      <c r="D654" s="9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11"/>
      <c r="D655" s="9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11"/>
      <c r="D656" s="9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11"/>
      <c r="D657" s="9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11"/>
      <c r="D658" s="9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11"/>
      <c r="D659" s="9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11"/>
      <c r="D660" s="9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11"/>
      <c r="D661" s="9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11"/>
      <c r="D662" s="9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11"/>
      <c r="D663" s="9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11"/>
      <c r="D664" s="9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11"/>
      <c r="D665" s="9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11"/>
      <c r="D666" s="9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11"/>
      <c r="D667" s="9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11"/>
      <c r="D668" s="9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11"/>
      <c r="D669" s="9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11"/>
      <c r="D670" s="9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11"/>
      <c r="D671" s="9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11"/>
      <c r="D672" s="9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11"/>
      <c r="D673" s="9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11"/>
      <c r="D674" s="9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11"/>
      <c r="D675" s="9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11"/>
      <c r="D676" s="9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11"/>
      <c r="D677" s="9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11"/>
      <c r="D678" s="9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11"/>
      <c r="D679" s="9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11"/>
      <c r="D680" s="9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11"/>
      <c r="D681" s="9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11"/>
      <c r="D682" s="9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11"/>
      <c r="D683" s="9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11"/>
      <c r="D684" s="9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11"/>
      <c r="D685" s="9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11"/>
      <c r="D686" s="9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11"/>
      <c r="D687" s="9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11"/>
      <c r="D688" s="9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11"/>
      <c r="D689" s="9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11"/>
      <c r="D690" s="9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11"/>
      <c r="D691" s="9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11"/>
      <c r="D692" s="9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11"/>
      <c r="D693" s="9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11"/>
      <c r="D694" s="9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11"/>
      <c r="D695" s="9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11"/>
      <c r="D696" s="9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11"/>
      <c r="D697" s="9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11"/>
      <c r="D698" s="9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11"/>
      <c r="D699" s="9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11"/>
      <c r="D700" s="9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11"/>
      <c r="D701" s="9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11"/>
      <c r="D702" s="9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11"/>
      <c r="D703" s="9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11"/>
      <c r="D704" s="9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11"/>
      <c r="D705" s="9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11"/>
      <c r="D706" s="9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11"/>
      <c r="D707" s="9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11"/>
      <c r="D708" s="9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11"/>
      <c r="D709" s="9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11"/>
      <c r="D710" s="9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11"/>
      <c r="D711" s="9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11"/>
      <c r="D712" s="9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11"/>
      <c r="D713" s="9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11"/>
      <c r="D714" s="9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11"/>
      <c r="D715" s="9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11"/>
      <c r="D716" s="9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11"/>
      <c r="D717" s="9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11"/>
      <c r="D718" s="9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11"/>
      <c r="D719" s="9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11"/>
      <c r="D720" s="9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11"/>
      <c r="D721" s="9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11"/>
      <c r="D722" s="9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11"/>
      <c r="D723" s="9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11"/>
      <c r="D724" s="9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11"/>
      <c r="D725" s="9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11"/>
      <c r="D726" s="9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11"/>
      <c r="D727" s="9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11"/>
      <c r="D728" s="9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11"/>
      <c r="D729" s="9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11"/>
      <c r="D730" s="9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11"/>
      <c r="D731" s="9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11"/>
      <c r="D732" s="9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11"/>
      <c r="D733" s="9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11"/>
      <c r="D734" s="9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11"/>
      <c r="D735" s="9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11"/>
      <c r="D736" s="9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11"/>
      <c r="D737" s="9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11"/>
      <c r="D738" s="9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11"/>
      <c r="D739" s="9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11"/>
      <c r="D740" s="9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11"/>
      <c r="D741" s="9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11"/>
      <c r="D742" s="9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11"/>
      <c r="D743" s="9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11"/>
      <c r="D744" s="9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11"/>
      <c r="D745" s="9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11"/>
      <c r="D746" s="9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11"/>
      <c r="D747" s="9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11"/>
      <c r="D748" s="9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11"/>
      <c r="D749" s="9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11"/>
      <c r="D750" s="9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11"/>
      <c r="D751" s="9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11"/>
      <c r="D752" s="9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11"/>
      <c r="D753" s="9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11"/>
      <c r="D754" s="9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11"/>
      <c r="D755" s="9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11"/>
      <c r="D756" s="9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11"/>
      <c r="D757" s="9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11"/>
      <c r="D758" s="9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11"/>
      <c r="D759" s="9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11"/>
      <c r="D760" s="9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11"/>
      <c r="D761" s="9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11"/>
      <c r="D762" s="9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11"/>
      <c r="D763" s="9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11"/>
      <c r="D764" s="9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11"/>
      <c r="D765" s="9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11"/>
      <c r="D766" s="9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11"/>
      <c r="D767" s="9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11"/>
      <c r="D768" s="9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11"/>
      <c r="D769" s="9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11"/>
      <c r="D770" s="9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11"/>
      <c r="D771" s="9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11"/>
      <c r="D772" s="9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11"/>
      <c r="D773" s="9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11"/>
      <c r="D774" s="9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11"/>
      <c r="D775" s="9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11"/>
      <c r="D776" s="9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11"/>
      <c r="D777" s="9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11"/>
      <c r="D778" s="9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11"/>
      <c r="D779" s="9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11"/>
      <c r="D780" s="9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11"/>
      <c r="D781" s="9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11"/>
      <c r="D782" s="9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11"/>
      <c r="D783" s="9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11"/>
      <c r="D784" s="9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11"/>
      <c r="D785" s="9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11"/>
      <c r="D786" s="9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11"/>
      <c r="D787" s="9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11"/>
      <c r="D788" s="9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11"/>
      <c r="D789" s="9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11"/>
      <c r="D790" s="9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11"/>
      <c r="D791" s="9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11"/>
      <c r="D792" s="9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11"/>
      <c r="D793" s="9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11"/>
      <c r="D794" s="9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11"/>
      <c r="D795" s="9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11"/>
      <c r="D796" s="9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11"/>
      <c r="D797" s="9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11"/>
      <c r="D798" s="9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11"/>
      <c r="D799" s="9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11"/>
      <c r="D800" s="9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11"/>
      <c r="D801" s="9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11"/>
      <c r="D802" s="9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11"/>
      <c r="D803" s="9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11"/>
      <c r="D804" s="9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11"/>
      <c r="D805" s="9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11"/>
      <c r="D806" s="9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11"/>
      <c r="D807" s="9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11"/>
      <c r="D808" s="9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11"/>
      <c r="D809" s="9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11"/>
      <c r="D810" s="9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11"/>
      <c r="D811" s="9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11"/>
      <c r="D812" s="9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11"/>
      <c r="D813" s="9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11"/>
      <c r="D814" s="9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11"/>
      <c r="D815" s="9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11"/>
      <c r="D816" s="9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11"/>
      <c r="D817" s="9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11"/>
      <c r="D818" s="9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11"/>
      <c r="D819" s="9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11"/>
      <c r="D820" s="9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11"/>
      <c r="D821" s="9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11"/>
      <c r="D822" s="9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11"/>
      <c r="D823" s="9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11"/>
      <c r="D824" s="9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11"/>
      <c r="D825" s="9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11"/>
      <c r="D826" s="9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11"/>
      <c r="D827" s="9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11"/>
      <c r="D828" s="9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11"/>
      <c r="D829" s="9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11"/>
      <c r="D830" s="9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11"/>
      <c r="D831" s="9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11"/>
      <c r="D832" s="9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11"/>
      <c r="D833" s="9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11"/>
      <c r="D834" s="9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11"/>
      <c r="D835" s="9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11"/>
      <c r="D836" s="9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11"/>
      <c r="D837" s="9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11"/>
      <c r="D838" s="9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11"/>
      <c r="D839" s="9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11"/>
      <c r="D840" s="9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11"/>
      <c r="D841" s="9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11"/>
      <c r="D842" s="9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11"/>
      <c r="D843" s="9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11"/>
      <c r="D844" s="9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11"/>
      <c r="D845" s="9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11"/>
      <c r="D846" s="9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11"/>
      <c r="D847" s="9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11"/>
      <c r="D848" s="9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11"/>
      <c r="D849" s="9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11"/>
      <c r="D850" s="9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11"/>
      <c r="D851" s="9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11"/>
      <c r="D852" s="9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11"/>
      <c r="D853" s="9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11"/>
      <c r="D854" s="9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11"/>
      <c r="D855" s="9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11"/>
      <c r="D856" s="9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11"/>
      <c r="D857" s="9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11"/>
      <c r="D858" s="9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11"/>
      <c r="D859" s="9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11"/>
      <c r="D860" s="9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11"/>
      <c r="D861" s="9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11"/>
      <c r="D862" s="9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11"/>
      <c r="D863" s="9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11"/>
      <c r="D864" s="9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11"/>
      <c r="D865" s="9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11"/>
      <c r="D866" s="9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11"/>
      <c r="D867" s="9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11"/>
      <c r="D868" s="9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11"/>
      <c r="D869" s="9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11"/>
      <c r="D870" s="9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11"/>
      <c r="D871" s="9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11"/>
      <c r="D872" s="9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11"/>
      <c r="D873" s="9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11"/>
      <c r="D874" s="9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11"/>
      <c r="D875" s="9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11"/>
      <c r="D876" s="9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11"/>
      <c r="D877" s="9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11"/>
      <c r="D878" s="9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11"/>
      <c r="D879" s="9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11"/>
      <c r="D880" s="9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11"/>
      <c r="D881" s="9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11"/>
      <c r="D882" s="9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11"/>
      <c r="D883" s="9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11"/>
      <c r="D884" s="9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11"/>
      <c r="D885" s="9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11"/>
      <c r="D886" s="9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11"/>
      <c r="D887" s="9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11"/>
      <c r="D888" s="9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11"/>
      <c r="D889" s="9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11"/>
      <c r="D890" s="9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11"/>
      <c r="D891" s="9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11"/>
      <c r="D892" s="9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11"/>
      <c r="D893" s="9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11"/>
      <c r="D894" s="9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11"/>
      <c r="D895" s="9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11"/>
      <c r="D896" s="9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11"/>
      <c r="D897" s="9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11"/>
      <c r="D898" s="9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11"/>
      <c r="D899" s="9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11"/>
      <c r="D900" s="9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11"/>
      <c r="D901" s="9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11"/>
      <c r="D902" s="9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11"/>
      <c r="D903" s="9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11"/>
      <c r="D904" s="9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11"/>
      <c r="D905" s="9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11"/>
      <c r="D906" s="9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11"/>
      <c r="D907" s="9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11"/>
      <c r="D908" s="9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11"/>
      <c r="D909" s="9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11"/>
      <c r="D910" s="9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11"/>
      <c r="D911" s="9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11"/>
      <c r="D912" s="9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11"/>
      <c r="D913" s="9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11"/>
      <c r="D914" s="9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11"/>
      <c r="D915" s="9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11"/>
      <c r="D916" s="9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11"/>
      <c r="D917" s="9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11"/>
      <c r="D918" s="9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11"/>
      <c r="D919" s="9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11"/>
      <c r="D920" s="9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11"/>
      <c r="D921" s="9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11"/>
      <c r="D922" s="9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11"/>
      <c r="D923" s="9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11"/>
      <c r="D924" s="9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11"/>
      <c r="D925" s="9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11"/>
      <c r="D926" s="9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11"/>
      <c r="D927" s="9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11"/>
      <c r="D928" s="9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11"/>
      <c r="D929" s="9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11"/>
      <c r="D930" s="9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11"/>
      <c r="D931" s="9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11"/>
      <c r="D932" s="9"/>
      <c r="E932" s="10"/>
      <c r="F932" s="10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11"/>
      <c r="D933" s="9"/>
      <c r="E933" s="10"/>
      <c r="F933" s="10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11"/>
      <c r="D934" s="9"/>
      <c r="E934" s="10"/>
      <c r="F934" s="10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11"/>
      <c r="D935" s="9"/>
      <c r="E935" s="10"/>
      <c r="F935" s="10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11"/>
      <c r="D936" s="9"/>
      <c r="E936" s="10"/>
      <c r="F936" s="10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11"/>
      <c r="D937" s="9"/>
      <c r="E937" s="10"/>
      <c r="F937" s="10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11"/>
      <c r="D938" s="9"/>
      <c r="E938" s="10"/>
      <c r="F938" s="10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11"/>
      <c r="D939" s="9"/>
      <c r="E939" s="10"/>
      <c r="F939" s="10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11"/>
      <c r="D940" s="9"/>
      <c r="E940" s="10"/>
      <c r="F940" s="10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11"/>
      <c r="D941" s="9"/>
      <c r="E941" s="10"/>
      <c r="F941" s="10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11"/>
      <c r="D942" s="9"/>
      <c r="E942" s="10"/>
      <c r="F942" s="10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11"/>
      <c r="D943" s="9"/>
      <c r="E943" s="10"/>
      <c r="F943" s="10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11"/>
      <c r="D944" s="9"/>
      <c r="E944" s="10"/>
      <c r="F944" s="10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11"/>
      <c r="D945" s="9"/>
      <c r="E945" s="10"/>
      <c r="F945" s="10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11"/>
      <c r="D946" s="9"/>
      <c r="E946" s="10"/>
      <c r="F946" s="10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11"/>
      <c r="D947" s="9"/>
      <c r="E947" s="10"/>
      <c r="F947" s="10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11"/>
      <c r="D948" s="9"/>
      <c r="E948" s="10"/>
      <c r="F948" s="10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11"/>
      <c r="D949" s="9"/>
      <c r="E949" s="10"/>
      <c r="F949" s="10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11"/>
      <c r="D950" s="9"/>
      <c r="E950" s="10"/>
      <c r="F950" s="10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11"/>
      <c r="D951" s="9"/>
      <c r="E951" s="10"/>
      <c r="F951" s="10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11"/>
      <c r="D952" s="9"/>
      <c r="E952" s="10"/>
      <c r="F952" s="10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11"/>
      <c r="D953" s="9"/>
      <c r="E953" s="10"/>
      <c r="F953" s="10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11"/>
      <c r="D954" s="9"/>
      <c r="E954" s="10"/>
      <c r="F954" s="10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11"/>
      <c r="D955" s="9"/>
      <c r="E955" s="10"/>
      <c r="F955" s="10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11"/>
      <c r="D956" s="9"/>
      <c r="E956" s="10"/>
      <c r="F956" s="10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11"/>
      <c r="D957" s="9"/>
      <c r="E957" s="10"/>
      <c r="F957" s="10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11"/>
      <c r="D958" s="9"/>
      <c r="E958" s="10"/>
      <c r="F958" s="10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11"/>
      <c r="D959" s="9"/>
      <c r="E959" s="10"/>
      <c r="F959" s="10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11"/>
      <c r="D960" s="9"/>
      <c r="E960" s="10"/>
      <c r="F960" s="10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11"/>
      <c r="D961" s="9"/>
      <c r="E961" s="10"/>
      <c r="F961" s="10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11"/>
      <c r="D962" s="9"/>
      <c r="E962" s="10"/>
      <c r="F962" s="10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11"/>
      <c r="D963" s="9"/>
      <c r="E963" s="10"/>
      <c r="F963" s="10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11"/>
      <c r="D964" s="9"/>
      <c r="E964" s="10"/>
      <c r="F964" s="10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11"/>
      <c r="D965" s="9"/>
      <c r="E965" s="10"/>
      <c r="F965" s="10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11"/>
      <c r="D966" s="9"/>
      <c r="E966" s="10"/>
      <c r="F966" s="10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11"/>
      <c r="D967" s="9"/>
      <c r="E967" s="10"/>
      <c r="F967" s="10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11"/>
      <c r="D968" s="9"/>
      <c r="E968" s="10"/>
      <c r="F968" s="10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11"/>
      <c r="D969" s="9"/>
      <c r="E969" s="10"/>
      <c r="F969" s="10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11"/>
      <c r="D970" s="9"/>
      <c r="E970" s="10"/>
      <c r="F970" s="10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11"/>
      <c r="D971" s="9"/>
      <c r="E971" s="10"/>
      <c r="F971" s="10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11"/>
      <c r="D972" s="9"/>
      <c r="E972" s="10"/>
      <c r="F972" s="10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11"/>
      <c r="D973" s="9"/>
      <c r="E973" s="10"/>
      <c r="F973" s="10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11"/>
      <c r="D974" s="9"/>
      <c r="E974" s="10"/>
      <c r="F974" s="10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11"/>
      <c r="D975" s="9"/>
      <c r="E975" s="10"/>
      <c r="F975" s="10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11"/>
      <c r="D976" s="9"/>
      <c r="E976" s="10"/>
      <c r="F976" s="10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11"/>
      <c r="D977" s="9"/>
      <c r="E977" s="10"/>
      <c r="F977" s="10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11"/>
      <c r="D978" s="9"/>
      <c r="E978" s="10"/>
      <c r="F978" s="10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11"/>
      <c r="D979" s="9"/>
      <c r="E979" s="10"/>
      <c r="F979" s="10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11"/>
      <c r="D980" s="9"/>
      <c r="E980" s="10"/>
      <c r="F980" s="10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11"/>
      <c r="D981" s="9"/>
      <c r="E981" s="10"/>
      <c r="F981" s="10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11"/>
      <c r="D982" s="9"/>
      <c r="E982" s="10"/>
      <c r="F982" s="10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11"/>
      <c r="D983" s="9"/>
      <c r="E983" s="10"/>
      <c r="F983" s="10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11"/>
      <c r="D984" s="9"/>
      <c r="E984" s="10"/>
      <c r="F984" s="10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11"/>
      <c r="D985" s="9"/>
      <c r="E985" s="10"/>
      <c r="F985" s="10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11"/>
      <c r="D986" s="9"/>
      <c r="E986" s="10"/>
      <c r="F986" s="10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11"/>
      <c r="D987" s="9"/>
      <c r="E987" s="10"/>
      <c r="F987" s="10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11"/>
      <c r="D988" s="9"/>
      <c r="E988" s="10"/>
      <c r="F988" s="10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11"/>
      <c r="D989" s="9"/>
      <c r="E989" s="10"/>
      <c r="F989" s="10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11"/>
      <c r="D990" s="9"/>
      <c r="E990" s="10"/>
      <c r="F990" s="10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11"/>
      <c r="D991" s="9"/>
      <c r="E991" s="10"/>
      <c r="F991" s="10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11"/>
      <c r="D992" s="9"/>
      <c r="E992" s="10"/>
      <c r="F992" s="10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11"/>
      <c r="D993" s="9"/>
      <c r="E993" s="10"/>
      <c r="F993" s="10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11"/>
      <c r="D994" s="9"/>
      <c r="E994" s="10"/>
      <c r="F994" s="10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11"/>
      <c r="D995" s="9"/>
      <c r="E995" s="10"/>
      <c r="F995" s="10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11"/>
      <c r="D996" s="9"/>
      <c r="E996" s="10"/>
      <c r="F996" s="10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11"/>
      <c r="D997" s="9"/>
      <c r="E997" s="10"/>
      <c r="F997" s="10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11"/>
      <c r="D998" s="9"/>
      <c r="E998" s="10"/>
      <c r="F998" s="10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11"/>
      <c r="D999" s="9"/>
      <c r="E999" s="10"/>
      <c r="F999" s="10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11"/>
      <c r="D1000" s="9"/>
      <c r="E1000" s="10"/>
      <c r="F1000" s="10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11"/>
      <c r="D1001" s="9"/>
      <c r="E1001" s="10"/>
      <c r="F1001" s="10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8.25"/>
    <col customWidth="1" min="3" max="3" width="28.88"/>
    <col customWidth="1" hidden="1" min="4" max="4" width="7.75"/>
    <col customWidth="1" min="5" max="7" width="11.88"/>
    <col customWidth="1" hidden="1" min="8" max="8" width="8.38"/>
    <col customWidth="1" min="9" max="11" width="8.38"/>
    <col customWidth="1" hidden="1" min="12" max="12" width="9.63"/>
    <col customWidth="1" hidden="1" min="13" max="13" width="7.5"/>
    <col customWidth="1" hidden="1" min="14" max="14" width="12.63"/>
    <col customWidth="1" hidden="1" min="15" max="15" width="6.88"/>
    <col customWidth="1" hidden="1" min="16" max="16" width="12.13"/>
    <col customWidth="1" hidden="1" min="17" max="17" width="10.63"/>
    <col customWidth="1" hidden="1" min="18" max="18" width="5.5"/>
    <col customWidth="1" hidden="1" min="19" max="19" width="7.38"/>
    <col customWidth="1" hidden="1" min="20" max="20" width="6.13"/>
    <col customWidth="1" hidden="1" min="21" max="21" width="6.63"/>
    <col customWidth="1" hidden="1" min="22" max="22" width="3.5"/>
    <col customWidth="1" hidden="1" min="23" max="23" width="7.13"/>
    <col customWidth="1" hidden="1" min="24" max="24" width="7.0"/>
    <col customWidth="1" hidden="1" min="25" max="25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tr">
        <f>IFERROR(__xludf.DUMMYFUNCTION("FILTER(Master!A:Z, Master!Q:Q = ""X"")"),"Adventuring Gear")</f>
        <v>Adventuring Gear</v>
      </c>
      <c r="B2" s="4" t="str">
        <f>IFERROR(__xludf.DUMMYFUNCTION("""COMPUTED_VALUE"""),"Ammunition")</f>
        <v>Ammunition</v>
      </c>
      <c r="C2" s="4" t="str">
        <f>IFERROR(__xludf.DUMMYFUNCTION("""COMPUTED_VALUE"""),"Arrows (20)")</f>
        <v>Arrows (20)</v>
      </c>
      <c r="D2" s="5">
        <f>IFERROR(__xludf.DUMMYFUNCTION("""COMPUTED_VALUE"""),1.0)</f>
        <v>1</v>
      </c>
      <c r="E2" s="6">
        <f>IFERROR(__xludf.DUMMYFUNCTION("""COMPUTED_VALUE"""),1.0)</f>
        <v>1</v>
      </c>
      <c r="F2" s="6">
        <f>IFERROR(__xludf.DUMMYFUNCTION("""COMPUTED_VALUE"""),0.75)</f>
        <v>0.75</v>
      </c>
      <c r="G2" s="6">
        <f>IFERROR(__xludf.DUMMYFUNCTION("""COMPUTED_VALUE"""),1.5)</f>
        <v>1.5</v>
      </c>
      <c r="H2" s="4" t="str">
        <f>IFERROR(__xludf.DUMMYFUNCTION("""COMPUTED_VALUE"""),"PHB 2024")</f>
        <v>PHB 2024</v>
      </c>
      <c r="I2" s="4" t="str">
        <f>IFERROR(__xludf.DUMMYFUNCTION("""COMPUTED_VALUE"""),"x")</f>
        <v>x</v>
      </c>
      <c r="J2" s="4" t="str">
        <f>IFERROR(__xludf.DUMMYFUNCTION("""COMPUTED_VALUE"""),"x")</f>
        <v>x</v>
      </c>
      <c r="K2" s="4" t="str">
        <f>IFERROR(__xludf.DUMMYFUNCTION("""COMPUTED_VALUE"""),"x")</f>
        <v>x</v>
      </c>
      <c r="L2" s="7"/>
      <c r="M2" s="7" t="str">
        <f>IFERROR(__xludf.DUMMYFUNCTION("""COMPUTED_VALUE"""),"x")</f>
        <v>x</v>
      </c>
      <c r="N2" s="7"/>
      <c r="O2" s="7"/>
      <c r="P2" s="7"/>
      <c r="Q2" s="7" t="str">
        <f>IFERROR(__xludf.DUMMYFUNCTION("""COMPUTED_VALUE"""),"x")</f>
        <v>x</v>
      </c>
      <c r="R2" s="7"/>
      <c r="S2" s="7"/>
      <c r="T2" s="4"/>
      <c r="U2" s="7"/>
      <c r="V2" s="7"/>
      <c r="W2" s="7"/>
      <c r="X2" s="7"/>
      <c r="Y2" s="7"/>
    </row>
    <row r="3">
      <c r="A3" s="4" t="str">
        <f>IFERROR(__xludf.DUMMYFUNCTION("""COMPUTED_VALUE"""),"Adventuring Gear")</f>
        <v>Adventuring Gear</v>
      </c>
      <c r="B3" s="4" t="str">
        <f>IFERROR(__xludf.DUMMYFUNCTION("""COMPUTED_VALUE"""),"Ammunition")</f>
        <v>Ammunition</v>
      </c>
      <c r="C3" s="4" t="str">
        <f>IFERROR(__xludf.DUMMYFUNCTION("""COMPUTED_VALUE"""),"Crossbow, Bolts (20)")</f>
        <v>Crossbow, Bolts (20)</v>
      </c>
      <c r="D3" s="5">
        <f>IFERROR(__xludf.DUMMYFUNCTION("""COMPUTED_VALUE"""),1.5)</f>
        <v>1.5</v>
      </c>
      <c r="E3" s="6">
        <f>IFERROR(__xludf.DUMMYFUNCTION("""COMPUTED_VALUE"""),1.0)</f>
        <v>1</v>
      </c>
      <c r="F3" s="6">
        <f>IFERROR(__xludf.DUMMYFUNCTION("""COMPUTED_VALUE"""),0.75)</f>
        <v>0.75</v>
      </c>
      <c r="G3" s="6">
        <f>IFERROR(__xludf.DUMMYFUNCTION("""COMPUTED_VALUE"""),1.5)</f>
        <v>1.5</v>
      </c>
      <c r="H3" s="4" t="str">
        <f>IFERROR(__xludf.DUMMYFUNCTION("""COMPUTED_VALUE"""),"PHB 2024")</f>
        <v>PHB 2024</v>
      </c>
      <c r="I3" s="4" t="str">
        <f>IFERROR(__xludf.DUMMYFUNCTION("""COMPUTED_VALUE"""),"x")</f>
        <v>x</v>
      </c>
      <c r="J3" s="4" t="str">
        <f>IFERROR(__xludf.DUMMYFUNCTION("""COMPUTED_VALUE"""),"x")</f>
        <v>x</v>
      </c>
      <c r="K3" s="4" t="str">
        <f>IFERROR(__xludf.DUMMYFUNCTION("""COMPUTED_VALUE"""),"x")</f>
        <v>x</v>
      </c>
      <c r="L3" s="7"/>
      <c r="M3" s="7" t="str">
        <f>IFERROR(__xludf.DUMMYFUNCTION("""COMPUTED_VALUE"""),"x")</f>
        <v>x</v>
      </c>
      <c r="N3" s="7"/>
      <c r="O3" s="7"/>
      <c r="P3" s="7"/>
      <c r="Q3" s="7" t="str">
        <f>IFERROR(__xludf.DUMMYFUNCTION("""COMPUTED_VALUE"""),"x")</f>
        <v>x</v>
      </c>
      <c r="R3" s="7"/>
      <c r="S3" s="7"/>
      <c r="T3" s="4"/>
      <c r="U3" s="7"/>
      <c r="V3" s="7"/>
      <c r="W3" s="7"/>
      <c r="X3" s="7"/>
      <c r="Y3" s="7"/>
    </row>
    <row r="4">
      <c r="A4" s="4" t="str">
        <f>IFERROR(__xludf.DUMMYFUNCTION("""COMPUTED_VALUE"""),"Adventuring Gear")</f>
        <v>Adventuring Gear</v>
      </c>
      <c r="B4" s="4" t="str">
        <f>IFERROR(__xludf.DUMMYFUNCTION("""COMPUTED_VALUE"""),"Ammunition")</f>
        <v>Ammunition</v>
      </c>
      <c r="C4" s="4" t="str">
        <f>IFERROR(__xludf.DUMMYFUNCTION("""COMPUTED_VALUE"""),"Bullets, Sling (20)")</f>
        <v>Bullets, Sling (20)</v>
      </c>
      <c r="D4" s="5">
        <f>IFERROR(__xludf.DUMMYFUNCTION("""COMPUTED_VALUE"""),1.5)</f>
        <v>1.5</v>
      </c>
      <c r="E4" s="6">
        <f>IFERROR(__xludf.DUMMYFUNCTION("""COMPUTED_VALUE"""),0.04)</f>
        <v>0.04</v>
      </c>
      <c r="F4" s="6">
        <f>IFERROR(__xludf.DUMMYFUNCTION("""COMPUTED_VALUE"""),0.03)</f>
        <v>0.03</v>
      </c>
      <c r="G4" s="6">
        <f>IFERROR(__xludf.DUMMYFUNCTION("""COMPUTED_VALUE"""),0.06)</f>
        <v>0.06</v>
      </c>
      <c r="H4" s="4" t="str">
        <f>IFERROR(__xludf.DUMMYFUNCTION("""COMPUTED_VALUE"""),"PHB 2024")</f>
        <v>PHB 2024</v>
      </c>
      <c r="I4" s="4" t="str">
        <f>IFERROR(__xludf.DUMMYFUNCTION("""COMPUTED_VALUE"""),"x")</f>
        <v>x</v>
      </c>
      <c r="J4" s="4" t="str">
        <f>IFERROR(__xludf.DUMMYFUNCTION("""COMPUTED_VALUE"""),"x")</f>
        <v>x</v>
      </c>
      <c r="K4" s="4" t="str">
        <f>IFERROR(__xludf.DUMMYFUNCTION("""COMPUTED_VALUE"""),"x")</f>
        <v>x</v>
      </c>
      <c r="L4" s="7"/>
      <c r="M4" s="4"/>
      <c r="N4" s="7"/>
      <c r="O4" s="7"/>
      <c r="P4" s="7"/>
      <c r="Q4" s="4" t="str">
        <f>IFERROR(__xludf.DUMMYFUNCTION("""COMPUTED_VALUE"""),"x")</f>
        <v>x</v>
      </c>
      <c r="R4" s="7"/>
      <c r="S4" s="7"/>
      <c r="T4" s="7"/>
      <c r="U4" s="7"/>
      <c r="V4" s="7"/>
      <c r="W4" s="7"/>
      <c r="X4" s="7"/>
      <c r="Y4" s="7"/>
    </row>
    <row r="5">
      <c r="A5" s="4" t="str">
        <f>IFERROR(__xludf.DUMMYFUNCTION("""COMPUTED_VALUE"""),"Adventuring Gear")</f>
        <v>Adventuring Gear</v>
      </c>
      <c r="B5" s="4" t="str">
        <f>IFERROR(__xludf.DUMMYFUNCTION("""COMPUTED_VALUE"""),"Ammunition")</f>
        <v>Ammunition</v>
      </c>
      <c r="C5" s="4" t="str">
        <f>IFERROR(__xludf.DUMMYFUNCTION("""COMPUTED_VALUE"""),"Blowgun, Needles (50)")</f>
        <v>Blowgun, Needles (50)</v>
      </c>
      <c r="D5" s="5">
        <f>IFERROR(__xludf.DUMMYFUNCTION("""COMPUTED_VALUE"""),1.0)</f>
        <v>1</v>
      </c>
      <c r="E5" s="6">
        <f>IFERROR(__xludf.DUMMYFUNCTION("""COMPUTED_VALUE"""),1.0)</f>
        <v>1</v>
      </c>
      <c r="F5" s="6">
        <f>IFERROR(__xludf.DUMMYFUNCTION("""COMPUTED_VALUE"""),0.75)</f>
        <v>0.75</v>
      </c>
      <c r="G5" s="6">
        <f>IFERROR(__xludf.DUMMYFUNCTION("""COMPUTED_VALUE"""),1.5)</f>
        <v>1.5</v>
      </c>
      <c r="H5" s="4" t="str">
        <f>IFERROR(__xludf.DUMMYFUNCTION("""COMPUTED_VALUE"""),"PHB 2024")</f>
        <v>PHB 2024</v>
      </c>
      <c r="I5" s="4" t="str">
        <f>IFERROR(__xludf.DUMMYFUNCTION("""COMPUTED_VALUE"""),"x")</f>
        <v>x</v>
      </c>
      <c r="J5" s="4" t="str">
        <f>IFERROR(__xludf.DUMMYFUNCTION("""COMPUTED_VALUE"""),"x")</f>
        <v>x</v>
      </c>
      <c r="K5" s="4" t="str">
        <f>IFERROR(__xludf.DUMMYFUNCTION("""COMPUTED_VALUE"""),"x")</f>
        <v>x</v>
      </c>
      <c r="L5" s="7"/>
      <c r="M5" s="4"/>
      <c r="N5" s="7"/>
      <c r="O5" s="7"/>
      <c r="P5" s="7"/>
      <c r="Q5" s="4" t="str">
        <f>IFERROR(__xludf.DUMMYFUNCTION("""COMPUTED_VALUE"""),"x")</f>
        <v>x</v>
      </c>
      <c r="R5" s="7"/>
      <c r="S5" s="7"/>
      <c r="T5" s="7"/>
      <c r="U5" s="7"/>
      <c r="V5" s="7"/>
      <c r="W5" s="7"/>
      <c r="X5" s="7"/>
      <c r="Y5" s="7"/>
    </row>
    <row r="6">
      <c r="A6" s="4" t="str">
        <f>IFERROR(__xludf.DUMMYFUNCTION("""COMPUTED_VALUE"""),"Adventuring Gear")</f>
        <v>Adventuring Gear</v>
      </c>
      <c r="B6" s="4" t="str">
        <f>IFERROR(__xludf.DUMMYFUNCTION("""COMPUTED_VALUE"""),"-")</f>
        <v>-</v>
      </c>
      <c r="C6" s="4" t="str">
        <f>IFERROR(__xludf.DUMMYFUNCTION("""COMPUTED_VALUE"""),"Backpack")</f>
        <v>Backpack</v>
      </c>
      <c r="D6" s="5">
        <f>IFERROR(__xludf.DUMMYFUNCTION("""COMPUTED_VALUE"""),5.0)</f>
        <v>5</v>
      </c>
      <c r="E6" s="6">
        <f>IFERROR(__xludf.DUMMYFUNCTION("""COMPUTED_VALUE"""),2.0)</f>
        <v>2</v>
      </c>
      <c r="F6" s="6">
        <f>IFERROR(__xludf.DUMMYFUNCTION("""COMPUTED_VALUE"""),1.5)</f>
        <v>1.5</v>
      </c>
      <c r="G6" s="6">
        <f>IFERROR(__xludf.DUMMYFUNCTION("""COMPUTED_VALUE"""),3.0)</f>
        <v>3</v>
      </c>
      <c r="H6" s="4" t="str">
        <f>IFERROR(__xludf.DUMMYFUNCTION("""COMPUTED_VALUE"""),"PHB 2024")</f>
        <v>PHB 2024</v>
      </c>
      <c r="I6" s="4" t="str">
        <f>IFERROR(__xludf.DUMMYFUNCTION("""COMPUTED_VALUE"""),"x")</f>
        <v>x</v>
      </c>
      <c r="J6" s="4" t="str">
        <f>IFERROR(__xludf.DUMMYFUNCTION("""COMPUTED_VALUE"""),"x")</f>
        <v>x</v>
      </c>
      <c r="K6" s="4" t="str">
        <f>IFERROR(__xludf.DUMMYFUNCTION("""COMPUTED_VALUE"""),"x")</f>
        <v>x</v>
      </c>
      <c r="L6" s="7"/>
      <c r="M6" s="7"/>
      <c r="N6" s="7"/>
      <c r="O6" s="7"/>
      <c r="P6" s="7"/>
      <c r="Q6" s="7" t="str">
        <f>IFERROR(__xludf.DUMMYFUNCTION("""COMPUTED_VALUE"""),"x")</f>
        <v>x</v>
      </c>
      <c r="R6" s="7"/>
      <c r="S6" s="7"/>
      <c r="T6" s="7"/>
      <c r="U6" s="7"/>
      <c r="V6" s="7"/>
      <c r="W6" s="4"/>
      <c r="X6" s="4"/>
      <c r="Y6" s="4"/>
    </row>
    <row r="7">
      <c r="A7" s="4" t="str">
        <f>IFERROR(__xludf.DUMMYFUNCTION("""COMPUTED_VALUE"""),"Adventuring Gear")</f>
        <v>Adventuring Gear</v>
      </c>
      <c r="B7" s="4" t="str">
        <f>IFERROR(__xludf.DUMMYFUNCTION("""COMPUTED_VALUE"""),"-")</f>
        <v>-</v>
      </c>
      <c r="C7" s="4" t="str">
        <f>IFERROR(__xludf.DUMMYFUNCTION("""COMPUTED_VALUE"""),"Bedroll")</f>
        <v>Bedroll</v>
      </c>
      <c r="D7" s="5">
        <f>IFERROR(__xludf.DUMMYFUNCTION("""COMPUTED_VALUE"""),7.0)</f>
        <v>7</v>
      </c>
      <c r="E7" s="6">
        <f>IFERROR(__xludf.DUMMYFUNCTION("""COMPUTED_VALUE"""),1.0)</f>
        <v>1</v>
      </c>
      <c r="F7" s="6">
        <f>IFERROR(__xludf.DUMMYFUNCTION("""COMPUTED_VALUE"""),0.75)</f>
        <v>0.75</v>
      </c>
      <c r="G7" s="6">
        <f>IFERROR(__xludf.DUMMYFUNCTION("""COMPUTED_VALUE"""),1.5)</f>
        <v>1.5</v>
      </c>
      <c r="H7" s="4" t="str">
        <f>IFERROR(__xludf.DUMMYFUNCTION("""COMPUTED_VALUE"""),"PHB 2024")</f>
        <v>PHB 2024</v>
      </c>
      <c r="I7" s="4" t="str">
        <f>IFERROR(__xludf.DUMMYFUNCTION("""COMPUTED_VALUE"""),"x")</f>
        <v>x</v>
      </c>
      <c r="J7" s="4" t="str">
        <f>IFERROR(__xludf.DUMMYFUNCTION("""COMPUTED_VALUE"""),"x")</f>
        <v>x</v>
      </c>
      <c r="K7" s="4" t="str">
        <f>IFERROR(__xludf.DUMMYFUNCTION("""COMPUTED_VALUE"""),"x")</f>
        <v>x</v>
      </c>
      <c r="L7" s="7"/>
      <c r="M7" s="7"/>
      <c r="N7" s="7"/>
      <c r="O7" s="7"/>
      <c r="P7" s="7"/>
      <c r="Q7" s="4" t="str">
        <f>IFERROR(__xludf.DUMMYFUNCTION("""COMPUTED_VALUE"""),"x")</f>
        <v>x</v>
      </c>
      <c r="R7" s="7"/>
      <c r="S7" s="7"/>
      <c r="T7" s="7"/>
      <c r="U7" s="7"/>
      <c r="V7" s="7"/>
      <c r="W7" s="7"/>
      <c r="X7" s="7"/>
      <c r="Y7" s="7"/>
    </row>
    <row r="8">
      <c r="A8" s="4" t="str">
        <f>IFERROR(__xludf.DUMMYFUNCTION("""COMPUTED_VALUE"""),"Adventuring Gear")</f>
        <v>Adventuring Gear</v>
      </c>
      <c r="B8" s="4" t="str">
        <f>IFERROR(__xludf.DUMMYFUNCTION("""COMPUTED_VALUE"""),"-")</f>
        <v>-</v>
      </c>
      <c r="C8" s="4" t="str">
        <f>IFERROR(__xludf.DUMMYFUNCTION("""COMPUTED_VALUE"""),"Blanket")</f>
        <v>Blanket</v>
      </c>
      <c r="D8" s="5">
        <f>IFERROR(__xludf.DUMMYFUNCTION("""COMPUTED_VALUE"""),3.0)</f>
        <v>3</v>
      </c>
      <c r="E8" s="6">
        <f>IFERROR(__xludf.DUMMYFUNCTION("""COMPUTED_VALUE"""),0.5)</f>
        <v>0.5</v>
      </c>
      <c r="F8" s="6">
        <f>IFERROR(__xludf.DUMMYFUNCTION("""COMPUTED_VALUE"""),0.375)</f>
        <v>0.375</v>
      </c>
      <c r="G8" s="6">
        <f>IFERROR(__xludf.DUMMYFUNCTION("""COMPUTED_VALUE"""),0.75)</f>
        <v>0.75</v>
      </c>
      <c r="H8" s="4" t="str">
        <f>IFERROR(__xludf.DUMMYFUNCTION("""COMPUTED_VALUE"""),"PHB 2024")</f>
        <v>PHB 2024</v>
      </c>
      <c r="I8" s="4" t="str">
        <f>IFERROR(__xludf.DUMMYFUNCTION("""COMPUTED_VALUE"""),"x")</f>
        <v>x</v>
      </c>
      <c r="J8" s="4" t="str">
        <f>IFERROR(__xludf.DUMMYFUNCTION("""COMPUTED_VALUE"""),"x")</f>
        <v>x</v>
      </c>
      <c r="K8" s="4" t="str">
        <f>IFERROR(__xludf.DUMMYFUNCTION("""COMPUTED_VALUE"""),"x")</f>
        <v>x</v>
      </c>
      <c r="L8" s="7"/>
      <c r="M8" s="7"/>
      <c r="N8" s="7"/>
      <c r="O8" s="7" t="str">
        <f>IFERROR(__xludf.DUMMYFUNCTION("""COMPUTED_VALUE"""),"x")</f>
        <v>x</v>
      </c>
      <c r="P8" s="7" t="str">
        <f>IFERROR(__xludf.DUMMYFUNCTION("""COMPUTED_VALUE"""),"x")</f>
        <v>x</v>
      </c>
      <c r="Q8" s="4" t="str">
        <f>IFERROR(__xludf.DUMMYFUNCTION("""COMPUTED_VALUE"""),"x")</f>
        <v>x</v>
      </c>
      <c r="R8" s="7"/>
      <c r="S8" s="7"/>
      <c r="T8" s="7"/>
      <c r="U8" s="7"/>
      <c r="V8" s="7"/>
      <c r="W8" s="7"/>
      <c r="X8" s="7"/>
      <c r="Y8" s="7"/>
    </row>
    <row r="9">
      <c r="A9" s="4" t="str">
        <f>IFERROR(__xludf.DUMMYFUNCTION("""COMPUTED_VALUE"""),"Adventuring Gear")</f>
        <v>Adventuring Gear</v>
      </c>
      <c r="B9" s="4" t="str">
        <f>IFERROR(__xludf.DUMMYFUNCTION("""COMPUTED_VALUE"""),"-")</f>
        <v>-</v>
      </c>
      <c r="C9" s="4" t="str">
        <f>IFERROR(__xludf.DUMMYFUNCTION("""COMPUTED_VALUE"""),"Block and Tackle")</f>
        <v>Block and Tackle</v>
      </c>
      <c r="D9" s="5">
        <f>IFERROR(__xludf.DUMMYFUNCTION("""COMPUTED_VALUE"""),5.0)</f>
        <v>5</v>
      </c>
      <c r="E9" s="6">
        <f>IFERROR(__xludf.DUMMYFUNCTION("""COMPUTED_VALUE"""),1.0)</f>
        <v>1</v>
      </c>
      <c r="F9" s="6">
        <f>IFERROR(__xludf.DUMMYFUNCTION("""COMPUTED_VALUE"""),0.75)</f>
        <v>0.75</v>
      </c>
      <c r="G9" s="6">
        <f>IFERROR(__xludf.DUMMYFUNCTION("""COMPUTED_VALUE"""),1.5)</f>
        <v>1.5</v>
      </c>
      <c r="H9" s="4" t="str">
        <f>IFERROR(__xludf.DUMMYFUNCTION("""COMPUTED_VALUE"""),"PHB 2024")</f>
        <v>PHB 2024</v>
      </c>
      <c r="I9" s="4"/>
      <c r="J9" s="4" t="str">
        <f>IFERROR(__xludf.DUMMYFUNCTION("""COMPUTED_VALUE"""),"x")</f>
        <v>x</v>
      </c>
      <c r="K9" s="4" t="str">
        <f>IFERROR(__xludf.DUMMYFUNCTION("""COMPUTED_VALUE"""),"x")</f>
        <v>x</v>
      </c>
      <c r="L9" s="7" t="str">
        <f>IFERROR(__xludf.DUMMYFUNCTION("""COMPUTED_VALUE"""),"x")</f>
        <v>x</v>
      </c>
      <c r="M9" s="7"/>
      <c r="N9" s="7"/>
      <c r="O9" s="7"/>
      <c r="P9" s="7"/>
      <c r="Q9" s="7" t="str">
        <f>IFERROR(__xludf.DUMMYFUNCTION("""COMPUTED_VALUE"""),"x")</f>
        <v>x</v>
      </c>
      <c r="R9" s="7"/>
      <c r="S9" s="7"/>
      <c r="T9" s="4"/>
      <c r="U9" s="7"/>
      <c r="V9" s="7"/>
      <c r="W9" s="7"/>
      <c r="X9" s="7"/>
      <c r="Y9" s="7"/>
    </row>
    <row r="10">
      <c r="A10" s="4" t="str">
        <f>IFERROR(__xludf.DUMMYFUNCTION("""COMPUTED_VALUE"""),"Adventuring Gear")</f>
        <v>Adventuring Gear</v>
      </c>
      <c r="B10" s="4" t="str">
        <f>IFERROR(__xludf.DUMMYFUNCTION("""COMPUTED_VALUE"""),"-")</f>
        <v>-</v>
      </c>
      <c r="C10" s="4" t="str">
        <f>IFERROR(__xludf.DUMMYFUNCTION("""COMPUTED_VALUE"""),"Bottle, Glass")</f>
        <v>Bottle, Glass</v>
      </c>
      <c r="D10" s="5">
        <f>IFERROR(__xludf.DUMMYFUNCTION("""COMPUTED_VALUE"""),2.0)</f>
        <v>2</v>
      </c>
      <c r="E10" s="6">
        <f>IFERROR(__xludf.DUMMYFUNCTION("""COMPUTED_VALUE"""),2.0)</f>
        <v>2</v>
      </c>
      <c r="F10" s="6">
        <f>IFERROR(__xludf.DUMMYFUNCTION("""COMPUTED_VALUE"""),1.5)</f>
        <v>1.5</v>
      </c>
      <c r="G10" s="6">
        <f>IFERROR(__xludf.DUMMYFUNCTION("""COMPUTED_VALUE"""),3.0)</f>
        <v>3</v>
      </c>
      <c r="H10" s="4" t="str">
        <f>IFERROR(__xludf.DUMMYFUNCTION("""COMPUTED_VALUE"""),"PHB 2024")</f>
        <v>PHB 2024</v>
      </c>
      <c r="I10" s="4" t="str">
        <f>IFERROR(__xludf.DUMMYFUNCTION("""COMPUTED_VALUE"""),"x")</f>
        <v>x</v>
      </c>
      <c r="J10" s="4" t="str">
        <f>IFERROR(__xludf.DUMMYFUNCTION("""COMPUTED_VALUE"""),"x")</f>
        <v>x</v>
      </c>
      <c r="K10" s="4" t="str">
        <f>IFERROR(__xludf.DUMMYFUNCTION("""COMPUTED_VALUE"""),"x")</f>
        <v>x</v>
      </c>
      <c r="L10" s="7"/>
      <c r="M10" s="7"/>
      <c r="N10" s="7"/>
      <c r="O10" s="7"/>
      <c r="P10" s="7" t="str">
        <f>IFERROR(__xludf.DUMMYFUNCTION("""COMPUTED_VALUE"""),"x")</f>
        <v>x</v>
      </c>
      <c r="Q10" s="7" t="str">
        <f>IFERROR(__xludf.DUMMYFUNCTION("""COMPUTED_VALUE"""),"x")</f>
        <v>x</v>
      </c>
      <c r="R10" s="7"/>
      <c r="S10" s="4"/>
      <c r="T10" s="7"/>
      <c r="U10" s="4" t="str">
        <f>IFERROR(__xludf.DUMMYFUNCTION("""COMPUTED_VALUE"""),"x")</f>
        <v>x</v>
      </c>
      <c r="V10" s="7"/>
      <c r="W10" s="7"/>
      <c r="X10" s="7"/>
      <c r="Y10" s="7"/>
    </row>
    <row r="11">
      <c r="A11" s="4" t="str">
        <f>IFERROR(__xludf.DUMMYFUNCTION("""COMPUTED_VALUE"""),"Adventuring Gear")</f>
        <v>Adventuring Gear</v>
      </c>
      <c r="B11" s="4" t="str">
        <f>IFERROR(__xludf.DUMMYFUNCTION("""COMPUTED_VALUE"""),"-")</f>
        <v>-</v>
      </c>
      <c r="C11" s="4" t="str">
        <f>IFERROR(__xludf.DUMMYFUNCTION("""COMPUTED_VALUE"""),"Candle")</f>
        <v>Candle</v>
      </c>
      <c r="D11" s="5" t="str">
        <f>IFERROR(__xludf.DUMMYFUNCTION("""COMPUTED_VALUE"""),"-")</f>
        <v>-</v>
      </c>
      <c r="E11" s="6">
        <f>IFERROR(__xludf.DUMMYFUNCTION("""COMPUTED_VALUE"""),0.01)</f>
        <v>0.01</v>
      </c>
      <c r="F11" s="6">
        <f>IFERROR(__xludf.DUMMYFUNCTION("""COMPUTED_VALUE"""),0.0075)</f>
        <v>0.0075</v>
      </c>
      <c r="G11" s="6">
        <f>IFERROR(__xludf.DUMMYFUNCTION("""COMPUTED_VALUE"""),0.015)</f>
        <v>0.015</v>
      </c>
      <c r="H11" s="4" t="str">
        <f>IFERROR(__xludf.DUMMYFUNCTION("""COMPUTED_VALUE"""),"PHB 2024")</f>
        <v>PHB 2024</v>
      </c>
      <c r="I11" s="4" t="str">
        <f>IFERROR(__xludf.DUMMYFUNCTION("""COMPUTED_VALUE"""),"x")</f>
        <v>x</v>
      </c>
      <c r="J11" s="4" t="str">
        <f>IFERROR(__xludf.DUMMYFUNCTION("""COMPUTED_VALUE"""),"x")</f>
        <v>x</v>
      </c>
      <c r="K11" s="4" t="str">
        <f>IFERROR(__xludf.DUMMYFUNCTION("""COMPUTED_VALUE"""),"x")</f>
        <v>x</v>
      </c>
      <c r="L11" s="7"/>
      <c r="M11" s="7"/>
      <c r="N11" s="7"/>
      <c r="O11" s="7" t="str">
        <f>IFERROR(__xludf.DUMMYFUNCTION("""COMPUTED_VALUE"""),"x")</f>
        <v>x</v>
      </c>
      <c r="P11" s="7" t="str">
        <f>IFERROR(__xludf.DUMMYFUNCTION("""COMPUTED_VALUE"""),"x")</f>
        <v>x</v>
      </c>
      <c r="Q11" s="7" t="str">
        <f>IFERROR(__xludf.DUMMYFUNCTION("""COMPUTED_VALUE"""),"x")</f>
        <v>x</v>
      </c>
      <c r="R11" s="7"/>
      <c r="S11" s="4"/>
      <c r="T11" s="7"/>
      <c r="U11" s="4" t="str">
        <f>IFERROR(__xludf.DUMMYFUNCTION("""COMPUTED_VALUE"""),"x")</f>
        <v>x</v>
      </c>
      <c r="V11" s="7"/>
      <c r="W11" s="7"/>
      <c r="X11" s="7"/>
      <c r="Y11" s="7"/>
    </row>
    <row r="12">
      <c r="A12" s="4" t="str">
        <f>IFERROR(__xludf.DUMMYFUNCTION("""COMPUTED_VALUE"""),"Adventuring Gear")</f>
        <v>Adventuring Gear</v>
      </c>
      <c r="B12" s="4" t="str">
        <f>IFERROR(__xludf.DUMMYFUNCTION("""COMPUTED_VALUE"""),"-")</f>
        <v>-</v>
      </c>
      <c r="C12" s="4" t="str">
        <f>IFERROR(__xludf.DUMMYFUNCTION("""COMPUTED_VALUE"""),"Case, Crossbow Bolt")</f>
        <v>Case, Crossbow Bolt</v>
      </c>
      <c r="D12" s="5">
        <f>IFERROR(__xludf.DUMMYFUNCTION("""COMPUTED_VALUE"""),1.0)</f>
        <v>1</v>
      </c>
      <c r="E12" s="6">
        <f>IFERROR(__xludf.DUMMYFUNCTION("""COMPUTED_VALUE"""),1.0)</f>
        <v>1</v>
      </c>
      <c r="F12" s="6">
        <f>IFERROR(__xludf.DUMMYFUNCTION("""COMPUTED_VALUE"""),0.75)</f>
        <v>0.75</v>
      </c>
      <c r="G12" s="6">
        <f>IFERROR(__xludf.DUMMYFUNCTION("""COMPUTED_VALUE"""),1.5)</f>
        <v>1.5</v>
      </c>
      <c r="H12" s="4" t="str">
        <f>IFERROR(__xludf.DUMMYFUNCTION("""COMPUTED_VALUE"""),"PHB 2024")</f>
        <v>PHB 2024</v>
      </c>
      <c r="I12" s="4" t="str">
        <f>IFERROR(__xludf.DUMMYFUNCTION("""COMPUTED_VALUE"""),"x")</f>
        <v>x</v>
      </c>
      <c r="J12" s="4" t="str">
        <f>IFERROR(__xludf.DUMMYFUNCTION("""COMPUTED_VALUE"""),"x")</f>
        <v>x</v>
      </c>
      <c r="K12" s="4" t="str">
        <f>IFERROR(__xludf.DUMMYFUNCTION("""COMPUTED_VALUE"""),"x")</f>
        <v>x</v>
      </c>
      <c r="L12" s="7"/>
      <c r="M12" s="7" t="str">
        <f>IFERROR(__xludf.DUMMYFUNCTION("""COMPUTED_VALUE"""),"x")</f>
        <v>x</v>
      </c>
      <c r="N12" s="7"/>
      <c r="O12" s="7"/>
      <c r="P12" s="7"/>
      <c r="Q12" s="7" t="str">
        <f>IFERROR(__xludf.DUMMYFUNCTION("""COMPUTED_VALUE"""),"x")</f>
        <v>x</v>
      </c>
      <c r="R12" s="7"/>
      <c r="S12" s="7"/>
      <c r="T12" s="7"/>
      <c r="U12" s="4"/>
      <c r="V12" s="7"/>
      <c r="W12" s="7"/>
      <c r="X12" s="7"/>
      <c r="Y12" s="7"/>
    </row>
    <row r="13">
      <c r="A13" s="4" t="str">
        <f>IFERROR(__xludf.DUMMYFUNCTION("""COMPUTED_VALUE"""),"Adventuring Gear")</f>
        <v>Adventuring Gear</v>
      </c>
      <c r="B13" s="4" t="str">
        <f>IFERROR(__xludf.DUMMYFUNCTION("""COMPUTED_VALUE"""),"-")</f>
        <v>-</v>
      </c>
      <c r="C13" s="8" t="str">
        <f>IFERROR(__xludf.DUMMYFUNCTION("""COMPUTED_VALUE"""),"Case, Map or Scroll")</f>
        <v>Case, Map or Scroll</v>
      </c>
      <c r="D13" s="5">
        <f>IFERROR(__xludf.DUMMYFUNCTION("""COMPUTED_VALUE"""),1.0)</f>
        <v>1</v>
      </c>
      <c r="E13" s="6">
        <f>IFERROR(__xludf.DUMMYFUNCTION("""COMPUTED_VALUE"""),1.0)</f>
        <v>1</v>
      </c>
      <c r="F13" s="6">
        <f>IFERROR(__xludf.DUMMYFUNCTION("""COMPUTED_VALUE"""),0.75)</f>
        <v>0.75</v>
      </c>
      <c r="G13" s="6">
        <f>IFERROR(__xludf.DUMMYFUNCTION("""COMPUTED_VALUE"""),1.5)</f>
        <v>1.5</v>
      </c>
      <c r="H13" s="4" t="str">
        <f>IFERROR(__xludf.DUMMYFUNCTION("""COMPUTED_VALUE"""),"PHB 2024")</f>
        <v>PHB 2024</v>
      </c>
      <c r="I13" s="4" t="str">
        <f>IFERROR(__xludf.DUMMYFUNCTION("""COMPUTED_VALUE"""),"x")</f>
        <v>x</v>
      </c>
      <c r="J13" s="4" t="str">
        <f>IFERROR(__xludf.DUMMYFUNCTION("""COMPUTED_VALUE"""),"x")</f>
        <v>x</v>
      </c>
      <c r="K13" s="4" t="str">
        <f>IFERROR(__xludf.DUMMYFUNCTION("""COMPUTED_VALUE"""),"x")</f>
        <v>x</v>
      </c>
      <c r="L13" s="7"/>
      <c r="M13" s="7"/>
      <c r="N13" s="7"/>
      <c r="O13" s="7" t="str">
        <f>IFERROR(__xludf.DUMMYFUNCTION("""COMPUTED_VALUE"""),"x")</f>
        <v>x</v>
      </c>
      <c r="P13" s="7"/>
      <c r="Q13" s="7" t="str">
        <f>IFERROR(__xludf.DUMMYFUNCTION("""COMPUTED_VALUE"""),"x")</f>
        <v>x</v>
      </c>
      <c r="R13" s="7"/>
      <c r="S13" s="7"/>
      <c r="T13" s="7"/>
      <c r="U13" s="4" t="str">
        <f>IFERROR(__xludf.DUMMYFUNCTION("""COMPUTED_VALUE"""),"x")</f>
        <v>x</v>
      </c>
      <c r="V13" s="7"/>
      <c r="W13" s="7"/>
      <c r="X13" s="7"/>
      <c r="Y13" s="7"/>
    </row>
    <row r="14">
      <c r="A14" s="4" t="str">
        <f>IFERROR(__xludf.DUMMYFUNCTION("""COMPUTED_VALUE"""),"Adventuring Gear")</f>
        <v>Adventuring Gear</v>
      </c>
      <c r="B14" s="4" t="str">
        <f>IFERROR(__xludf.DUMMYFUNCTION("""COMPUTED_VALUE"""),"-")</f>
        <v>-</v>
      </c>
      <c r="C14" s="8" t="str">
        <f>IFERROR(__xludf.DUMMYFUNCTION("""COMPUTED_VALUE"""),"Chain (10 feet)")</f>
        <v>Chain (10 feet)</v>
      </c>
      <c r="D14" s="5">
        <f>IFERROR(__xludf.DUMMYFUNCTION("""COMPUTED_VALUE"""),10.0)</f>
        <v>10</v>
      </c>
      <c r="E14" s="6">
        <f>IFERROR(__xludf.DUMMYFUNCTION("""COMPUTED_VALUE"""),5.0)</f>
        <v>5</v>
      </c>
      <c r="F14" s="6">
        <f>IFERROR(__xludf.DUMMYFUNCTION("""COMPUTED_VALUE"""),3.75)</f>
        <v>3.75</v>
      </c>
      <c r="G14" s="6">
        <f>IFERROR(__xludf.DUMMYFUNCTION("""COMPUTED_VALUE"""),7.5)</f>
        <v>7.5</v>
      </c>
      <c r="H14" s="4" t="str">
        <f>IFERROR(__xludf.DUMMYFUNCTION("""COMPUTED_VALUE"""),"PHB 2024")</f>
        <v>PHB 2024</v>
      </c>
      <c r="I14" s="4"/>
      <c r="J14" s="4" t="str">
        <f>IFERROR(__xludf.DUMMYFUNCTION("""COMPUTED_VALUE"""),"x")</f>
        <v>x</v>
      </c>
      <c r="K14" s="4" t="str">
        <f>IFERROR(__xludf.DUMMYFUNCTION("""COMPUTED_VALUE"""),"x")</f>
        <v>x</v>
      </c>
      <c r="L14" s="7" t="str">
        <f>IFERROR(__xludf.DUMMYFUNCTION("""COMPUTED_VALUE"""),"x")</f>
        <v>x</v>
      </c>
      <c r="M14" s="7"/>
      <c r="N14" s="7"/>
      <c r="O14" s="7"/>
      <c r="P14" s="7"/>
      <c r="Q14" s="7" t="str">
        <f>IFERROR(__xludf.DUMMYFUNCTION("""COMPUTED_VALUE"""),"x")</f>
        <v>x</v>
      </c>
      <c r="R14" s="7"/>
      <c r="S14" s="7"/>
      <c r="T14" s="7"/>
      <c r="U14" s="4"/>
      <c r="V14" s="7"/>
      <c r="W14" s="7"/>
      <c r="X14" s="7"/>
      <c r="Y14" s="7"/>
    </row>
    <row r="15">
      <c r="A15" s="4" t="str">
        <f>IFERROR(__xludf.DUMMYFUNCTION("""COMPUTED_VALUE"""),"Adventuring Gear")</f>
        <v>Adventuring Gear</v>
      </c>
      <c r="B15" s="4" t="str">
        <f>IFERROR(__xludf.DUMMYFUNCTION("""COMPUTED_VALUE"""),"-")</f>
        <v>-</v>
      </c>
      <c r="C15" s="8" t="str">
        <f>IFERROR(__xludf.DUMMYFUNCTION("""COMPUTED_VALUE"""),"Chest")</f>
        <v>Chest</v>
      </c>
      <c r="D15" s="5">
        <f>IFERROR(__xludf.DUMMYFUNCTION("""COMPUTED_VALUE"""),25.0)</f>
        <v>25</v>
      </c>
      <c r="E15" s="6">
        <f>IFERROR(__xludf.DUMMYFUNCTION("""COMPUTED_VALUE"""),5.0)</f>
        <v>5</v>
      </c>
      <c r="F15" s="6">
        <f>IFERROR(__xludf.DUMMYFUNCTION("""COMPUTED_VALUE"""),3.75)</f>
        <v>3.75</v>
      </c>
      <c r="G15" s="6">
        <f>IFERROR(__xludf.DUMMYFUNCTION("""COMPUTED_VALUE"""),7.5)</f>
        <v>7.5</v>
      </c>
      <c r="H15" s="4" t="str">
        <f>IFERROR(__xludf.DUMMYFUNCTION("""COMPUTED_VALUE"""),"PHB 2024")</f>
        <v>PHB 2024</v>
      </c>
      <c r="I15" s="4"/>
      <c r="J15" s="4" t="str">
        <f>IFERROR(__xludf.DUMMYFUNCTION("""COMPUTED_VALUE"""),"x")</f>
        <v>x</v>
      </c>
      <c r="K15" s="4" t="str">
        <f>IFERROR(__xludf.DUMMYFUNCTION("""COMPUTED_VALUE"""),"x")</f>
        <v>x</v>
      </c>
      <c r="L15" s="7"/>
      <c r="M15" s="7"/>
      <c r="N15" s="7"/>
      <c r="O15" s="7"/>
      <c r="P15" s="7" t="str">
        <f>IFERROR(__xludf.DUMMYFUNCTION("""COMPUTED_VALUE"""),"x")</f>
        <v>x</v>
      </c>
      <c r="Q15" s="4" t="str">
        <f>IFERROR(__xludf.DUMMYFUNCTION("""COMPUTED_VALUE"""),"x")</f>
        <v>x</v>
      </c>
      <c r="R15" s="7"/>
      <c r="S15" s="7"/>
      <c r="T15" s="7"/>
      <c r="U15" s="7"/>
      <c r="V15" s="7"/>
      <c r="W15" s="7"/>
      <c r="X15" s="7"/>
      <c r="Y15" s="7"/>
    </row>
    <row r="16">
      <c r="A16" s="4" t="str">
        <f>IFERROR(__xludf.DUMMYFUNCTION("""COMPUTED_VALUE"""),"Adventuring Gear")</f>
        <v>Adventuring Gear</v>
      </c>
      <c r="B16" s="4" t="str">
        <f>IFERROR(__xludf.DUMMYFUNCTION("""COMPUTED_VALUE"""),"-")</f>
        <v>-</v>
      </c>
      <c r="C16" s="8" t="str">
        <f>IFERROR(__xludf.DUMMYFUNCTION("""COMPUTED_VALUE"""),"Climber's Kit")</f>
        <v>Climber's Kit</v>
      </c>
      <c r="D16" s="5">
        <f>IFERROR(__xludf.DUMMYFUNCTION("""COMPUTED_VALUE"""),12.0)</f>
        <v>12</v>
      </c>
      <c r="E16" s="6">
        <f>IFERROR(__xludf.DUMMYFUNCTION("""COMPUTED_VALUE"""),25.0)</f>
        <v>25</v>
      </c>
      <c r="F16" s="6">
        <f>IFERROR(__xludf.DUMMYFUNCTION("""COMPUTED_VALUE"""),18.75)</f>
        <v>18.75</v>
      </c>
      <c r="G16" s="6">
        <f>IFERROR(__xludf.DUMMYFUNCTION("""COMPUTED_VALUE"""),37.5)</f>
        <v>37.5</v>
      </c>
      <c r="H16" s="4" t="str">
        <f>IFERROR(__xludf.DUMMYFUNCTION("""COMPUTED_VALUE"""),"PHB 2024")</f>
        <v>PHB 2024</v>
      </c>
      <c r="I16" s="4"/>
      <c r="J16" s="4" t="str">
        <f>IFERROR(__xludf.DUMMYFUNCTION("""COMPUTED_VALUE"""),"x")</f>
        <v>x</v>
      </c>
      <c r="K16" s="4" t="str">
        <f>IFERROR(__xludf.DUMMYFUNCTION("""COMPUTED_VALUE"""),"x")</f>
        <v>x</v>
      </c>
      <c r="L16" s="4"/>
      <c r="M16" s="7"/>
      <c r="N16" s="7"/>
      <c r="O16" s="7"/>
      <c r="P16" s="7"/>
      <c r="Q16" s="7" t="str">
        <f>IFERROR(__xludf.DUMMYFUNCTION("""COMPUTED_VALUE"""),"x")</f>
        <v>x</v>
      </c>
      <c r="R16" s="7"/>
      <c r="S16" s="7"/>
      <c r="T16" s="7"/>
      <c r="U16" s="7"/>
      <c r="V16" s="7"/>
      <c r="W16" s="7"/>
      <c r="X16" s="7"/>
      <c r="Y16" s="7"/>
    </row>
    <row r="17">
      <c r="A17" s="4" t="str">
        <f>IFERROR(__xludf.DUMMYFUNCTION("""COMPUTED_VALUE"""),"Adventuring Gear")</f>
        <v>Adventuring Gear</v>
      </c>
      <c r="B17" s="4" t="str">
        <f>IFERROR(__xludf.DUMMYFUNCTION("""COMPUTED_VALUE"""),"-")</f>
        <v>-</v>
      </c>
      <c r="C17" s="8" t="str">
        <f>IFERROR(__xludf.DUMMYFUNCTION("""COMPUTED_VALUE"""),"Clothes, Traveler's")</f>
        <v>Clothes, Traveler's</v>
      </c>
      <c r="D17" s="5">
        <f>IFERROR(__xludf.DUMMYFUNCTION("""COMPUTED_VALUE"""),4.0)</f>
        <v>4</v>
      </c>
      <c r="E17" s="6">
        <f>IFERROR(__xludf.DUMMYFUNCTION("""COMPUTED_VALUE"""),2.0)</f>
        <v>2</v>
      </c>
      <c r="F17" s="6">
        <f>IFERROR(__xludf.DUMMYFUNCTION("""COMPUTED_VALUE"""),1.5)</f>
        <v>1.5</v>
      </c>
      <c r="G17" s="6">
        <f>IFERROR(__xludf.DUMMYFUNCTION("""COMPUTED_VALUE"""),3.0)</f>
        <v>3</v>
      </c>
      <c r="H17" s="4" t="str">
        <f>IFERROR(__xludf.DUMMYFUNCTION("""COMPUTED_VALUE"""),"PHB 2024")</f>
        <v>PHB 2024</v>
      </c>
      <c r="I17" s="4" t="str">
        <f>IFERROR(__xludf.DUMMYFUNCTION("""COMPUTED_VALUE"""),"x")</f>
        <v>x</v>
      </c>
      <c r="J17" s="4" t="str">
        <f>IFERROR(__xludf.DUMMYFUNCTION("""COMPUTED_VALUE"""),"x")</f>
        <v>x</v>
      </c>
      <c r="K17" s="4" t="str">
        <f>IFERROR(__xludf.DUMMYFUNCTION("""COMPUTED_VALUE"""),"x")</f>
        <v>x</v>
      </c>
      <c r="L17" s="7"/>
      <c r="M17" s="7"/>
      <c r="N17" s="7"/>
      <c r="O17" s="7"/>
      <c r="P17" s="4"/>
      <c r="Q17" s="7" t="str">
        <f>IFERROR(__xludf.DUMMYFUNCTION("""COMPUTED_VALUE"""),"x")</f>
        <v>x</v>
      </c>
      <c r="R17" s="7" t="str">
        <f>IFERROR(__xludf.DUMMYFUNCTION("""COMPUTED_VALUE"""),"x")</f>
        <v>x</v>
      </c>
      <c r="S17" s="7"/>
      <c r="T17" s="7"/>
      <c r="U17" s="7"/>
      <c r="V17" s="7"/>
      <c r="W17" s="7"/>
      <c r="X17" s="7"/>
      <c r="Y17" s="7"/>
    </row>
    <row r="18">
      <c r="A18" s="4" t="str">
        <f>IFERROR(__xludf.DUMMYFUNCTION("""COMPUTED_VALUE"""),"Adventuring Gear")</f>
        <v>Adventuring Gear</v>
      </c>
      <c r="B18" s="4" t="str">
        <f>IFERROR(__xludf.DUMMYFUNCTION("""COMPUTED_VALUE"""),"-")</f>
        <v>-</v>
      </c>
      <c r="C18" s="8" t="str">
        <f>IFERROR(__xludf.DUMMYFUNCTION("""COMPUTED_VALUE"""),"Crowbar")</f>
        <v>Crowbar</v>
      </c>
      <c r="D18" s="5">
        <f>IFERROR(__xludf.DUMMYFUNCTION("""COMPUTED_VALUE"""),5.0)</f>
        <v>5</v>
      </c>
      <c r="E18" s="6">
        <f>IFERROR(__xludf.DUMMYFUNCTION("""COMPUTED_VALUE"""),2.0)</f>
        <v>2</v>
      </c>
      <c r="F18" s="6">
        <f>IFERROR(__xludf.DUMMYFUNCTION("""COMPUTED_VALUE"""),1.5)</f>
        <v>1.5</v>
      </c>
      <c r="G18" s="6">
        <f>IFERROR(__xludf.DUMMYFUNCTION("""COMPUTED_VALUE"""),3.0)</f>
        <v>3</v>
      </c>
      <c r="H18" s="4" t="str">
        <f>IFERROR(__xludf.DUMMYFUNCTION("""COMPUTED_VALUE"""),"PHB 2024")</f>
        <v>PHB 2024</v>
      </c>
      <c r="I18" s="4" t="str">
        <f>IFERROR(__xludf.DUMMYFUNCTION("""COMPUTED_VALUE"""),"x")</f>
        <v>x</v>
      </c>
      <c r="J18" s="4" t="str">
        <f>IFERROR(__xludf.DUMMYFUNCTION("""COMPUTED_VALUE"""),"x")</f>
        <v>x</v>
      </c>
      <c r="K18" s="4" t="str">
        <f>IFERROR(__xludf.DUMMYFUNCTION("""COMPUTED_VALUE"""),"x")</f>
        <v>x</v>
      </c>
      <c r="L18" s="7" t="str">
        <f>IFERROR(__xludf.DUMMYFUNCTION("""COMPUTED_VALUE"""),"x")</f>
        <v>x</v>
      </c>
      <c r="M18" s="7"/>
      <c r="N18" s="7"/>
      <c r="O18" s="7"/>
      <c r="P18" s="7"/>
      <c r="Q18" s="7" t="str">
        <f>IFERROR(__xludf.DUMMYFUNCTION("""COMPUTED_VALUE"""),"x")</f>
        <v>x</v>
      </c>
      <c r="R18" s="4"/>
      <c r="S18" s="7"/>
      <c r="T18" s="7"/>
      <c r="U18" s="7"/>
      <c r="V18" s="7"/>
      <c r="W18" s="7" t="str">
        <f>IFERROR(__xludf.DUMMYFUNCTION("""COMPUTED_VALUE"""),"x")</f>
        <v>x</v>
      </c>
      <c r="X18" s="7"/>
      <c r="Y18" s="7"/>
    </row>
    <row r="19">
      <c r="A19" s="4" t="str">
        <f>IFERROR(__xludf.DUMMYFUNCTION("""COMPUTED_VALUE"""),"Adventuring Gear")</f>
        <v>Adventuring Gear</v>
      </c>
      <c r="B19" s="4" t="str">
        <f>IFERROR(__xludf.DUMMYFUNCTION("""COMPUTED_VALUE"""),"-")</f>
        <v>-</v>
      </c>
      <c r="C19" s="8" t="str">
        <f>IFERROR(__xludf.DUMMYFUNCTION("""COMPUTED_VALUE"""),"Flask")</f>
        <v>Flask</v>
      </c>
      <c r="D19" s="5">
        <f>IFERROR(__xludf.DUMMYFUNCTION("""COMPUTED_VALUE"""),1.0)</f>
        <v>1</v>
      </c>
      <c r="E19" s="6">
        <f>IFERROR(__xludf.DUMMYFUNCTION("""COMPUTED_VALUE"""),0.02)</f>
        <v>0.02</v>
      </c>
      <c r="F19" s="6">
        <f>IFERROR(__xludf.DUMMYFUNCTION("""COMPUTED_VALUE"""),0.015)</f>
        <v>0.015</v>
      </c>
      <c r="G19" s="6">
        <f>IFERROR(__xludf.DUMMYFUNCTION("""COMPUTED_VALUE"""),0.03)</f>
        <v>0.03</v>
      </c>
      <c r="H19" s="4" t="str">
        <f>IFERROR(__xludf.DUMMYFUNCTION("""COMPUTED_VALUE"""),"PHB 2024")</f>
        <v>PHB 2024</v>
      </c>
      <c r="I19" s="4" t="str">
        <f>IFERROR(__xludf.DUMMYFUNCTION("""COMPUTED_VALUE"""),"x")</f>
        <v>x</v>
      </c>
      <c r="J19" s="4" t="str">
        <f>IFERROR(__xludf.DUMMYFUNCTION("""COMPUTED_VALUE"""),"x")</f>
        <v>x</v>
      </c>
      <c r="K19" s="4" t="str">
        <f>IFERROR(__xludf.DUMMYFUNCTION("""COMPUTED_VALUE"""),"x")</f>
        <v>x</v>
      </c>
      <c r="L19" s="7"/>
      <c r="M19" s="7"/>
      <c r="N19" s="7"/>
      <c r="O19" s="7" t="str">
        <f>IFERROR(__xludf.DUMMYFUNCTION("""COMPUTED_VALUE"""),"x")</f>
        <v>x</v>
      </c>
      <c r="P19" s="7" t="str">
        <f>IFERROR(__xludf.DUMMYFUNCTION("""COMPUTED_VALUE"""),"x")</f>
        <v>x</v>
      </c>
      <c r="Q19" s="4" t="str">
        <f>IFERROR(__xludf.DUMMYFUNCTION("""COMPUTED_VALUE"""),"x")</f>
        <v>x</v>
      </c>
      <c r="R19" s="7"/>
      <c r="S19" s="7"/>
      <c r="T19" s="7" t="str">
        <f>IFERROR(__xludf.DUMMYFUNCTION("""COMPUTED_VALUE"""),"x")</f>
        <v>x</v>
      </c>
      <c r="U19" s="7"/>
      <c r="V19" s="7"/>
      <c r="W19" s="7"/>
      <c r="X19" s="7"/>
      <c r="Y19" s="7"/>
    </row>
    <row r="20">
      <c r="A20" s="4" t="str">
        <f>IFERROR(__xludf.DUMMYFUNCTION("""COMPUTED_VALUE"""),"Adventuring Gear")</f>
        <v>Adventuring Gear</v>
      </c>
      <c r="B20" s="4" t="str">
        <f>IFERROR(__xludf.DUMMYFUNCTION("""COMPUTED_VALUE"""),"-")</f>
        <v>-</v>
      </c>
      <c r="C20" s="8" t="str">
        <f>IFERROR(__xludf.DUMMYFUNCTION("""COMPUTED_VALUE"""),"Grappling Hook")</f>
        <v>Grappling Hook</v>
      </c>
      <c r="D20" s="5">
        <f>IFERROR(__xludf.DUMMYFUNCTION("""COMPUTED_VALUE"""),4.0)</f>
        <v>4</v>
      </c>
      <c r="E20" s="6">
        <f>IFERROR(__xludf.DUMMYFUNCTION("""COMPUTED_VALUE"""),2.0)</f>
        <v>2</v>
      </c>
      <c r="F20" s="6">
        <f>IFERROR(__xludf.DUMMYFUNCTION("""COMPUTED_VALUE"""),1.5)</f>
        <v>1.5</v>
      </c>
      <c r="G20" s="6">
        <f>IFERROR(__xludf.DUMMYFUNCTION("""COMPUTED_VALUE"""),3.0)</f>
        <v>3</v>
      </c>
      <c r="H20" s="4" t="str">
        <f>IFERROR(__xludf.DUMMYFUNCTION("""COMPUTED_VALUE"""),"PHB 2024")</f>
        <v>PHB 2024</v>
      </c>
      <c r="I20" s="4"/>
      <c r="J20" s="4" t="str">
        <f>IFERROR(__xludf.DUMMYFUNCTION("""COMPUTED_VALUE"""),"x")</f>
        <v>x</v>
      </c>
      <c r="K20" s="4" t="str">
        <f>IFERROR(__xludf.DUMMYFUNCTION("""COMPUTED_VALUE"""),"x")</f>
        <v>x</v>
      </c>
      <c r="L20" s="4" t="str">
        <f>IFERROR(__xludf.DUMMYFUNCTION("""COMPUTED_VALUE"""),"x")</f>
        <v>x</v>
      </c>
      <c r="M20" s="7"/>
      <c r="N20" s="7"/>
      <c r="O20" s="4"/>
      <c r="P20" s="7"/>
      <c r="Q20" s="7" t="str">
        <f>IFERROR(__xludf.DUMMYFUNCTION("""COMPUTED_VALUE"""),"x")</f>
        <v>x</v>
      </c>
      <c r="R20" s="7"/>
      <c r="S20" s="7"/>
      <c r="T20" s="7"/>
      <c r="U20" s="7"/>
      <c r="V20" s="7"/>
      <c r="W20" s="7" t="str">
        <f>IFERROR(__xludf.DUMMYFUNCTION("""COMPUTED_VALUE"""),"x")</f>
        <v>x</v>
      </c>
      <c r="X20" s="7"/>
      <c r="Y20" s="7"/>
    </row>
    <row r="21">
      <c r="A21" s="4" t="str">
        <f>IFERROR(__xludf.DUMMYFUNCTION("""COMPUTED_VALUE"""),"Adventuring Gear")</f>
        <v>Adventuring Gear</v>
      </c>
      <c r="B21" s="4" t="str">
        <f>IFERROR(__xludf.DUMMYFUNCTION("""COMPUTED_VALUE"""),"-")</f>
        <v>-</v>
      </c>
      <c r="C21" s="8" t="str">
        <f>IFERROR(__xludf.DUMMYFUNCTION("""COMPUTED_VALUE"""),"Healer's Kit")</f>
        <v>Healer's Kit</v>
      </c>
      <c r="D21" s="5">
        <f>IFERROR(__xludf.DUMMYFUNCTION("""COMPUTED_VALUE"""),3.0)</f>
        <v>3</v>
      </c>
      <c r="E21" s="6">
        <f>IFERROR(__xludf.DUMMYFUNCTION("""COMPUTED_VALUE"""),5.0)</f>
        <v>5</v>
      </c>
      <c r="F21" s="6">
        <f>IFERROR(__xludf.DUMMYFUNCTION("""COMPUTED_VALUE"""),3.75)</f>
        <v>3.75</v>
      </c>
      <c r="G21" s="6">
        <f>IFERROR(__xludf.DUMMYFUNCTION("""COMPUTED_VALUE"""),7.5)</f>
        <v>7.5</v>
      </c>
      <c r="H21" s="4" t="str">
        <f>IFERROR(__xludf.DUMMYFUNCTION("""COMPUTED_VALUE"""),"PHB 2024")</f>
        <v>PHB 2024</v>
      </c>
      <c r="I21" s="4"/>
      <c r="J21" s="4"/>
      <c r="K21" s="4" t="str">
        <f>IFERROR(__xludf.DUMMYFUNCTION("""COMPUTED_VALUE"""),"x")</f>
        <v>x</v>
      </c>
      <c r="L21" s="7"/>
      <c r="M21" s="7"/>
      <c r="N21" s="7"/>
      <c r="O21" s="4" t="str">
        <f>IFERROR(__xludf.DUMMYFUNCTION("""COMPUTED_VALUE"""),"x")</f>
        <v>x</v>
      </c>
      <c r="P21" s="4"/>
      <c r="Q21" s="4" t="str">
        <f>IFERROR(__xludf.DUMMYFUNCTION("""COMPUTED_VALUE"""),"x")</f>
        <v>x</v>
      </c>
      <c r="R21" s="7"/>
      <c r="S21" s="7"/>
      <c r="T21" s="7"/>
      <c r="U21" s="7"/>
      <c r="V21" s="7"/>
      <c r="W21" s="7"/>
      <c r="X21" s="7"/>
      <c r="Y21" s="7"/>
    </row>
    <row r="22">
      <c r="A22" s="4" t="str">
        <f>IFERROR(__xludf.DUMMYFUNCTION("""COMPUTED_VALUE"""),"Adventuring Gear")</f>
        <v>Adventuring Gear</v>
      </c>
      <c r="B22" s="4" t="str">
        <f>IFERROR(__xludf.DUMMYFUNCTION("""COMPUTED_VALUE"""),"-")</f>
        <v>-</v>
      </c>
      <c r="C22" s="8" t="str">
        <f>IFERROR(__xludf.DUMMYFUNCTION("""COMPUTED_VALUE"""),"Hunting Trap")</f>
        <v>Hunting Trap</v>
      </c>
      <c r="D22" s="5">
        <f>IFERROR(__xludf.DUMMYFUNCTION("""COMPUTED_VALUE"""),25.0)</f>
        <v>25</v>
      </c>
      <c r="E22" s="6">
        <f>IFERROR(__xludf.DUMMYFUNCTION("""COMPUTED_VALUE"""),5.0)</f>
        <v>5</v>
      </c>
      <c r="F22" s="6">
        <f>IFERROR(__xludf.DUMMYFUNCTION("""COMPUTED_VALUE"""),3.75)</f>
        <v>3.75</v>
      </c>
      <c r="G22" s="6">
        <f>IFERROR(__xludf.DUMMYFUNCTION("""COMPUTED_VALUE"""),7.5)</f>
        <v>7.5</v>
      </c>
      <c r="H22" s="4" t="str">
        <f>IFERROR(__xludf.DUMMYFUNCTION("""COMPUTED_VALUE"""),"PHB 2024")</f>
        <v>PHB 2024</v>
      </c>
      <c r="I22" s="4" t="str">
        <f>IFERROR(__xludf.DUMMYFUNCTION("""COMPUTED_VALUE"""),"x")</f>
        <v>x</v>
      </c>
      <c r="J22" s="4" t="str">
        <f>IFERROR(__xludf.DUMMYFUNCTION("""COMPUTED_VALUE"""),"x")</f>
        <v>x</v>
      </c>
      <c r="K22" s="4" t="str">
        <f>IFERROR(__xludf.DUMMYFUNCTION("""COMPUTED_VALUE"""),"x")</f>
        <v>x</v>
      </c>
      <c r="L22" s="4" t="str">
        <f>IFERROR(__xludf.DUMMYFUNCTION("""COMPUTED_VALUE"""),"x")</f>
        <v>x</v>
      </c>
      <c r="M22" s="7"/>
      <c r="N22" s="7"/>
      <c r="O22" s="7"/>
      <c r="P22" s="7"/>
      <c r="Q22" s="4" t="str">
        <f>IFERROR(__xludf.DUMMYFUNCTION("""COMPUTED_VALUE"""),"x")</f>
        <v>x</v>
      </c>
      <c r="R22" s="7"/>
      <c r="S22" s="7"/>
      <c r="T22" s="7"/>
      <c r="U22" s="7"/>
      <c r="V22" s="7"/>
      <c r="W22" s="7"/>
      <c r="X22" s="7"/>
      <c r="Y22" s="7"/>
    </row>
    <row r="23">
      <c r="A23" s="4" t="str">
        <f>IFERROR(__xludf.DUMMYFUNCTION("""COMPUTED_VALUE"""),"Adventuring Gear")</f>
        <v>Adventuring Gear</v>
      </c>
      <c r="B23" s="4" t="str">
        <f>IFERROR(__xludf.DUMMYFUNCTION("""COMPUTED_VALUE"""),"-")</f>
        <v>-</v>
      </c>
      <c r="C23" s="8" t="str">
        <f>IFERROR(__xludf.DUMMYFUNCTION("""COMPUTED_VALUE"""),"Ink")</f>
        <v>Ink</v>
      </c>
      <c r="D23" s="5" t="str">
        <f>IFERROR(__xludf.DUMMYFUNCTION("""COMPUTED_VALUE"""),"-")</f>
        <v>-</v>
      </c>
      <c r="E23" s="6">
        <f>IFERROR(__xludf.DUMMYFUNCTION("""COMPUTED_VALUE"""),10.0)</f>
        <v>10</v>
      </c>
      <c r="F23" s="6">
        <f>IFERROR(__xludf.DUMMYFUNCTION("""COMPUTED_VALUE"""),7.5)</f>
        <v>7.5</v>
      </c>
      <c r="G23" s="6">
        <f>IFERROR(__xludf.DUMMYFUNCTION("""COMPUTED_VALUE"""),15.0)</f>
        <v>15</v>
      </c>
      <c r="H23" s="4" t="str">
        <f>IFERROR(__xludf.DUMMYFUNCTION("""COMPUTED_VALUE"""),"PHB 2024")</f>
        <v>PHB 2024</v>
      </c>
      <c r="I23" s="4" t="str">
        <f>IFERROR(__xludf.DUMMYFUNCTION("""COMPUTED_VALUE"""),"x")</f>
        <v>x</v>
      </c>
      <c r="J23" s="4" t="str">
        <f>IFERROR(__xludf.DUMMYFUNCTION("""COMPUTED_VALUE"""),"x")</f>
        <v>x</v>
      </c>
      <c r="K23" s="4" t="str">
        <f>IFERROR(__xludf.DUMMYFUNCTION("""COMPUTED_VALUE"""),"x")</f>
        <v>x</v>
      </c>
      <c r="L23" s="7"/>
      <c r="M23" s="7"/>
      <c r="N23" s="7"/>
      <c r="O23" s="4" t="str">
        <f>IFERROR(__xludf.DUMMYFUNCTION("""COMPUTED_VALUE"""),"x")</f>
        <v>x</v>
      </c>
      <c r="P23" s="7" t="str">
        <f>IFERROR(__xludf.DUMMYFUNCTION("""COMPUTED_VALUE"""),"x")</f>
        <v>x</v>
      </c>
      <c r="Q23" s="7" t="str">
        <f>IFERROR(__xludf.DUMMYFUNCTION("""COMPUTED_VALUE"""),"x")</f>
        <v>x</v>
      </c>
      <c r="R23" s="7"/>
      <c r="S23" s="7"/>
      <c r="T23" s="7"/>
      <c r="U23" s="4" t="str">
        <f>IFERROR(__xludf.DUMMYFUNCTION("""COMPUTED_VALUE"""),"x")</f>
        <v>x</v>
      </c>
      <c r="V23" s="7"/>
      <c r="W23" s="7" t="str">
        <f>IFERROR(__xludf.DUMMYFUNCTION("""COMPUTED_VALUE"""),"x")</f>
        <v>x</v>
      </c>
      <c r="X23" s="7"/>
      <c r="Y23" s="7"/>
    </row>
    <row r="24">
      <c r="A24" s="4" t="str">
        <f>IFERROR(__xludf.DUMMYFUNCTION("""COMPUTED_VALUE"""),"Adventuring Gear")</f>
        <v>Adventuring Gear</v>
      </c>
      <c r="B24" s="4" t="str">
        <f>IFERROR(__xludf.DUMMYFUNCTION("""COMPUTED_VALUE"""),"-")</f>
        <v>-</v>
      </c>
      <c r="C24" s="8" t="str">
        <f>IFERROR(__xludf.DUMMYFUNCTION("""COMPUTED_VALUE"""),"Ink Pen")</f>
        <v>Ink Pen</v>
      </c>
      <c r="D24" s="5" t="str">
        <f>IFERROR(__xludf.DUMMYFUNCTION("""COMPUTED_VALUE"""),"-")</f>
        <v>-</v>
      </c>
      <c r="E24" s="6">
        <f>IFERROR(__xludf.DUMMYFUNCTION("""COMPUTED_VALUE"""),0.02)</f>
        <v>0.02</v>
      </c>
      <c r="F24" s="6">
        <f>IFERROR(__xludf.DUMMYFUNCTION("""COMPUTED_VALUE"""),0.015)</f>
        <v>0.015</v>
      </c>
      <c r="G24" s="6">
        <f>IFERROR(__xludf.DUMMYFUNCTION("""COMPUTED_VALUE"""),0.03)</f>
        <v>0.03</v>
      </c>
      <c r="H24" s="4" t="str">
        <f>IFERROR(__xludf.DUMMYFUNCTION("""COMPUTED_VALUE"""),"PHB 2024")</f>
        <v>PHB 2024</v>
      </c>
      <c r="I24" s="4"/>
      <c r="J24" s="4" t="str">
        <f>IFERROR(__xludf.DUMMYFUNCTION("""COMPUTED_VALUE"""),"x")</f>
        <v>x</v>
      </c>
      <c r="K24" s="4" t="str">
        <f>IFERROR(__xludf.DUMMYFUNCTION("""COMPUTED_VALUE"""),"x")</f>
        <v>x</v>
      </c>
      <c r="L24" s="7"/>
      <c r="M24" s="7"/>
      <c r="N24" s="7"/>
      <c r="O24" s="7" t="str">
        <f>IFERROR(__xludf.DUMMYFUNCTION("""COMPUTED_VALUE"""),"x")</f>
        <v>x</v>
      </c>
      <c r="P24" s="4" t="str">
        <f>IFERROR(__xludf.DUMMYFUNCTION("""COMPUTED_VALUE"""),"x")</f>
        <v>x</v>
      </c>
      <c r="Q24" s="4" t="str">
        <f>IFERROR(__xludf.DUMMYFUNCTION("""COMPUTED_VALUE"""),"x")</f>
        <v>x</v>
      </c>
      <c r="R24" s="7"/>
      <c r="S24" s="7"/>
      <c r="T24" s="7"/>
      <c r="U24" s="4" t="str">
        <f>IFERROR(__xludf.DUMMYFUNCTION("""COMPUTED_VALUE"""),"x")</f>
        <v>x</v>
      </c>
      <c r="V24" s="7"/>
      <c r="W24" s="7" t="str">
        <f>IFERROR(__xludf.DUMMYFUNCTION("""COMPUTED_VALUE"""),"x")</f>
        <v>x</v>
      </c>
      <c r="X24" s="7"/>
      <c r="Y24" s="7"/>
    </row>
    <row r="25">
      <c r="A25" s="4" t="str">
        <f>IFERROR(__xludf.DUMMYFUNCTION("""COMPUTED_VALUE"""),"Adventuring Gear")</f>
        <v>Adventuring Gear</v>
      </c>
      <c r="B25" s="4" t="str">
        <f>IFERROR(__xludf.DUMMYFUNCTION("""COMPUTED_VALUE"""),"-")</f>
        <v>-</v>
      </c>
      <c r="C25" s="8" t="str">
        <f>IFERROR(__xludf.DUMMYFUNCTION("""COMPUTED_VALUE"""),"Jug")</f>
        <v>Jug</v>
      </c>
      <c r="D25" s="5">
        <f>IFERROR(__xludf.DUMMYFUNCTION("""COMPUTED_VALUE"""),4.0)</f>
        <v>4</v>
      </c>
      <c r="E25" s="6">
        <f>IFERROR(__xludf.DUMMYFUNCTION("""COMPUTED_VALUE"""),0.02)</f>
        <v>0.02</v>
      </c>
      <c r="F25" s="6">
        <f>IFERROR(__xludf.DUMMYFUNCTION("""COMPUTED_VALUE"""),0.015)</f>
        <v>0.015</v>
      </c>
      <c r="G25" s="6">
        <f>IFERROR(__xludf.DUMMYFUNCTION("""COMPUTED_VALUE"""),0.03)</f>
        <v>0.03</v>
      </c>
      <c r="H25" s="4" t="str">
        <f>IFERROR(__xludf.DUMMYFUNCTION("""COMPUTED_VALUE"""),"PHB 2024")</f>
        <v>PHB 2024</v>
      </c>
      <c r="I25" s="4" t="str">
        <f>IFERROR(__xludf.DUMMYFUNCTION("""COMPUTED_VALUE"""),"x")</f>
        <v>x</v>
      </c>
      <c r="J25" s="4" t="str">
        <f>IFERROR(__xludf.DUMMYFUNCTION("""COMPUTED_VALUE"""),"x")</f>
        <v>x</v>
      </c>
      <c r="K25" s="4" t="str">
        <f>IFERROR(__xludf.DUMMYFUNCTION("""COMPUTED_VALUE"""),"x")</f>
        <v>x</v>
      </c>
      <c r="L25" s="7"/>
      <c r="M25" s="7"/>
      <c r="N25" s="7"/>
      <c r="O25" s="7"/>
      <c r="P25" s="4" t="str">
        <f>IFERROR(__xludf.DUMMYFUNCTION("""COMPUTED_VALUE"""),"x")</f>
        <v>x</v>
      </c>
      <c r="Q25" s="7" t="str">
        <f>IFERROR(__xludf.DUMMYFUNCTION("""COMPUTED_VALUE"""),"x")</f>
        <v>x</v>
      </c>
      <c r="R25" s="7"/>
      <c r="S25" s="7"/>
      <c r="T25" s="7"/>
      <c r="U25" s="7"/>
      <c r="V25" s="7"/>
      <c r="W25" s="7"/>
      <c r="X25" s="7"/>
      <c r="Y25" s="7"/>
    </row>
    <row r="26">
      <c r="A26" s="4" t="str">
        <f>IFERROR(__xludf.DUMMYFUNCTION("""COMPUTED_VALUE"""),"Adventuring Gear")</f>
        <v>Adventuring Gear</v>
      </c>
      <c r="B26" s="4" t="str">
        <f>IFERROR(__xludf.DUMMYFUNCTION("""COMPUTED_VALUE"""),"-")</f>
        <v>-</v>
      </c>
      <c r="C26" s="8" t="str">
        <f>IFERROR(__xludf.DUMMYFUNCTION("""COMPUTED_VALUE"""),"Ladder (10 feet)")</f>
        <v>Ladder (10 feet)</v>
      </c>
      <c r="D26" s="5">
        <f>IFERROR(__xludf.DUMMYFUNCTION("""COMPUTED_VALUE"""),25.0)</f>
        <v>25</v>
      </c>
      <c r="E26" s="6">
        <f>IFERROR(__xludf.DUMMYFUNCTION("""COMPUTED_VALUE"""),0.1)</f>
        <v>0.1</v>
      </c>
      <c r="F26" s="6">
        <f>IFERROR(__xludf.DUMMYFUNCTION("""COMPUTED_VALUE"""),0.07500000000000001)</f>
        <v>0.075</v>
      </c>
      <c r="G26" s="6">
        <f>IFERROR(__xludf.DUMMYFUNCTION("""COMPUTED_VALUE"""),0.15000000000000002)</f>
        <v>0.15</v>
      </c>
      <c r="H26" s="4" t="str">
        <f>IFERROR(__xludf.DUMMYFUNCTION("""COMPUTED_VALUE"""),"PHB 2024")</f>
        <v>PHB 2024</v>
      </c>
      <c r="I26" s="4"/>
      <c r="J26" s="4" t="str">
        <f>IFERROR(__xludf.DUMMYFUNCTION("""COMPUTED_VALUE"""),"x")</f>
        <v>x</v>
      </c>
      <c r="K26" s="4" t="str">
        <f>IFERROR(__xludf.DUMMYFUNCTION("""COMPUTED_VALUE"""),"x")</f>
        <v>x</v>
      </c>
      <c r="L26" s="7"/>
      <c r="M26" s="7"/>
      <c r="N26" s="7"/>
      <c r="O26" s="7"/>
      <c r="P26" s="7" t="str">
        <f>IFERROR(__xludf.DUMMYFUNCTION("""COMPUTED_VALUE"""),"x")</f>
        <v>x</v>
      </c>
      <c r="Q26" s="7" t="str">
        <f>IFERROR(__xludf.DUMMYFUNCTION("""COMPUTED_VALUE"""),"x")</f>
        <v>x</v>
      </c>
      <c r="R26" s="7"/>
      <c r="S26" s="7"/>
      <c r="T26" s="7"/>
      <c r="U26" s="7"/>
      <c r="V26" s="7"/>
      <c r="W26" s="4"/>
      <c r="X26" s="7"/>
      <c r="Y26" s="7"/>
    </row>
    <row r="27">
      <c r="A27" s="4" t="str">
        <f>IFERROR(__xludf.DUMMYFUNCTION("""COMPUTED_VALUE"""),"Adventuring Gear")</f>
        <v>Adventuring Gear</v>
      </c>
      <c r="B27" s="4" t="str">
        <f>IFERROR(__xludf.DUMMYFUNCTION("""COMPUTED_VALUE"""),"-")</f>
        <v>-</v>
      </c>
      <c r="C27" s="8" t="str">
        <f>IFERROR(__xludf.DUMMYFUNCTION("""COMPUTED_VALUE"""),"Lantern, Bullseye")</f>
        <v>Lantern, Bullseye</v>
      </c>
      <c r="D27" s="5">
        <f>IFERROR(__xludf.DUMMYFUNCTION("""COMPUTED_VALUE"""),2.0)</f>
        <v>2</v>
      </c>
      <c r="E27" s="6">
        <f>IFERROR(__xludf.DUMMYFUNCTION("""COMPUTED_VALUE"""),10.0)</f>
        <v>10</v>
      </c>
      <c r="F27" s="6">
        <f>IFERROR(__xludf.DUMMYFUNCTION("""COMPUTED_VALUE"""),7.5)</f>
        <v>7.5</v>
      </c>
      <c r="G27" s="6">
        <f>IFERROR(__xludf.DUMMYFUNCTION("""COMPUTED_VALUE"""),15.0)</f>
        <v>15</v>
      </c>
      <c r="H27" s="4" t="str">
        <f>IFERROR(__xludf.DUMMYFUNCTION("""COMPUTED_VALUE"""),"PHB 2024")</f>
        <v>PHB 2024</v>
      </c>
      <c r="I27" s="4"/>
      <c r="J27" s="4" t="str">
        <f>IFERROR(__xludf.DUMMYFUNCTION("""COMPUTED_VALUE"""),"x")</f>
        <v>x</v>
      </c>
      <c r="K27" s="4" t="str">
        <f>IFERROR(__xludf.DUMMYFUNCTION("""COMPUTED_VALUE"""),"x")</f>
        <v>x</v>
      </c>
      <c r="L27" s="7" t="str">
        <f>IFERROR(__xludf.DUMMYFUNCTION("""COMPUTED_VALUE"""),"x")</f>
        <v>x</v>
      </c>
      <c r="M27" s="7"/>
      <c r="N27" s="7"/>
      <c r="O27" s="7"/>
      <c r="P27" s="7"/>
      <c r="Q27" s="7" t="str">
        <f>IFERROR(__xludf.DUMMYFUNCTION("""COMPUTED_VALUE"""),"x")</f>
        <v>x</v>
      </c>
      <c r="R27" s="7"/>
      <c r="S27" s="7"/>
      <c r="T27" s="7"/>
      <c r="U27" s="7"/>
      <c r="V27" s="7"/>
      <c r="W27" s="4" t="str">
        <f>IFERROR(__xludf.DUMMYFUNCTION("""COMPUTED_VALUE"""),"x")</f>
        <v>x</v>
      </c>
      <c r="X27" s="7"/>
      <c r="Y27" s="7"/>
    </row>
    <row r="28">
      <c r="A28" s="4" t="str">
        <f>IFERROR(__xludf.DUMMYFUNCTION("""COMPUTED_VALUE"""),"Adventuring Gear")</f>
        <v>Adventuring Gear</v>
      </c>
      <c r="B28" s="4" t="str">
        <f>IFERROR(__xludf.DUMMYFUNCTION("""COMPUTED_VALUE"""),"-")</f>
        <v>-</v>
      </c>
      <c r="C28" s="8" t="str">
        <f>IFERROR(__xludf.DUMMYFUNCTION("""COMPUTED_VALUE"""),"Lantern, Hooded")</f>
        <v>Lantern, Hooded</v>
      </c>
      <c r="D28" s="5">
        <f>IFERROR(__xludf.DUMMYFUNCTION("""COMPUTED_VALUE"""),2.0)</f>
        <v>2</v>
      </c>
      <c r="E28" s="6">
        <f>IFERROR(__xludf.DUMMYFUNCTION("""COMPUTED_VALUE"""),5.0)</f>
        <v>5</v>
      </c>
      <c r="F28" s="6">
        <f>IFERROR(__xludf.DUMMYFUNCTION("""COMPUTED_VALUE"""),3.75)</f>
        <v>3.75</v>
      </c>
      <c r="G28" s="6">
        <f>IFERROR(__xludf.DUMMYFUNCTION("""COMPUTED_VALUE"""),7.5)</f>
        <v>7.5</v>
      </c>
      <c r="H28" s="4" t="str">
        <f>IFERROR(__xludf.DUMMYFUNCTION("""COMPUTED_VALUE"""),"PHB 2024")</f>
        <v>PHB 2024</v>
      </c>
      <c r="I28" s="4"/>
      <c r="J28" s="4" t="str">
        <f>IFERROR(__xludf.DUMMYFUNCTION("""COMPUTED_VALUE"""),"x")</f>
        <v>x</v>
      </c>
      <c r="K28" s="4" t="str">
        <f>IFERROR(__xludf.DUMMYFUNCTION("""COMPUTED_VALUE"""),"x")</f>
        <v>x</v>
      </c>
      <c r="L28" s="7" t="str">
        <f>IFERROR(__xludf.DUMMYFUNCTION("""COMPUTED_VALUE"""),"x")</f>
        <v>x</v>
      </c>
      <c r="M28" s="7"/>
      <c r="N28" s="7"/>
      <c r="O28" s="4" t="str">
        <f>IFERROR(__xludf.DUMMYFUNCTION("""COMPUTED_VALUE"""),"x")</f>
        <v>x</v>
      </c>
      <c r="P28" s="4" t="str">
        <f>IFERROR(__xludf.DUMMYFUNCTION("""COMPUTED_VALUE"""),"x")</f>
        <v>x</v>
      </c>
      <c r="Q28" s="4" t="str">
        <f>IFERROR(__xludf.DUMMYFUNCTION("""COMPUTED_VALUE"""),"x")</f>
        <v>x</v>
      </c>
      <c r="R28" s="7"/>
      <c r="S28" s="7"/>
      <c r="T28" s="7"/>
      <c r="U28" s="4"/>
      <c r="V28" s="7"/>
      <c r="W28" s="7"/>
      <c r="X28" s="7"/>
      <c r="Y28" s="7"/>
    </row>
    <row r="29">
      <c r="A29" s="4" t="str">
        <f>IFERROR(__xludf.DUMMYFUNCTION("""COMPUTED_VALUE"""),"Adventuring Gear")</f>
        <v>Adventuring Gear</v>
      </c>
      <c r="B29" s="4" t="str">
        <f>IFERROR(__xludf.DUMMYFUNCTION("""COMPUTED_VALUE"""),"-")</f>
        <v>-</v>
      </c>
      <c r="C29" s="8" t="str">
        <f>IFERROR(__xludf.DUMMYFUNCTION("""COMPUTED_VALUE"""),"Lock")</f>
        <v>Lock</v>
      </c>
      <c r="D29" s="5">
        <f>IFERROR(__xludf.DUMMYFUNCTION("""COMPUTED_VALUE"""),1.0)</f>
        <v>1</v>
      </c>
      <c r="E29" s="6">
        <f>IFERROR(__xludf.DUMMYFUNCTION("""COMPUTED_VALUE"""),10.0)</f>
        <v>10</v>
      </c>
      <c r="F29" s="6">
        <f>IFERROR(__xludf.DUMMYFUNCTION("""COMPUTED_VALUE"""),7.5)</f>
        <v>7.5</v>
      </c>
      <c r="G29" s="6">
        <f>IFERROR(__xludf.DUMMYFUNCTION("""COMPUTED_VALUE"""),15.0)</f>
        <v>15</v>
      </c>
      <c r="H29" s="4" t="str">
        <f>IFERROR(__xludf.DUMMYFUNCTION("""COMPUTED_VALUE"""),"PHB 2024")</f>
        <v>PHB 2024</v>
      </c>
      <c r="I29" s="4"/>
      <c r="J29" s="4"/>
      <c r="K29" s="4" t="str">
        <f>IFERROR(__xludf.DUMMYFUNCTION("""COMPUTED_VALUE"""),"x")</f>
        <v>x</v>
      </c>
      <c r="L29" s="7" t="str">
        <f>IFERROR(__xludf.DUMMYFUNCTION("""COMPUTED_VALUE"""),"x")</f>
        <v>x</v>
      </c>
      <c r="M29" s="4"/>
      <c r="N29" s="7"/>
      <c r="O29" s="7"/>
      <c r="P29" s="7" t="str">
        <f>IFERROR(__xludf.DUMMYFUNCTION("""COMPUTED_VALUE"""),"x")</f>
        <v>x</v>
      </c>
      <c r="Q29" s="4" t="str">
        <f>IFERROR(__xludf.DUMMYFUNCTION("""COMPUTED_VALUE"""),"x")</f>
        <v>x</v>
      </c>
      <c r="R29" s="7"/>
      <c r="S29" s="7"/>
      <c r="T29" s="7"/>
      <c r="U29" s="7"/>
      <c r="V29" s="7"/>
      <c r="W29" s="7" t="str">
        <f>IFERROR(__xludf.DUMMYFUNCTION("""COMPUTED_VALUE"""),"x")</f>
        <v>x</v>
      </c>
      <c r="X29" s="7"/>
      <c r="Y29" s="7"/>
    </row>
    <row r="30">
      <c r="A30" s="4" t="str">
        <f>IFERROR(__xludf.DUMMYFUNCTION("""COMPUTED_VALUE"""),"Adventuring Gear")</f>
        <v>Adventuring Gear</v>
      </c>
      <c r="B30" s="4" t="str">
        <f>IFERROR(__xludf.DUMMYFUNCTION("""COMPUTED_VALUE"""),"-")</f>
        <v>-</v>
      </c>
      <c r="C30" s="8" t="str">
        <f>IFERROR(__xludf.DUMMYFUNCTION("""COMPUTED_VALUE"""),"Mirror")</f>
        <v>Mirror</v>
      </c>
      <c r="D30" s="5">
        <f>IFERROR(__xludf.DUMMYFUNCTION("""COMPUTED_VALUE"""),0.5)</f>
        <v>0.5</v>
      </c>
      <c r="E30" s="6">
        <f>IFERROR(__xludf.DUMMYFUNCTION("""COMPUTED_VALUE"""),5.0)</f>
        <v>5</v>
      </c>
      <c r="F30" s="6">
        <f>IFERROR(__xludf.DUMMYFUNCTION("""COMPUTED_VALUE"""),3.75)</f>
        <v>3.75</v>
      </c>
      <c r="G30" s="6">
        <f>IFERROR(__xludf.DUMMYFUNCTION("""COMPUTED_VALUE"""),7.5)</f>
        <v>7.5</v>
      </c>
      <c r="H30" s="4" t="str">
        <f>IFERROR(__xludf.DUMMYFUNCTION("""COMPUTED_VALUE"""),"PHB 2024")</f>
        <v>PHB 2024</v>
      </c>
      <c r="I30" s="4"/>
      <c r="J30" s="4"/>
      <c r="K30" s="4" t="str">
        <f>IFERROR(__xludf.DUMMYFUNCTION("""COMPUTED_VALUE"""),"x")</f>
        <v>x</v>
      </c>
      <c r="L30" s="7"/>
      <c r="M30" s="7"/>
      <c r="N30" s="7"/>
      <c r="O30" s="4"/>
      <c r="P30" s="7" t="str">
        <f>IFERROR(__xludf.DUMMYFUNCTION("""COMPUTED_VALUE"""),"x")</f>
        <v>x</v>
      </c>
      <c r="Q30" s="4" t="str">
        <f>IFERROR(__xludf.DUMMYFUNCTION("""COMPUTED_VALUE"""),"x")</f>
        <v>x</v>
      </c>
      <c r="R30" s="7"/>
      <c r="S30" s="7"/>
      <c r="T30" s="7"/>
      <c r="U30" s="4"/>
      <c r="V30" s="7"/>
      <c r="W30" s="7"/>
      <c r="X30" s="7"/>
      <c r="Y30" s="7"/>
    </row>
    <row r="31">
      <c r="A31" s="4" t="str">
        <f>IFERROR(__xludf.DUMMYFUNCTION("""COMPUTED_VALUE"""),"Adventuring Gear")</f>
        <v>Adventuring Gear</v>
      </c>
      <c r="B31" s="4" t="str">
        <f>IFERROR(__xludf.DUMMYFUNCTION("""COMPUTED_VALUE"""),"-")</f>
        <v>-</v>
      </c>
      <c r="C31" s="8" t="str">
        <f>IFERROR(__xludf.DUMMYFUNCTION("""COMPUTED_VALUE"""),"Paper")</f>
        <v>Paper</v>
      </c>
      <c r="D31" s="5" t="str">
        <f>IFERROR(__xludf.DUMMYFUNCTION("""COMPUTED_VALUE"""),"-")</f>
        <v>-</v>
      </c>
      <c r="E31" s="6">
        <f>IFERROR(__xludf.DUMMYFUNCTION("""COMPUTED_VALUE"""),0.2)</f>
        <v>0.2</v>
      </c>
      <c r="F31" s="6">
        <f>IFERROR(__xludf.DUMMYFUNCTION("""COMPUTED_VALUE"""),0.15000000000000002)</f>
        <v>0.15</v>
      </c>
      <c r="G31" s="6">
        <f>IFERROR(__xludf.DUMMYFUNCTION("""COMPUTED_VALUE"""),0.30000000000000004)</f>
        <v>0.3</v>
      </c>
      <c r="H31" s="4" t="str">
        <f>IFERROR(__xludf.DUMMYFUNCTION("""COMPUTED_VALUE"""),"PHB 2024")</f>
        <v>PHB 2024</v>
      </c>
      <c r="I31" s="4"/>
      <c r="J31" s="4" t="str">
        <f>IFERROR(__xludf.DUMMYFUNCTION("""COMPUTED_VALUE"""),"x")</f>
        <v>x</v>
      </c>
      <c r="K31" s="4" t="str">
        <f>IFERROR(__xludf.DUMMYFUNCTION("""COMPUTED_VALUE"""),"x")</f>
        <v>x</v>
      </c>
      <c r="L31" s="4"/>
      <c r="M31" s="7"/>
      <c r="N31" s="7"/>
      <c r="O31" s="7" t="str">
        <f>IFERROR(__xludf.DUMMYFUNCTION("""COMPUTED_VALUE"""),"x")</f>
        <v>x</v>
      </c>
      <c r="P31" s="7" t="str">
        <f>IFERROR(__xludf.DUMMYFUNCTION("""COMPUTED_VALUE"""),"x")</f>
        <v>x</v>
      </c>
      <c r="Q31" s="4" t="str">
        <f>IFERROR(__xludf.DUMMYFUNCTION("""COMPUTED_VALUE"""),"x")</f>
        <v>x</v>
      </c>
      <c r="R31" s="7"/>
      <c r="S31" s="7"/>
      <c r="T31" s="7"/>
      <c r="U31" s="7" t="str">
        <f>IFERROR(__xludf.DUMMYFUNCTION("""COMPUTED_VALUE"""),"x")</f>
        <v>x</v>
      </c>
      <c r="V31" s="7"/>
      <c r="W31" s="7"/>
      <c r="X31" s="7"/>
      <c r="Y31" s="7"/>
    </row>
    <row r="32">
      <c r="A32" s="4" t="str">
        <f>IFERROR(__xludf.DUMMYFUNCTION("""COMPUTED_VALUE"""),"Adventuring Gear")</f>
        <v>Adventuring Gear</v>
      </c>
      <c r="B32" s="4" t="str">
        <f>IFERROR(__xludf.DUMMYFUNCTION("""COMPUTED_VALUE"""),"-")</f>
        <v>-</v>
      </c>
      <c r="C32" s="8" t="str">
        <f>IFERROR(__xludf.DUMMYFUNCTION("""COMPUTED_VALUE"""),"Parchment")</f>
        <v>Parchment</v>
      </c>
      <c r="D32" s="5" t="str">
        <f>IFERROR(__xludf.DUMMYFUNCTION("""COMPUTED_VALUE"""),"-")</f>
        <v>-</v>
      </c>
      <c r="E32" s="6">
        <f>IFERROR(__xludf.DUMMYFUNCTION("""COMPUTED_VALUE"""),0.1)</f>
        <v>0.1</v>
      </c>
      <c r="F32" s="6">
        <f>IFERROR(__xludf.DUMMYFUNCTION("""COMPUTED_VALUE"""),0.07500000000000001)</f>
        <v>0.075</v>
      </c>
      <c r="G32" s="6">
        <f>IFERROR(__xludf.DUMMYFUNCTION("""COMPUTED_VALUE"""),0.15000000000000002)</f>
        <v>0.15</v>
      </c>
      <c r="H32" s="4" t="str">
        <f>IFERROR(__xludf.DUMMYFUNCTION("""COMPUTED_VALUE"""),"PHB 2024")</f>
        <v>PHB 2024</v>
      </c>
      <c r="I32" s="4" t="str">
        <f>IFERROR(__xludf.DUMMYFUNCTION("""COMPUTED_VALUE"""),"x")</f>
        <v>x</v>
      </c>
      <c r="J32" s="4" t="str">
        <f>IFERROR(__xludf.DUMMYFUNCTION("""COMPUTED_VALUE"""),"x")</f>
        <v>x</v>
      </c>
      <c r="K32" s="4" t="str">
        <f>IFERROR(__xludf.DUMMYFUNCTION("""COMPUTED_VALUE"""),"x")</f>
        <v>x</v>
      </c>
      <c r="L32" s="7"/>
      <c r="M32" s="7"/>
      <c r="N32" s="7"/>
      <c r="O32" s="7" t="str">
        <f>IFERROR(__xludf.DUMMYFUNCTION("""COMPUTED_VALUE"""),"x")</f>
        <v>x</v>
      </c>
      <c r="P32" s="4" t="str">
        <f>IFERROR(__xludf.DUMMYFUNCTION("""COMPUTED_VALUE"""),"x")</f>
        <v>x</v>
      </c>
      <c r="Q32" s="4" t="str">
        <f>IFERROR(__xludf.DUMMYFUNCTION("""COMPUTED_VALUE"""),"x")</f>
        <v>x</v>
      </c>
      <c r="R32" s="7"/>
      <c r="S32" s="7"/>
      <c r="T32" s="7"/>
      <c r="U32" s="7" t="str">
        <f>IFERROR(__xludf.DUMMYFUNCTION("""COMPUTED_VALUE"""),"x")</f>
        <v>x</v>
      </c>
      <c r="V32" s="7"/>
      <c r="W32" s="7"/>
      <c r="X32" s="7"/>
      <c r="Y32" s="7"/>
    </row>
    <row r="33">
      <c r="A33" s="4" t="str">
        <f>IFERROR(__xludf.DUMMYFUNCTION("""COMPUTED_VALUE"""),"Adventuring Gear")</f>
        <v>Adventuring Gear</v>
      </c>
      <c r="B33" s="4" t="str">
        <f>IFERROR(__xludf.DUMMYFUNCTION("""COMPUTED_VALUE"""),"-")</f>
        <v>-</v>
      </c>
      <c r="C33" s="8" t="str">
        <f>IFERROR(__xludf.DUMMYFUNCTION("""COMPUTED_VALUE"""),"Pole (10 feet)")</f>
        <v>Pole (10 feet)</v>
      </c>
      <c r="D33" s="5">
        <f>IFERROR(__xludf.DUMMYFUNCTION("""COMPUTED_VALUE"""),7.0)</f>
        <v>7</v>
      </c>
      <c r="E33" s="6">
        <f>IFERROR(__xludf.DUMMYFUNCTION("""COMPUTED_VALUE"""),0.05)</f>
        <v>0.05</v>
      </c>
      <c r="F33" s="6">
        <f>IFERROR(__xludf.DUMMYFUNCTION("""COMPUTED_VALUE"""),0.037500000000000006)</f>
        <v>0.0375</v>
      </c>
      <c r="G33" s="6">
        <f>IFERROR(__xludf.DUMMYFUNCTION("""COMPUTED_VALUE"""),0.07500000000000001)</f>
        <v>0.075</v>
      </c>
      <c r="H33" s="4" t="str">
        <f>IFERROR(__xludf.DUMMYFUNCTION("""COMPUTED_VALUE"""),"PHB 2024")</f>
        <v>PHB 2024</v>
      </c>
      <c r="I33" s="4" t="str">
        <f>IFERROR(__xludf.DUMMYFUNCTION("""COMPUTED_VALUE"""),"x")</f>
        <v>x</v>
      </c>
      <c r="J33" s="4" t="str">
        <f>IFERROR(__xludf.DUMMYFUNCTION("""COMPUTED_VALUE"""),"x")</f>
        <v>x</v>
      </c>
      <c r="K33" s="4" t="str">
        <f>IFERROR(__xludf.DUMMYFUNCTION("""COMPUTED_VALUE"""),"x")</f>
        <v>x</v>
      </c>
      <c r="L33" s="7"/>
      <c r="M33" s="7"/>
      <c r="N33" s="7"/>
      <c r="O33" s="7"/>
      <c r="P33" s="7"/>
      <c r="Q33" s="4" t="str">
        <f>IFERROR(__xludf.DUMMYFUNCTION("""COMPUTED_VALUE"""),"x")</f>
        <v>x</v>
      </c>
      <c r="R33" s="7"/>
      <c r="S33" s="7"/>
      <c r="T33" s="7"/>
      <c r="U33" s="7"/>
      <c r="V33" s="7"/>
      <c r="W33" s="7"/>
      <c r="X33" s="7"/>
      <c r="Y33" s="7"/>
    </row>
    <row r="34">
      <c r="A34" s="4" t="str">
        <f>IFERROR(__xludf.DUMMYFUNCTION("""COMPUTED_VALUE"""),"Adventuring Gear")</f>
        <v>Adventuring Gear</v>
      </c>
      <c r="B34" s="4" t="str">
        <f>IFERROR(__xludf.DUMMYFUNCTION("""COMPUTED_VALUE"""),"-")</f>
        <v>-</v>
      </c>
      <c r="C34" s="8" t="str">
        <f>IFERROR(__xludf.DUMMYFUNCTION("""COMPUTED_VALUE"""),"Pot, Iron")</f>
        <v>Pot, Iron</v>
      </c>
      <c r="D34" s="5">
        <f>IFERROR(__xludf.DUMMYFUNCTION("""COMPUTED_VALUE"""),10.0)</f>
        <v>10</v>
      </c>
      <c r="E34" s="6">
        <f>IFERROR(__xludf.DUMMYFUNCTION("""COMPUTED_VALUE"""),2.0)</f>
        <v>2</v>
      </c>
      <c r="F34" s="6">
        <f>IFERROR(__xludf.DUMMYFUNCTION("""COMPUTED_VALUE"""),1.5)</f>
        <v>1.5</v>
      </c>
      <c r="G34" s="6">
        <f>IFERROR(__xludf.DUMMYFUNCTION("""COMPUTED_VALUE"""),3.0)</f>
        <v>3</v>
      </c>
      <c r="H34" s="4" t="str">
        <f>IFERROR(__xludf.DUMMYFUNCTION("""COMPUTED_VALUE"""),"PHB 2024")</f>
        <v>PHB 2024</v>
      </c>
      <c r="I34" s="4" t="str">
        <f>IFERROR(__xludf.DUMMYFUNCTION("""COMPUTED_VALUE"""),"x")</f>
        <v>x</v>
      </c>
      <c r="J34" s="4" t="str">
        <f>IFERROR(__xludf.DUMMYFUNCTION("""COMPUTED_VALUE"""),"x")</f>
        <v>x</v>
      </c>
      <c r="K34" s="4" t="str">
        <f>IFERROR(__xludf.DUMMYFUNCTION("""COMPUTED_VALUE"""),"x")</f>
        <v>x</v>
      </c>
      <c r="L34" s="7" t="str">
        <f>IFERROR(__xludf.DUMMYFUNCTION("""COMPUTED_VALUE"""),"x")</f>
        <v>x</v>
      </c>
      <c r="M34" s="7"/>
      <c r="N34" s="7"/>
      <c r="O34" s="7"/>
      <c r="P34" s="4" t="str">
        <f>IFERROR(__xludf.DUMMYFUNCTION("""COMPUTED_VALUE"""),"x")</f>
        <v>x</v>
      </c>
      <c r="Q34" s="7" t="str">
        <f>IFERROR(__xludf.DUMMYFUNCTION("""COMPUTED_VALUE"""),"x")</f>
        <v>x</v>
      </c>
      <c r="R34" s="4"/>
      <c r="S34" s="7"/>
      <c r="T34" s="7"/>
      <c r="U34" s="7"/>
      <c r="V34" s="7"/>
      <c r="W34" s="7"/>
      <c r="X34" s="7"/>
      <c r="Y34" s="7"/>
    </row>
    <row r="35">
      <c r="A35" s="4" t="str">
        <f>IFERROR(__xludf.DUMMYFUNCTION("""COMPUTED_VALUE"""),"Adventuring Gear")</f>
        <v>Adventuring Gear</v>
      </c>
      <c r="B35" s="4" t="str">
        <f>IFERROR(__xludf.DUMMYFUNCTION("""COMPUTED_VALUE"""),"-")</f>
        <v>-</v>
      </c>
      <c r="C35" s="8" t="str">
        <f>IFERROR(__xludf.DUMMYFUNCTION("""COMPUTED_VALUE"""),"Pouch")</f>
        <v>Pouch</v>
      </c>
      <c r="D35" s="5">
        <f>IFERROR(__xludf.DUMMYFUNCTION("""COMPUTED_VALUE"""),1.0)</f>
        <v>1</v>
      </c>
      <c r="E35" s="6">
        <f>IFERROR(__xludf.DUMMYFUNCTION("""COMPUTED_VALUE"""),0.5)</f>
        <v>0.5</v>
      </c>
      <c r="F35" s="6">
        <f>IFERROR(__xludf.DUMMYFUNCTION("""COMPUTED_VALUE"""),0.375)</f>
        <v>0.375</v>
      </c>
      <c r="G35" s="6">
        <f>IFERROR(__xludf.DUMMYFUNCTION("""COMPUTED_VALUE"""),0.75)</f>
        <v>0.75</v>
      </c>
      <c r="H35" s="4" t="str">
        <f>IFERROR(__xludf.DUMMYFUNCTION("""COMPUTED_VALUE"""),"PHB 2024")</f>
        <v>PHB 2024</v>
      </c>
      <c r="I35" s="4" t="str">
        <f>IFERROR(__xludf.DUMMYFUNCTION("""COMPUTED_VALUE"""),"x")</f>
        <v>x</v>
      </c>
      <c r="J35" s="4" t="str">
        <f>IFERROR(__xludf.DUMMYFUNCTION("""COMPUTED_VALUE"""),"x")</f>
        <v>x</v>
      </c>
      <c r="K35" s="4" t="str">
        <f>IFERROR(__xludf.DUMMYFUNCTION("""COMPUTED_VALUE"""),"x")</f>
        <v>x</v>
      </c>
      <c r="L35" s="7"/>
      <c r="M35" s="7"/>
      <c r="N35" s="7"/>
      <c r="O35" s="7"/>
      <c r="P35" s="7" t="str">
        <f>IFERROR(__xludf.DUMMYFUNCTION("""COMPUTED_VALUE"""),"x")</f>
        <v>x</v>
      </c>
      <c r="Q35" s="4" t="str">
        <f>IFERROR(__xludf.DUMMYFUNCTION("""COMPUTED_VALUE"""),"x")</f>
        <v>x</v>
      </c>
      <c r="R35" s="4" t="str">
        <f>IFERROR(__xludf.DUMMYFUNCTION("""COMPUTED_VALUE"""),"x")</f>
        <v>x</v>
      </c>
      <c r="S35" s="7"/>
      <c r="T35" s="7" t="str">
        <f>IFERROR(__xludf.DUMMYFUNCTION("""COMPUTED_VALUE"""),"x")</f>
        <v>x</v>
      </c>
      <c r="U35" s="7" t="str">
        <f>IFERROR(__xludf.DUMMYFUNCTION("""COMPUTED_VALUE"""),"x")</f>
        <v>x</v>
      </c>
      <c r="V35" s="7"/>
      <c r="W35" s="7"/>
      <c r="X35" s="7"/>
      <c r="Y35" s="7" t="str">
        <f>IFERROR(__xludf.DUMMYFUNCTION("""COMPUTED_VALUE"""),"x")</f>
        <v>x</v>
      </c>
    </row>
    <row r="36">
      <c r="A36" s="4" t="str">
        <f>IFERROR(__xludf.DUMMYFUNCTION("""COMPUTED_VALUE"""),"Adventuring Gear")</f>
        <v>Adventuring Gear</v>
      </c>
      <c r="B36" s="4" t="str">
        <f>IFERROR(__xludf.DUMMYFUNCTION("""COMPUTED_VALUE"""),"-")</f>
        <v>-</v>
      </c>
      <c r="C36" s="8" t="str">
        <f>IFERROR(__xludf.DUMMYFUNCTION("""COMPUTED_VALUE"""),"Quiver")</f>
        <v>Quiver</v>
      </c>
      <c r="D36" s="5">
        <f>IFERROR(__xludf.DUMMYFUNCTION("""COMPUTED_VALUE"""),1.0)</f>
        <v>1</v>
      </c>
      <c r="E36" s="6">
        <f>IFERROR(__xludf.DUMMYFUNCTION("""COMPUTED_VALUE"""),1.0)</f>
        <v>1</v>
      </c>
      <c r="F36" s="6">
        <f>IFERROR(__xludf.DUMMYFUNCTION("""COMPUTED_VALUE"""),0.75)</f>
        <v>0.75</v>
      </c>
      <c r="G36" s="6">
        <f>IFERROR(__xludf.DUMMYFUNCTION("""COMPUTED_VALUE"""),1.5)</f>
        <v>1.5</v>
      </c>
      <c r="H36" s="4" t="str">
        <f>IFERROR(__xludf.DUMMYFUNCTION("""COMPUTED_VALUE"""),"PHB 2024")</f>
        <v>PHB 2024</v>
      </c>
      <c r="I36" s="4" t="str">
        <f>IFERROR(__xludf.DUMMYFUNCTION("""COMPUTED_VALUE"""),"x")</f>
        <v>x</v>
      </c>
      <c r="J36" s="4" t="str">
        <f>IFERROR(__xludf.DUMMYFUNCTION("""COMPUTED_VALUE"""),"x")</f>
        <v>x</v>
      </c>
      <c r="K36" s="4" t="str">
        <f>IFERROR(__xludf.DUMMYFUNCTION("""COMPUTED_VALUE"""),"x")</f>
        <v>x</v>
      </c>
      <c r="L36" s="7"/>
      <c r="M36" s="7" t="str">
        <f>IFERROR(__xludf.DUMMYFUNCTION("""COMPUTED_VALUE"""),"x")</f>
        <v>x</v>
      </c>
      <c r="N36" s="7"/>
      <c r="O36" s="7"/>
      <c r="P36" s="7"/>
      <c r="Q36" s="7" t="str">
        <f>IFERROR(__xludf.DUMMYFUNCTION("""COMPUTED_VALUE"""),"x")</f>
        <v>x</v>
      </c>
      <c r="R36" s="4"/>
      <c r="S36" s="7"/>
      <c r="T36" s="4"/>
      <c r="U36" s="4"/>
      <c r="V36" s="7"/>
      <c r="W36" s="7"/>
      <c r="X36" s="7"/>
      <c r="Y36" s="7"/>
    </row>
    <row r="37">
      <c r="A37" s="4" t="str">
        <f>IFERROR(__xludf.DUMMYFUNCTION("""COMPUTED_VALUE"""),"Adventuring Gear")</f>
        <v>Adventuring Gear</v>
      </c>
      <c r="B37" s="4" t="str">
        <f>IFERROR(__xludf.DUMMYFUNCTION("""COMPUTED_VALUE"""),"-")</f>
        <v>-</v>
      </c>
      <c r="C37" s="8" t="str">
        <f>IFERROR(__xludf.DUMMYFUNCTION("""COMPUTED_VALUE"""),"Rations")</f>
        <v>Rations</v>
      </c>
      <c r="D37" s="5">
        <f>IFERROR(__xludf.DUMMYFUNCTION("""COMPUTED_VALUE"""),2.0)</f>
        <v>2</v>
      </c>
      <c r="E37" s="6">
        <f>IFERROR(__xludf.DUMMYFUNCTION("""COMPUTED_VALUE"""),0.5)</f>
        <v>0.5</v>
      </c>
      <c r="F37" s="6">
        <f>IFERROR(__xludf.DUMMYFUNCTION("""COMPUTED_VALUE"""),0.375)</f>
        <v>0.375</v>
      </c>
      <c r="G37" s="6">
        <f>IFERROR(__xludf.DUMMYFUNCTION("""COMPUTED_VALUE"""),0.75)</f>
        <v>0.75</v>
      </c>
      <c r="H37" s="4" t="str">
        <f>IFERROR(__xludf.DUMMYFUNCTION("""COMPUTED_VALUE"""),"PHB 2024")</f>
        <v>PHB 2024</v>
      </c>
      <c r="I37" s="4" t="str">
        <f>IFERROR(__xludf.DUMMYFUNCTION("""COMPUTED_VALUE"""),"x")</f>
        <v>x</v>
      </c>
      <c r="J37" s="4" t="str">
        <f>IFERROR(__xludf.DUMMYFUNCTION("""COMPUTED_VALUE"""),"x")</f>
        <v>x</v>
      </c>
      <c r="K37" s="4" t="str">
        <f>IFERROR(__xludf.DUMMYFUNCTION("""COMPUTED_VALUE"""),"x")</f>
        <v>x</v>
      </c>
      <c r="L37" s="7"/>
      <c r="M37" s="7"/>
      <c r="N37" s="7"/>
      <c r="O37" s="7" t="str">
        <f>IFERROR(__xludf.DUMMYFUNCTION("""COMPUTED_VALUE"""),"x")</f>
        <v>x</v>
      </c>
      <c r="P37" s="7"/>
      <c r="Q37" s="7" t="str">
        <f>IFERROR(__xludf.DUMMYFUNCTION("""COMPUTED_VALUE"""),"x")</f>
        <v>x</v>
      </c>
      <c r="R37" s="4" t="str">
        <f>IFERROR(__xludf.DUMMYFUNCTION("""COMPUTED_VALUE"""),"x")</f>
        <v>x</v>
      </c>
      <c r="S37" s="7"/>
      <c r="T37" s="7"/>
      <c r="U37" s="7" t="str">
        <f>IFERROR(__xludf.DUMMYFUNCTION("""COMPUTED_VALUE"""),"x")</f>
        <v>x</v>
      </c>
      <c r="V37" s="7"/>
      <c r="W37" s="4"/>
      <c r="X37" s="7"/>
      <c r="Y37" s="7"/>
    </row>
    <row r="38">
      <c r="A38" s="4" t="str">
        <f>IFERROR(__xludf.DUMMYFUNCTION("""COMPUTED_VALUE"""),"Adventuring Gear")</f>
        <v>Adventuring Gear</v>
      </c>
      <c r="B38" s="4" t="str">
        <f>IFERROR(__xludf.DUMMYFUNCTION("""COMPUTED_VALUE"""),"-")</f>
        <v>-</v>
      </c>
      <c r="C38" s="8" t="str">
        <f>IFERROR(__xludf.DUMMYFUNCTION("""COMPUTED_VALUE"""),"Rope (50 feet)")</f>
        <v>Rope (50 feet)</v>
      </c>
      <c r="D38" s="5">
        <f>IFERROR(__xludf.DUMMYFUNCTION("""COMPUTED_VALUE"""),5.0)</f>
        <v>5</v>
      </c>
      <c r="E38" s="6">
        <f>IFERROR(__xludf.DUMMYFUNCTION("""COMPUTED_VALUE"""),1.0)</f>
        <v>1</v>
      </c>
      <c r="F38" s="6">
        <f>IFERROR(__xludf.DUMMYFUNCTION("""COMPUTED_VALUE"""),0.75)</f>
        <v>0.75</v>
      </c>
      <c r="G38" s="6">
        <f>IFERROR(__xludf.DUMMYFUNCTION("""COMPUTED_VALUE"""),1.5)</f>
        <v>1.5</v>
      </c>
      <c r="H38" s="4" t="str">
        <f>IFERROR(__xludf.DUMMYFUNCTION("""COMPUTED_VALUE"""),"PHB 2024")</f>
        <v>PHB 2024</v>
      </c>
      <c r="I38" s="4" t="str">
        <f>IFERROR(__xludf.DUMMYFUNCTION("""COMPUTED_VALUE"""),"x")</f>
        <v>x</v>
      </c>
      <c r="J38" s="4" t="str">
        <f>IFERROR(__xludf.DUMMYFUNCTION("""COMPUTED_VALUE"""),"x")</f>
        <v>x</v>
      </c>
      <c r="K38" s="4" t="str">
        <f>IFERROR(__xludf.DUMMYFUNCTION("""COMPUTED_VALUE"""),"x")</f>
        <v>x</v>
      </c>
      <c r="L38" s="4"/>
      <c r="M38" s="7"/>
      <c r="N38" s="7"/>
      <c r="O38" s="7"/>
      <c r="P38" s="7" t="str">
        <f>IFERROR(__xludf.DUMMYFUNCTION("""COMPUTED_VALUE"""),"x")</f>
        <v>x</v>
      </c>
      <c r="Q38" s="4" t="str">
        <f>IFERROR(__xludf.DUMMYFUNCTION("""COMPUTED_VALUE"""),"x")</f>
        <v>x</v>
      </c>
      <c r="R38" s="7"/>
      <c r="S38" s="7"/>
      <c r="T38" s="7"/>
      <c r="U38" s="7"/>
      <c r="V38" s="7"/>
      <c r="W38" s="4" t="str">
        <f>IFERROR(__xludf.DUMMYFUNCTION("""COMPUTED_VALUE"""),"x")</f>
        <v>x</v>
      </c>
      <c r="X38" s="7"/>
      <c r="Y38" s="7"/>
    </row>
    <row r="39">
      <c r="A39" s="4" t="str">
        <f>IFERROR(__xludf.DUMMYFUNCTION("""COMPUTED_VALUE"""),"Adventuring Gear")</f>
        <v>Adventuring Gear</v>
      </c>
      <c r="B39" s="4" t="str">
        <f>IFERROR(__xludf.DUMMYFUNCTION("""COMPUTED_VALUE"""),"-")</f>
        <v>-</v>
      </c>
      <c r="C39" s="8" t="str">
        <f>IFERROR(__xludf.DUMMYFUNCTION("""COMPUTED_VALUE"""),"Sack")</f>
        <v>Sack</v>
      </c>
      <c r="D39" s="5">
        <f>IFERROR(__xludf.DUMMYFUNCTION("""COMPUTED_VALUE"""),0.5)</f>
        <v>0.5</v>
      </c>
      <c r="E39" s="6">
        <f>IFERROR(__xludf.DUMMYFUNCTION("""COMPUTED_VALUE"""),0.01)</f>
        <v>0.01</v>
      </c>
      <c r="F39" s="6">
        <f>IFERROR(__xludf.DUMMYFUNCTION("""COMPUTED_VALUE"""),0.0075)</f>
        <v>0.0075</v>
      </c>
      <c r="G39" s="6">
        <f>IFERROR(__xludf.DUMMYFUNCTION("""COMPUTED_VALUE"""),0.015)</f>
        <v>0.015</v>
      </c>
      <c r="H39" s="4" t="str">
        <f>IFERROR(__xludf.DUMMYFUNCTION("""COMPUTED_VALUE"""),"PHB 2024")</f>
        <v>PHB 2024</v>
      </c>
      <c r="I39" s="4" t="str">
        <f>IFERROR(__xludf.DUMMYFUNCTION("""COMPUTED_VALUE"""),"x")</f>
        <v>x</v>
      </c>
      <c r="J39" s="4" t="str">
        <f>IFERROR(__xludf.DUMMYFUNCTION("""COMPUTED_VALUE"""),"x")</f>
        <v>x</v>
      </c>
      <c r="K39" s="4" t="str">
        <f>IFERROR(__xludf.DUMMYFUNCTION("""COMPUTED_VALUE"""),"x")</f>
        <v>x</v>
      </c>
      <c r="L39" s="7"/>
      <c r="M39" s="7"/>
      <c r="N39" s="7"/>
      <c r="O39" s="4"/>
      <c r="P39" s="7" t="str">
        <f>IFERROR(__xludf.DUMMYFUNCTION("""COMPUTED_VALUE"""),"x")</f>
        <v>x</v>
      </c>
      <c r="Q39" s="7" t="str">
        <f>IFERROR(__xludf.DUMMYFUNCTION("""COMPUTED_VALUE"""),"x")</f>
        <v>x</v>
      </c>
      <c r="R39" s="7" t="str">
        <f>IFERROR(__xludf.DUMMYFUNCTION("""COMPUTED_VALUE"""),"x")</f>
        <v>x</v>
      </c>
      <c r="S39" s="7"/>
      <c r="T39" s="7"/>
      <c r="U39" s="7"/>
      <c r="V39" s="7"/>
      <c r="W39" s="7"/>
      <c r="X39" s="7"/>
      <c r="Y39" s="7"/>
    </row>
    <row r="40">
      <c r="A40" s="4" t="str">
        <f>IFERROR(__xludf.DUMMYFUNCTION("""COMPUTED_VALUE"""),"Adventuring Gear")</f>
        <v>Adventuring Gear</v>
      </c>
      <c r="B40" s="8" t="str">
        <f>IFERROR(__xludf.DUMMYFUNCTION("""COMPUTED_VALUE"""),"-")</f>
        <v>-</v>
      </c>
      <c r="C40" s="8" t="str">
        <f>IFERROR(__xludf.DUMMYFUNCTION("""COMPUTED_VALUE"""),"Shovel")</f>
        <v>Shovel</v>
      </c>
      <c r="D40" s="5">
        <f>IFERROR(__xludf.DUMMYFUNCTION("""COMPUTED_VALUE"""),5.0)</f>
        <v>5</v>
      </c>
      <c r="E40" s="6">
        <f>IFERROR(__xludf.DUMMYFUNCTION("""COMPUTED_VALUE"""),2.0)</f>
        <v>2</v>
      </c>
      <c r="F40" s="6">
        <f>IFERROR(__xludf.DUMMYFUNCTION("""COMPUTED_VALUE"""),1.5)</f>
        <v>1.5</v>
      </c>
      <c r="G40" s="6">
        <f>IFERROR(__xludf.DUMMYFUNCTION("""COMPUTED_VALUE"""),3.0)</f>
        <v>3</v>
      </c>
      <c r="H40" s="4" t="str">
        <f>IFERROR(__xludf.DUMMYFUNCTION("""COMPUTED_VALUE"""),"PHB 2024")</f>
        <v>PHB 2024</v>
      </c>
      <c r="I40" s="4" t="str">
        <f>IFERROR(__xludf.DUMMYFUNCTION("""COMPUTED_VALUE"""),"x")</f>
        <v>x</v>
      </c>
      <c r="J40" s="4" t="str">
        <f>IFERROR(__xludf.DUMMYFUNCTION("""COMPUTED_VALUE"""),"x")</f>
        <v>x</v>
      </c>
      <c r="K40" s="4" t="str">
        <f>IFERROR(__xludf.DUMMYFUNCTION("""COMPUTED_VALUE"""),"x")</f>
        <v>x</v>
      </c>
      <c r="L40" s="7"/>
      <c r="M40" s="7"/>
      <c r="N40" s="7"/>
      <c r="O40" s="7"/>
      <c r="P40" s="7" t="str">
        <f>IFERROR(__xludf.DUMMYFUNCTION("""COMPUTED_VALUE"""),"x")</f>
        <v>x</v>
      </c>
      <c r="Q40" s="7" t="str">
        <f>IFERROR(__xludf.DUMMYFUNCTION("""COMPUTED_VALUE"""),"x")</f>
        <v>x</v>
      </c>
      <c r="R40" s="7"/>
      <c r="S40" s="7"/>
      <c r="T40" s="7"/>
      <c r="U40" s="4"/>
      <c r="V40" s="7"/>
      <c r="W40" s="7"/>
      <c r="X40" s="7"/>
      <c r="Y40" s="7"/>
    </row>
    <row r="41">
      <c r="A41" s="4" t="str">
        <f>IFERROR(__xludf.DUMMYFUNCTION("""COMPUTED_VALUE"""),"Adventuring Gear")</f>
        <v>Adventuring Gear</v>
      </c>
      <c r="B41" s="8" t="str">
        <f>IFERROR(__xludf.DUMMYFUNCTION("""COMPUTED_VALUE"""),"-")</f>
        <v>-</v>
      </c>
      <c r="C41" s="8" t="str">
        <f>IFERROR(__xludf.DUMMYFUNCTION("""COMPUTED_VALUE"""),"Signal Whistle")</f>
        <v>Signal Whistle</v>
      </c>
      <c r="D41" s="5" t="str">
        <f>IFERROR(__xludf.DUMMYFUNCTION("""COMPUTED_VALUE"""),"-")</f>
        <v>-</v>
      </c>
      <c r="E41" s="6">
        <f>IFERROR(__xludf.DUMMYFUNCTION("""COMPUTED_VALUE"""),0.05)</f>
        <v>0.05</v>
      </c>
      <c r="F41" s="6">
        <f>IFERROR(__xludf.DUMMYFUNCTION("""COMPUTED_VALUE"""),0.037500000000000006)</f>
        <v>0.0375</v>
      </c>
      <c r="G41" s="6">
        <f>IFERROR(__xludf.DUMMYFUNCTION("""COMPUTED_VALUE"""),0.07500000000000001)</f>
        <v>0.075</v>
      </c>
      <c r="H41" s="4" t="str">
        <f>IFERROR(__xludf.DUMMYFUNCTION("""COMPUTED_VALUE"""),"PHB 2024")</f>
        <v>PHB 2024</v>
      </c>
      <c r="I41" s="4"/>
      <c r="J41" s="4" t="str">
        <f>IFERROR(__xludf.DUMMYFUNCTION("""COMPUTED_VALUE"""),"x")</f>
        <v>x</v>
      </c>
      <c r="K41" s="4" t="str">
        <f>IFERROR(__xludf.DUMMYFUNCTION("""COMPUTED_VALUE"""),"x")</f>
        <v>x</v>
      </c>
      <c r="L41" s="7"/>
      <c r="M41" s="7"/>
      <c r="N41" s="7"/>
      <c r="O41" s="7"/>
      <c r="P41" s="7"/>
      <c r="Q41" s="7" t="str">
        <f>IFERROR(__xludf.DUMMYFUNCTION("""COMPUTED_VALUE"""),"x")</f>
        <v>x</v>
      </c>
      <c r="R41" s="7"/>
      <c r="S41" s="7"/>
      <c r="T41" s="7"/>
      <c r="U41" s="4"/>
      <c r="V41" s="7"/>
      <c r="W41" s="7"/>
      <c r="X41" s="7"/>
      <c r="Y41" s="7"/>
    </row>
    <row r="42">
      <c r="A42" s="4" t="str">
        <f>IFERROR(__xludf.DUMMYFUNCTION("""COMPUTED_VALUE"""),"Adventuring Gear")</f>
        <v>Adventuring Gear</v>
      </c>
      <c r="B42" s="8" t="str">
        <f>IFERROR(__xludf.DUMMYFUNCTION("""COMPUTED_VALUE"""),"-")</f>
        <v>-</v>
      </c>
      <c r="C42" s="8" t="str">
        <f>IFERROR(__xludf.DUMMYFUNCTION("""COMPUTED_VALUE"""),"Spyglass")</f>
        <v>Spyglass</v>
      </c>
      <c r="D42" s="5">
        <f>IFERROR(__xludf.DUMMYFUNCTION("""COMPUTED_VALUE"""),1.0)</f>
        <v>1</v>
      </c>
      <c r="E42" s="6">
        <f>IFERROR(__xludf.DUMMYFUNCTION("""COMPUTED_VALUE"""),1000.0)</f>
        <v>1000</v>
      </c>
      <c r="F42" s="6">
        <f>IFERROR(__xludf.DUMMYFUNCTION("""COMPUTED_VALUE"""),750.0)</f>
        <v>750</v>
      </c>
      <c r="G42" s="6">
        <f>IFERROR(__xludf.DUMMYFUNCTION("""COMPUTED_VALUE"""),1500.0)</f>
        <v>1500</v>
      </c>
      <c r="H42" s="4" t="str">
        <f>IFERROR(__xludf.DUMMYFUNCTION("""COMPUTED_VALUE"""),"PHB 2024")</f>
        <v>PHB 2024</v>
      </c>
      <c r="I42" s="4"/>
      <c r="J42" s="4" t="str">
        <f>IFERROR(__xludf.DUMMYFUNCTION("""COMPUTED_VALUE"""),"x")</f>
        <v>x</v>
      </c>
      <c r="K42" s="4" t="str">
        <f>IFERROR(__xludf.DUMMYFUNCTION("""COMPUTED_VALUE"""),"x")</f>
        <v>x</v>
      </c>
      <c r="L42" s="7"/>
      <c r="M42" s="7"/>
      <c r="N42" s="7"/>
      <c r="O42" s="7"/>
      <c r="P42" s="7"/>
      <c r="Q42" s="7" t="str">
        <f>IFERROR(__xludf.DUMMYFUNCTION("""COMPUTED_VALUE"""),"x")</f>
        <v>x</v>
      </c>
      <c r="R42" s="7"/>
      <c r="S42" s="7"/>
      <c r="T42" s="7"/>
      <c r="U42" s="4"/>
      <c r="V42" s="7"/>
      <c r="W42" s="7"/>
      <c r="X42" s="7"/>
      <c r="Y42" s="7"/>
    </row>
    <row r="43">
      <c r="A43" s="4" t="str">
        <f>IFERROR(__xludf.DUMMYFUNCTION("""COMPUTED_VALUE"""),"Adventuring Gear")</f>
        <v>Adventuring Gear</v>
      </c>
      <c r="B43" s="4" t="str">
        <f>IFERROR(__xludf.DUMMYFUNCTION("""COMPUTED_VALUE"""),"-")</f>
        <v>-</v>
      </c>
      <c r="C43" s="8" t="str">
        <f>IFERROR(__xludf.DUMMYFUNCTION("""COMPUTED_VALUE"""),"Tent")</f>
        <v>Tent</v>
      </c>
      <c r="D43" s="5">
        <f>IFERROR(__xludf.DUMMYFUNCTION("""COMPUTED_VALUE"""),20.0)</f>
        <v>20</v>
      </c>
      <c r="E43" s="6">
        <f>IFERROR(__xludf.DUMMYFUNCTION("""COMPUTED_VALUE"""),2.0)</f>
        <v>2</v>
      </c>
      <c r="F43" s="6">
        <f>IFERROR(__xludf.DUMMYFUNCTION("""COMPUTED_VALUE"""),1.5)</f>
        <v>1.5</v>
      </c>
      <c r="G43" s="6">
        <f>IFERROR(__xludf.DUMMYFUNCTION("""COMPUTED_VALUE"""),3.0)</f>
        <v>3</v>
      </c>
      <c r="H43" s="4" t="str">
        <f>IFERROR(__xludf.DUMMYFUNCTION("""COMPUTED_VALUE"""),"PHB 2024")</f>
        <v>PHB 2024</v>
      </c>
      <c r="I43" s="4"/>
      <c r="J43" s="4" t="str">
        <f>IFERROR(__xludf.DUMMYFUNCTION("""COMPUTED_VALUE"""),"x")</f>
        <v>x</v>
      </c>
      <c r="K43" s="4" t="str">
        <f>IFERROR(__xludf.DUMMYFUNCTION("""COMPUTED_VALUE"""),"x")</f>
        <v>x</v>
      </c>
      <c r="L43" s="7"/>
      <c r="M43" s="7"/>
      <c r="N43" s="7"/>
      <c r="O43" s="7"/>
      <c r="P43" s="7"/>
      <c r="Q43" s="7" t="str">
        <f>IFERROR(__xludf.DUMMYFUNCTION("""COMPUTED_VALUE"""),"x")</f>
        <v>x</v>
      </c>
      <c r="R43" s="7" t="str">
        <f>IFERROR(__xludf.DUMMYFUNCTION("""COMPUTED_VALUE"""),"x")</f>
        <v>x</v>
      </c>
      <c r="S43" s="7"/>
      <c r="T43" s="7"/>
      <c r="U43" s="7"/>
      <c r="V43" s="7"/>
      <c r="W43" s="7"/>
      <c r="X43" s="7"/>
      <c r="Y43" s="7"/>
    </row>
    <row r="44">
      <c r="A44" s="4" t="str">
        <f>IFERROR(__xludf.DUMMYFUNCTION("""COMPUTED_VALUE"""),"Adventuring Gear")</f>
        <v>Adventuring Gear</v>
      </c>
      <c r="B44" s="4" t="str">
        <f>IFERROR(__xludf.DUMMYFUNCTION("""COMPUTED_VALUE"""),"-")</f>
        <v>-</v>
      </c>
      <c r="C44" s="8" t="str">
        <f>IFERROR(__xludf.DUMMYFUNCTION("""COMPUTED_VALUE"""),"Tinderbox")</f>
        <v>Tinderbox</v>
      </c>
      <c r="D44" s="5">
        <f>IFERROR(__xludf.DUMMYFUNCTION("""COMPUTED_VALUE"""),1.0)</f>
        <v>1</v>
      </c>
      <c r="E44" s="6">
        <f>IFERROR(__xludf.DUMMYFUNCTION("""COMPUTED_VALUE"""),0.5)</f>
        <v>0.5</v>
      </c>
      <c r="F44" s="6">
        <f>IFERROR(__xludf.DUMMYFUNCTION("""COMPUTED_VALUE"""),0.375)</f>
        <v>0.375</v>
      </c>
      <c r="G44" s="6">
        <f>IFERROR(__xludf.DUMMYFUNCTION("""COMPUTED_VALUE"""),0.75)</f>
        <v>0.75</v>
      </c>
      <c r="H44" s="4" t="str">
        <f>IFERROR(__xludf.DUMMYFUNCTION("""COMPUTED_VALUE"""),"PHB 2024")</f>
        <v>PHB 2024</v>
      </c>
      <c r="I44" s="4" t="str">
        <f>IFERROR(__xludf.DUMMYFUNCTION("""COMPUTED_VALUE"""),"x")</f>
        <v>x</v>
      </c>
      <c r="J44" s="4" t="str">
        <f>IFERROR(__xludf.DUMMYFUNCTION("""COMPUTED_VALUE"""),"x")</f>
        <v>x</v>
      </c>
      <c r="K44" s="4" t="str">
        <f>IFERROR(__xludf.DUMMYFUNCTION("""COMPUTED_VALUE"""),"x")</f>
        <v>x</v>
      </c>
      <c r="L44" s="7"/>
      <c r="M44" s="7"/>
      <c r="N44" s="7"/>
      <c r="O44" s="7"/>
      <c r="P44" s="7"/>
      <c r="Q44" s="7" t="str">
        <f>IFERROR(__xludf.DUMMYFUNCTION("""COMPUTED_VALUE"""),"x")</f>
        <v>x</v>
      </c>
      <c r="R44" s="7"/>
      <c r="S44" s="7"/>
      <c r="T44" s="7"/>
      <c r="U44" s="7"/>
      <c r="V44" s="7"/>
      <c r="W44" s="7"/>
      <c r="X44" s="7"/>
      <c r="Y44" s="7"/>
    </row>
    <row r="45">
      <c r="A45" s="4" t="str">
        <f>IFERROR(__xludf.DUMMYFUNCTION("""COMPUTED_VALUE"""),"Adventuring Gear")</f>
        <v>Adventuring Gear</v>
      </c>
      <c r="B45" s="4" t="str">
        <f>IFERROR(__xludf.DUMMYFUNCTION("""COMPUTED_VALUE"""),"-")</f>
        <v>-</v>
      </c>
      <c r="C45" s="8" t="str">
        <f>IFERROR(__xludf.DUMMYFUNCTION("""COMPUTED_VALUE"""),"Torch")</f>
        <v>Torch</v>
      </c>
      <c r="D45" s="5">
        <f>IFERROR(__xludf.DUMMYFUNCTION("""COMPUTED_VALUE"""),1.0)</f>
        <v>1</v>
      </c>
      <c r="E45" s="6">
        <f>IFERROR(__xludf.DUMMYFUNCTION("""COMPUTED_VALUE"""),0.01)</f>
        <v>0.01</v>
      </c>
      <c r="F45" s="6">
        <f>IFERROR(__xludf.DUMMYFUNCTION("""COMPUTED_VALUE"""),0.0075)</f>
        <v>0.0075</v>
      </c>
      <c r="G45" s="6">
        <f>IFERROR(__xludf.DUMMYFUNCTION("""COMPUTED_VALUE"""),0.015)</f>
        <v>0.015</v>
      </c>
      <c r="H45" s="4" t="str">
        <f>IFERROR(__xludf.DUMMYFUNCTION("""COMPUTED_VALUE"""),"PHB 2024")</f>
        <v>PHB 2024</v>
      </c>
      <c r="I45" s="4" t="str">
        <f>IFERROR(__xludf.DUMMYFUNCTION("""COMPUTED_VALUE"""),"x")</f>
        <v>x</v>
      </c>
      <c r="J45" s="4" t="str">
        <f>IFERROR(__xludf.DUMMYFUNCTION("""COMPUTED_VALUE"""),"x")</f>
        <v>x</v>
      </c>
      <c r="K45" s="4" t="str">
        <f>IFERROR(__xludf.DUMMYFUNCTION("""COMPUTED_VALUE"""),"x")</f>
        <v>x</v>
      </c>
      <c r="L45" s="7"/>
      <c r="M45" s="7"/>
      <c r="N45" s="7"/>
      <c r="O45" s="7" t="str">
        <f>IFERROR(__xludf.DUMMYFUNCTION("""COMPUTED_VALUE"""),"x")</f>
        <v>x</v>
      </c>
      <c r="P45" s="7"/>
      <c r="Q45" s="7" t="str">
        <f>IFERROR(__xludf.DUMMYFUNCTION("""COMPUTED_VALUE"""),"x")</f>
        <v>x</v>
      </c>
      <c r="R45" s="7"/>
      <c r="S45" s="7"/>
      <c r="T45" s="7"/>
      <c r="U45" s="7"/>
      <c r="V45" s="7"/>
      <c r="W45" s="7"/>
      <c r="X45" s="7"/>
      <c r="Y45" s="7"/>
    </row>
    <row r="46">
      <c r="A46" s="4" t="str">
        <f>IFERROR(__xludf.DUMMYFUNCTION("""COMPUTED_VALUE"""),"Adventuring Gear")</f>
        <v>Adventuring Gear</v>
      </c>
      <c r="B46" s="4" t="str">
        <f>IFERROR(__xludf.DUMMYFUNCTION("""COMPUTED_VALUE"""),"-")</f>
        <v>-</v>
      </c>
      <c r="C46" s="8" t="str">
        <f>IFERROR(__xludf.DUMMYFUNCTION("""COMPUTED_VALUE"""),"Vial")</f>
        <v>Vial</v>
      </c>
      <c r="D46" s="5" t="str">
        <f>IFERROR(__xludf.DUMMYFUNCTION("""COMPUTED_VALUE"""),"-")</f>
        <v>-</v>
      </c>
      <c r="E46" s="6">
        <f>IFERROR(__xludf.DUMMYFUNCTION("""COMPUTED_VALUE"""),1.0)</f>
        <v>1</v>
      </c>
      <c r="F46" s="6">
        <f>IFERROR(__xludf.DUMMYFUNCTION("""COMPUTED_VALUE"""),0.75)</f>
        <v>0.75</v>
      </c>
      <c r="G46" s="6">
        <f>IFERROR(__xludf.DUMMYFUNCTION("""COMPUTED_VALUE"""),1.5)</f>
        <v>1.5</v>
      </c>
      <c r="H46" s="4" t="str">
        <f>IFERROR(__xludf.DUMMYFUNCTION("""COMPUTED_VALUE"""),"PHB 2024")</f>
        <v>PHB 2024</v>
      </c>
      <c r="I46" s="4" t="str">
        <f>IFERROR(__xludf.DUMMYFUNCTION("""COMPUTED_VALUE"""),"x")</f>
        <v>x</v>
      </c>
      <c r="J46" s="4" t="str">
        <f>IFERROR(__xludf.DUMMYFUNCTION("""COMPUTED_VALUE"""),"x")</f>
        <v>x</v>
      </c>
      <c r="K46" s="4" t="str">
        <f>IFERROR(__xludf.DUMMYFUNCTION("""COMPUTED_VALUE"""),"x")</f>
        <v>x</v>
      </c>
      <c r="L46" s="7"/>
      <c r="M46" s="7"/>
      <c r="N46" s="7"/>
      <c r="O46" s="4" t="str">
        <f>IFERROR(__xludf.DUMMYFUNCTION("""COMPUTED_VALUE"""),"x")</f>
        <v>x</v>
      </c>
      <c r="P46" s="4" t="str">
        <f>IFERROR(__xludf.DUMMYFUNCTION("""COMPUTED_VALUE"""),"x")</f>
        <v>x</v>
      </c>
      <c r="Q46" s="4" t="str">
        <f>IFERROR(__xludf.DUMMYFUNCTION("""COMPUTED_VALUE"""),"x")</f>
        <v>x</v>
      </c>
      <c r="R46" s="7"/>
      <c r="S46" s="7"/>
      <c r="T46" s="4" t="str">
        <f>IFERROR(__xludf.DUMMYFUNCTION("""COMPUTED_VALUE"""),"x")</f>
        <v>x</v>
      </c>
      <c r="U46" s="7" t="str">
        <f>IFERROR(__xludf.DUMMYFUNCTION("""COMPUTED_VALUE"""),"x")</f>
        <v>x</v>
      </c>
      <c r="V46" s="7"/>
      <c r="W46" s="7" t="str">
        <f>IFERROR(__xludf.DUMMYFUNCTION("""COMPUTED_VALUE"""),"x")</f>
        <v>x</v>
      </c>
      <c r="X46" s="7"/>
      <c r="Y46" s="7"/>
    </row>
    <row r="47">
      <c r="A47" s="4" t="str">
        <f>IFERROR(__xludf.DUMMYFUNCTION("""COMPUTED_VALUE"""),"Adventuring Gear")</f>
        <v>Adventuring Gear</v>
      </c>
      <c r="B47" s="4" t="str">
        <f>IFERROR(__xludf.DUMMYFUNCTION("""COMPUTED_VALUE"""),"-")</f>
        <v>-</v>
      </c>
      <c r="C47" s="8" t="str">
        <f>IFERROR(__xludf.DUMMYFUNCTION("""COMPUTED_VALUE"""),"Waterskin")</f>
        <v>Waterskin</v>
      </c>
      <c r="D47" s="5">
        <f>IFERROR(__xludf.DUMMYFUNCTION("""COMPUTED_VALUE"""),5.0)</f>
        <v>5</v>
      </c>
      <c r="E47" s="6">
        <f>IFERROR(__xludf.DUMMYFUNCTION("""COMPUTED_VALUE"""),0.2)</f>
        <v>0.2</v>
      </c>
      <c r="F47" s="6">
        <f>IFERROR(__xludf.DUMMYFUNCTION("""COMPUTED_VALUE"""),0.15000000000000002)</f>
        <v>0.15</v>
      </c>
      <c r="G47" s="6">
        <f>IFERROR(__xludf.DUMMYFUNCTION("""COMPUTED_VALUE"""),0.30000000000000004)</f>
        <v>0.3</v>
      </c>
      <c r="H47" s="4" t="str">
        <f>IFERROR(__xludf.DUMMYFUNCTION("""COMPUTED_VALUE"""),"PHB 2024")</f>
        <v>PHB 2024</v>
      </c>
      <c r="I47" s="4" t="str">
        <f>IFERROR(__xludf.DUMMYFUNCTION("""COMPUTED_VALUE"""),"x")</f>
        <v>x</v>
      </c>
      <c r="J47" s="4" t="str">
        <f>IFERROR(__xludf.DUMMYFUNCTION("""COMPUTED_VALUE"""),"x")</f>
        <v>x</v>
      </c>
      <c r="K47" s="4" t="str">
        <f>IFERROR(__xludf.DUMMYFUNCTION("""COMPUTED_VALUE"""),"x")</f>
        <v>x</v>
      </c>
      <c r="L47" s="4"/>
      <c r="M47" s="7"/>
      <c r="N47" s="7" t="str">
        <f>IFERROR(__xludf.DUMMYFUNCTION("""COMPUTED_VALUE"""),"x")</f>
        <v>x</v>
      </c>
      <c r="O47" s="7" t="str">
        <f>IFERROR(__xludf.DUMMYFUNCTION("""COMPUTED_VALUE"""),"x")</f>
        <v>x</v>
      </c>
      <c r="P47" s="7"/>
      <c r="Q47" s="4" t="str">
        <f>IFERROR(__xludf.DUMMYFUNCTION("""COMPUTED_VALUE"""),"x")</f>
        <v>x</v>
      </c>
      <c r="R47" s="7"/>
      <c r="S47" s="7"/>
      <c r="T47" s="7"/>
      <c r="U47" s="7"/>
      <c r="V47" s="7"/>
      <c r="W47" s="4"/>
      <c r="X47" s="7"/>
      <c r="Y47" s="7"/>
    </row>
    <row r="48">
      <c r="A48" s="4" t="str">
        <f>IFERROR(__xludf.DUMMYFUNCTION("""COMPUTED_VALUE"""),"Armor")</f>
        <v>Armor</v>
      </c>
      <c r="B48" s="4" t="str">
        <f>IFERROR(__xludf.DUMMYFUNCTION("""COMPUTED_VALUE"""),"Light Armor")</f>
        <v>Light Armor</v>
      </c>
      <c r="C48" s="8" t="str">
        <f>IFERROR(__xludf.DUMMYFUNCTION("""COMPUTED_VALUE"""),"Padded Armor")</f>
        <v>Padded Armor</v>
      </c>
      <c r="D48" s="5">
        <f>IFERROR(__xludf.DUMMYFUNCTION("""COMPUTED_VALUE"""),8.0)</f>
        <v>8</v>
      </c>
      <c r="E48" s="6">
        <f>IFERROR(__xludf.DUMMYFUNCTION("""COMPUTED_VALUE"""),5.0)</f>
        <v>5</v>
      </c>
      <c r="F48" s="6">
        <f>IFERROR(__xludf.DUMMYFUNCTION("""COMPUTED_VALUE"""),3.75)</f>
        <v>3.75</v>
      </c>
      <c r="G48" s="6">
        <f>IFERROR(__xludf.DUMMYFUNCTION("""COMPUTED_VALUE"""),7.5)</f>
        <v>7.5</v>
      </c>
      <c r="H48" s="4" t="str">
        <f>IFERROR(__xludf.DUMMYFUNCTION("""COMPUTED_VALUE"""),"PHB 2024")</f>
        <v>PHB 2024</v>
      </c>
      <c r="I48" s="4"/>
      <c r="J48" s="4" t="str">
        <f>IFERROR(__xludf.DUMMYFUNCTION("""COMPUTED_VALUE"""),"x")</f>
        <v>x</v>
      </c>
      <c r="K48" s="4" t="str">
        <f>IFERROR(__xludf.DUMMYFUNCTION("""COMPUTED_VALUE"""),"x")</f>
        <v>x</v>
      </c>
      <c r="L48" s="7"/>
      <c r="M48" s="7"/>
      <c r="N48" s="7"/>
      <c r="O48" s="4"/>
      <c r="P48" s="7"/>
      <c r="Q48" s="4" t="str">
        <f>IFERROR(__xludf.DUMMYFUNCTION("""COMPUTED_VALUE"""),"x")</f>
        <v>x</v>
      </c>
      <c r="R48" s="7"/>
      <c r="S48" s="7"/>
      <c r="T48" s="7"/>
      <c r="U48" s="7"/>
      <c r="V48" s="7"/>
      <c r="W48" s="7" t="str">
        <f>IFERROR(__xludf.DUMMYFUNCTION("""COMPUTED_VALUE"""),"x")</f>
        <v>x</v>
      </c>
      <c r="X48" s="7"/>
      <c r="Y48" s="7"/>
    </row>
    <row r="49">
      <c r="A49" s="4" t="str">
        <f>IFERROR(__xludf.DUMMYFUNCTION("""COMPUTED_VALUE"""),"Armor")</f>
        <v>Armor</v>
      </c>
      <c r="B49" s="4" t="str">
        <f>IFERROR(__xludf.DUMMYFUNCTION("""COMPUTED_VALUE"""),"Light Armor")</f>
        <v>Light Armor</v>
      </c>
      <c r="C49" s="8" t="str">
        <f>IFERROR(__xludf.DUMMYFUNCTION("""COMPUTED_VALUE"""),"Leather Armor")</f>
        <v>Leather Armor</v>
      </c>
      <c r="D49" s="5">
        <f>IFERROR(__xludf.DUMMYFUNCTION("""COMPUTED_VALUE"""),10.0)</f>
        <v>10</v>
      </c>
      <c r="E49" s="6">
        <f>IFERROR(__xludf.DUMMYFUNCTION("""COMPUTED_VALUE"""),10.0)</f>
        <v>10</v>
      </c>
      <c r="F49" s="6">
        <f>IFERROR(__xludf.DUMMYFUNCTION("""COMPUTED_VALUE"""),7.5)</f>
        <v>7.5</v>
      </c>
      <c r="G49" s="6">
        <f>IFERROR(__xludf.DUMMYFUNCTION("""COMPUTED_VALUE"""),15.0)</f>
        <v>15</v>
      </c>
      <c r="H49" s="4" t="str">
        <f>IFERROR(__xludf.DUMMYFUNCTION("""COMPUTED_VALUE"""),"PHB 2024")</f>
        <v>PHB 2024</v>
      </c>
      <c r="I49" s="4" t="str">
        <f>IFERROR(__xludf.DUMMYFUNCTION("""COMPUTED_VALUE"""),"x")</f>
        <v>x</v>
      </c>
      <c r="J49" s="4" t="str">
        <f>IFERROR(__xludf.DUMMYFUNCTION("""COMPUTED_VALUE"""),"x")</f>
        <v>x</v>
      </c>
      <c r="K49" s="4" t="str">
        <f>IFERROR(__xludf.DUMMYFUNCTION("""COMPUTED_VALUE"""),"x")</f>
        <v>x</v>
      </c>
      <c r="L49" s="7"/>
      <c r="M49" s="7"/>
      <c r="N49" s="7" t="str">
        <f>IFERROR(__xludf.DUMMYFUNCTION("""COMPUTED_VALUE"""),"x")</f>
        <v>x</v>
      </c>
      <c r="O49" s="4"/>
      <c r="P49" s="7"/>
      <c r="Q49" s="7" t="str">
        <f>IFERROR(__xludf.DUMMYFUNCTION("""COMPUTED_VALUE"""),"x")</f>
        <v>x</v>
      </c>
      <c r="R49" s="7"/>
      <c r="S49" s="4"/>
      <c r="T49" s="7"/>
      <c r="U49" s="7"/>
      <c r="V49" s="7"/>
      <c r="W49" s="7" t="str">
        <f>IFERROR(__xludf.DUMMYFUNCTION("""COMPUTED_VALUE"""),"x")</f>
        <v>x</v>
      </c>
      <c r="X49" s="7"/>
      <c r="Y49" s="7"/>
    </row>
    <row r="50">
      <c r="A50" s="4" t="str">
        <f>IFERROR(__xludf.DUMMYFUNCTION("""COMPUTED_VALUE"""),"Armor")</f>
        <v>Armor</v>
      </c>
      <c r="B50" s="4" t="str">
        <f>IFERROR(__xludf.DUMMYFUNCTION("""COMPUTED_VALUE"""),"Light Armor")</f>
        <v>Light Armor</v>
      </c>
      <c r="C50" s="8" t="str">
        <f>IFERROR(__xludf.DUMMYFUNCTION("""COMPUTED_VALUE"""),"Studded Leather Armor")</f>
        <v>Studded Leather Armor</v>
      </c>
      <c r="D50" s="5">
        <f>IFERROR(__xludf.DUMMYFUNCTION("""COMPUTED_VALUE"""),13.0)</f>
        <v>13</v>
      </c>
      <c r="E50" s="6">
        <f>IFERROR(__xludf.DUMMYFUNCTION("""COMPUTED_VALUE"""),45.0)</f>
        <v>45</v>
      </c>
      <c r="F50" s="6">
        <f>IFERROR(__xludf.DUMMYFUNCTION("""COMPUTED_VALUE"""),33.75)</f>
        <v>33.75</v>
      </c>
      <c r="G50" s="6">
        <f>IFERROR(__xludf.DUMMYFUNCTION("""COMPUTED_VALUE"""),67.5)</f>
        <v>67.5</v>
      </c>
      <c r="H50" s="4" t="str">
        <f>IFERROR(__xludf.DUMMYFUNCTION("""COMPUTED_VALUE"""),"PHB 2024")</f>
        <v>PHB 2024</v>
      </c>
      <c r="I50" s="4"/>
      <c r="J50" s="4" t="str">
        <f>IFERROR(__xludf.DUMMYFUNCTION("""COMPUTED_VALUE"""),"x")</f>
        <v>x</v>
      </c>
      <c r="K50" s="4" t="str">
        <f>IFERROR(__xludf.DUMMYFUNCTION("""COMPUTED_VALUE"""),"x")</f>
        <v>x</v>
      </c>
      <c r="L50" s="7"/>
      <c r="M50" s="7"/>
      <c r="N50" s="7" t="str">
        <f>IFERROR(__xludf.DUMMYFUNCTION("""COMPUTED_VALUE"""),"x")</f>
        <v>x</v>
      </c>
      <c r="O50" s="4"/>
      <c r="P50" s="7"/>
      <c r="Q50" s="7" t="str">
        <f>IFERROR(__xludf.DUMMYFUNCTION("""COMPUTED_VALUE"""),"x")</f>
        <v>x</v>
      </c>
      <c r="R50" s="7"/>
      <c r="S50" s="7"/>
      <c r="T50" s="7"/>
      <c r="U50" s="7"/>
      <c r="V50" s="7"/>
      <c r="W50" s="7" t="str">
        <f>IFERROR(__xludf.DUMMYFUNCTION("""COMPUTED_VALUE"""),"x")</f>
        <v>x</v>
      </c>
      <c r="X50" s="7"/>
      <c r="Y50" s="7"/>
    </row>
    <row r="51">
      <c r="A51" s="4" t="str">
        <f>IFERROR(__xludf.DUMMYFUNCTION("""COMPUTED_VALUE"""),"Armor")</f>
        <v>Armor</v>
      </c>
      <c r="B51" s="4" t="str">
        <f>IFERROR(__xludf.DUMMYFUNCTION("""COMPUTED_VALUE"""),"Medium Armor")</f>
        <v>Medium Armor</v>
      </c>
      <c r="C51" s="8" t="str">
        <f>IFERROR(__xludf.DUMMYFUNCTION("""COMPUTED_VALUE"""),"Hide Armor")</f>
        <v>Hide Armor</v>
      </c>
      <c r="D51" s="5">
        <f>IFERROR(__xludf.DUMMYFUNCTION("""COMPUTED_VALUE"""),12.0)</f>
        <v>12</v>
      </c>
      <c r="E51" s="6">
        <f>IFERROR(__xludf.DUMMYFUNCTION("""COMPUTED_VALUE"""),10.0)</f>
        <v>10</v>
      </c>
      <c r="F51" s="6">
        <f>IFERROR(__xludf.DUMMYFUNCTION("""COMPUTED_VALUE"""),7.5)</f>
        <v>7.5</v>
      </c>
      <c r="G51" s="6">
        <f>IFERROR(__xludf.DUMMYFUNCTION("""COMPUTED_VALUE"""),15.0)</f>
        <v>15</v>
      </c>
      <c r="H51" s="4" t="str">
        <f>IFERROR(__xludf.DUMMYFUNCTION("""COMPUTED_VALUE"""),"PHB 2024")</f>
        <v>PHB 2024</v>
      </c>
      <c r="I51" s="4" t="str">
        <f>IFERROR(__xludf.DUMMYFUNCTION("""COMPUTED_VALUE"""),"x")</f>
        <v>x</v>
      </c>
      <c r="J51" s="4" t="str">
        <f>IFERROR(__xludf.DUMMYFUNCTION("""COMPUTED_VALUE"""),"x")</f>
        <v>x</v>
      </c>
      <c r="K51" s="4" t="str">
        <f>IFERROR(__xludf.DUMMYFUNCTION("""COMPUTED_VALUE"""),"x")</f>
        <v>x</v>
      </c>
      <c r="L51" s="7"/>
      <c r="M51" s="7"/>
      <c r="N51" s="7" t="str">
        <f>IFERROR(__xludf.DUMMYFUNCTION("""COMPUTED_VALUE"""),"x")</f>
        <v>x</v>
      </c>
      <c r="O51" s="4"/>
      <c r="P51" s="7"/>
      <c r="Q51" s="7" t="str">
        <f>IFERROR(__xludf.DUMMYFUNCTION("""COMPUTED_VALUE"""),"x")</f>
        <v>x</v>
      </c>
      <c r="R51" s="7"/>
      <c r="S51" s="7"/>
      <c r="T51" s="7"/>
      <c r="U51" s="7"/>
      <c r="V51" s="7"/>
      <c r="W51" s="7"/>
      <c r="X51" s="7"/>
      <c r="Y51" s="7"/>
    </row>
    <row r="52">
      <c r="A52" s="4" t="str">
        <f>IFERROR(__xludf.DUMMYFUNCTION("""COMPUTED_VALUE"""),"Tools")</f>
        <v>Tools</v>
      </c>
      <c r="B52" s="4" t="str">
        <f>IFERROR(__xludf.DUMMYFUNCTION("""COMPUTED_VALUE"""),"Artisan's Tools")</f>
        <v>Artisan's Tools</v>
      </c>
      <c r="C52" s="8" t="str">
        <f>IFERROR(__xludf.DUMMYFUNCTION("""COMPUTED_VALUE"""),"Cartographer's Tools")</f>
        <v>Cartographer's Tools</v>
      </c>
      <c r="D52" s="5">
        <f>IFERROR(__xludf.DUMMYFUNCTION("""COMPUTED_VALUE"""),6.0)</f>
        <v>6</v>
      </c>
      <c r="E52" s="6">
        <f>IFERROR(__xludf.DUMMYFUNCTION("""COMPUTED_VALUE"""),15.0)</f>
        <v>15</v>
      </c>
      <c r="F52" s="6">
        <f>IFERROR(__xludf.DUMMYFUNCTION("""COMPUTED_VALUE"""),11.25)</f>
        <v>11.25</v>
      </c>
      <c r="G52" s="6">
        <f>IFERROR(__xludf.DUMMYFUNCTION("""COMPUTED_VALUE"""),22.5)</f>
        <v>22.5</v>
      </c>
      <c r="H52" s="4" t="str">
        <f>IFERROR(__xludf.DUMMYFUNCTION("""COMPUTED_VALUE"""),"PHB 2024")</f>
        <v>PHB 2024</v>
      </c>
      <c r="I52" s="4"/>
      <c r="J52" s="4" t="str">
        <f>IFERROR(__xludf.DUMMYFUNCTION("""COMPUTED_VALUE"""),"x")</f>
        <v>x</v>
      </c>
      <c r="K52" s="4" t="str">
        <f>IFERROR(__xludf.DUMMYFUNCTION("""COMPUTED_VALUE"""),"x")</f>
        <v>x</v>
      </c>
      <c r="L52" s="7"/>
      <c r="M52" s="7"/>
      <c r="N52" s="7"/>
      <c r="O52" s="4"/>
      <c r="P52" s="7"/>
      <c r="Q52" s="7" t="str">
        <f>IFERROR(__xludf.DUMMYFUNCTION("""COMPUTED_VALUE"""),"x")</f>
        <v>x</v>
      </c>
      <c r="R52" s="7"/>
      <c r="S52" s="7"/>
      <c r="T52" s="7"/>
      <c r="U52" s="7"/>
      <c r="V52" s="7"/>
      <c r="W52" s="7"/>
      <c r="X52" s="7"/>
      <c r="Y52" s="7"/>
    </row>
    <row r="53">
      <c r="A53" s="4" t="str">
        <f>IFERROR(__xludf.DUMMYFUNCTION("""COMPUTED_VALUE"""),"Tools")</f>
        <v>Tools</v>
      </c>
      <c r="B53" s="4" t="str">
        <f>IFERROR(__xludf.DUMMYFUNCTION("""COMPUTED_VALUE"""),"Artisan's Tools")</f>
        <v>Artisan's Tools</v>
      </c>
      <c r="C53" s="8" t="str">
        <f>IFERROR(__xludf.DUMMYFUNCTION("""COMPUTED_VALUE"""),"Jeweler's Tools")</f>
        <v>Jeweler's Tools</v>
      </c>
      <c r="D53" s="5">
        <f>IFERROR(__xludf.DUMMYFUNCTION("""COMPUTED_VALUE"""),2.0)</f>
        <v>2</v>
      </c>
      <c r="E53" s="6">
        <f>IFERROR(__xludf.DUMMYFUNCTION("""COMPUTED_VALUE"""),25.0)</f>
        <v>25</v>
      </c>
      <c r="F53" s="6">
        <f>IFERROR(__xludf.DUMMYFUNCTION("""COMPUTED_VALUE"""),18.75)</f>
        <v>18.75</v>
      </c>
      <c r="G53" s="6">
        <f>IFERROR(__xludf.DUMMYFUNCTION("""COMPUTED_VALUE"""),37.5)</f>
        <v>37.5</v>
      </c>
      <c r="H53" s="4" t="str">
        <f>IFERROR(__xludf.DUMMYFUNCTION("""COMPUTED_VALUE"""),"PHB 2024")</f>
        <v>PHB 2024</v>
      </c>
      <c r="I53" s="4"/>
      <c r="J53" s="4"/>
      <c r="K53" s="4" t="str">
        <f>IFERROR(__xludf.DUMMYFUNCTION("""COMPUTED_VALUE"""),"x")</f>
        <v>x</v>
      </c>
      <c r="L53" s="4"/>
      <c r="M53" s="7"/>
      <c r="N53" s="7"/>
      <c r="O53" s="7"/>
      <c r="P53" s="7"/>
      <c r="Q53" s="4" t="str">
        <f>IFERROR(__xludf.DUMMYFUNCTION("""COMPUTED_VALUE"""),"x")</f>
        <v>x</v>
      </c>
      <c r="R53" s="7"/>
      <c r="S53" s="7" t="str">
        <f>IFERROR(__xludf.DUMMYFUNCTION("""COMPUTED_VALUE"""),"x")</f>
        <v>x</v>
      </c>
      <c r="T53" s="7"/>
      <c r="U53" s="7"/>
      <c r="V53" s="7"/>
      <c r="W53" s="7"/>
      <c r="X53" s="7"/>
      <c r="Y53" s="7"/>
    </row>
    <row r="54">
      <c r="A54" s="4" t="str">
        <f>IFERROR(__xludf.DUMMYFUNCTION("""COMPUTED_VALUE"""),"Tools")</f>
        <v>Tools</v>
      </c>
      <c r="B54" s="4" t="str">
        <f>IFERROR(__xludf.DUMMYFUNCTION("""COMPUTED_VALUE"""),"Artisan's Tools")</f>
        <v>Artisan's Tools</v>
      </c>
      <c r="C54" s="8" t="str">
        <f>IFERROR(__xludf.DUMMYFUNCTION("""COMPUTED_VALUE"""),"Tinker's Tools")</f>
        <v>Tinker's Tools</v>
      </c>
      <c r="D54" s="5">
        <f>IFERROR(__xludf.DUMMYFUNCTION("""COMPUTED_VALUE"""),10.0)</f>
        <v>10</v>
      </c>
      <c r="E54" s="6">
        <f>IFERROR(__xludf.DUMMYFUNCTION("""COMPUTED_VALUE"""),50.0)</f>
        <v>50</v>
      </c>
      <c r="F54" s="6">
        <f>IFERROR(__xludf.DUMMYFUNCTION("""COMPUTED_VALUE"""),37.5)</f>
        <v>37.5</v>
      </c>
      <c r="G54" s="6">
        <f>IFERROR(__xludf.DUMMYFUNCTION("""COMPUTED_VALUE"""),75.0)</f>
        <v>75</v>
      </c>
      <c r="H54" s="4" t="str">
        <f>IFERROR(__xludf.DUMMYFUNCTION("""COMPUTED_VALUE"""),"PHB 2024")</f>
        <v>PHB 2024</v>
      </c>
      <c r="I54" s="4"/>
      <c r="J54" s="4"/>
      <c r="K54" s="4" t="str">
        <f>IFERROR(__xludf.DUMMYFUNCTION("""COMPUTED_VALUE"""),"x")</f>
        <v>x</v>
      </c>
      <c r="L54" s="7" t="str">
        <f>IFERROR(__xludf.DUMMYFUNCTION("""COMPUTED_VALUE"""),"x")</f>
        <v>x</v>
      </c>
      <c r="M54" s="7"/>
      <c r="N54" s="7"/>
      <c r="O54" s="4"/>
      <c r="P54" s="4"/>
      <c r="Q54" s="4" t="str">
        <f>IFERROR(__xludf.DUMMYFUNCTION("""COMPUTED_VALUE"""),"x")</f>
        <v>x</v>
      </c>
      <c r="R54" s="7"/>
      <c r="S54" s="7"/>
      <c r="T54" s="7"/>
      <c r="U54" s="4"/>
      <c r="V54" s="7"/>
      <c r="W54" s="4"/>
      <c r="X54" s="7"/>
      <c r="Y54" s="7"/>
    </row>
    <row r="55">
      <c r="A55" s="4" t="str">
        <f>IFERROR(__xludf.DUMMYFUNCTION("""COMPUTED_VALUE"""),"Tools")</f>
        <v>Tools</v>
      </c>
      <c r="B55" s="4" t="str">
        <f>IFERROR(__xludf.DUMMYFUNCTION("""COMPUTED_VALUE"""),"-")</f>
        <v>-</v>
      </c>
      <c r="C55" s="8" t="str">
        <f>IFERROR(__xludf.DUMMYFUNCTION("""COMPUTED_VALUE"""),"Herbalism Kit")</f>
        <v>Herbalism Kit</v>
      </c>
      <c r="D55" s="5">
        <f>IFERROR(__xludf.DUMMYFUNCTION("""COMPUTED_VALUE"""),3.0)</f>
        <v>3</v>
      </c>
      <c r="E55" s="6">
        <f>IFERROR(__xludf.DUMMYFUNCTION("""COMPUTED_VALUE"""),5.0)</f>
        <v>5</v>
      </c>
      <c r="F55" s="6">
        <f>IFERROR(__xludf.DUMMYFUNCTION("""COMPUTED_VALUE"""),3.75)</f>
        <v>3.75</v>
      </c>
      <c r="G55" s="6">
        <f>IFERROR(__xludf.DUMMYFUNCTION("""COMPUTED_VALUE"""),7.5)</f>
        <v>7.5</v>
      </c>
      <c r="H55" s="4" t="str">
        <f>IFERROR(__xludf.DUMMYFUNCTION("""COMPUTED_VALUE"""),"PHB 2024")</f>
        <v>PHB 2024</v>
      </c>
      <c r="I55" s="4"/>
      <c r="J55" s="4" t="str">
        <f>IFERROR(__xludf.DUMMYFUNCTION("""COMPUTED_VALUE"""),"x")</f>
        <v>x</v>
      </c>
      <c r="K55" s="4" t="str">
        <f>IFERROR(__xludf.DUMMYFUNCTION("""COMPUTED_VALUE"""),"x")</f>
        <v>x</v>
      </c>
      <c r="L55" s="7"/>
      <c r="M55" s="7"/>
      <c r="N55" s="7"/>
      <c r="O55" s="4" t="str">
        <f>IFERROR(__xludf.DUMMYFUNCTION("""COMPUTED_VALUE"""),"x")</f>
        <v>x</v>
      </c>
      <c r="P55" s="4"/>
      <c r="Q55" s="4" t="str">
        <f>IFERROR(__xludf.DUMMYFUNCTION("""COMPUTED_VALUE"""),"x")</f>
        <v>x</v>
      </c>
      <c r="R55" s="7"/>
      <c r="S55" s="7"/>
      <c r="T55" s="7"/>
      <c r="U55" s="4"/>
      <c r="V55" s="7"/>
      <c r="W55" s="4"/>
      <c r="X55" s="7"/>
      <c r="Y55" s="7"/>
    </row>
    <row r="56">
      <c r="A56" s="4" t="str">
        <f>IFERROR(__xludf.DUMMYFUNCTION("""COMPUTED_VALUE"""),"Tools")</f>
        <v>Tools</v>
      </c>
      <c r="B56" s="4" t="str">
        <f>IFERROR(__xludf.DUMMYFUNCTION("""COMPUTED_VALUE"""),"-")</f>
        <v>-</v>
      </c>
      <c r="C56" s="8" t="str">
        <f>IFERROR(__xludf.DUMMYFUNCTION("""COMPUTED_VALUE"""),"Navigator's Tools")</f>
        <v>Navigator's Tools</v>
      </c>
      <c r="D56" s="5">
        <f>IFERROR(__xludf.DUMMYFUNCTION("""COMPUTED_VALUE"""),2.0)</f>
        <v>2</v>
      </c>
      <c r="E56" s="6">
        <f>IFERROR(__xludf.DUMMYFUNCTION("""COMPUTED_VALUE"""),25.0)</f>
        <v>25</v>
      </c>
      <c r="F56" s="6">
        <f>IFERROR(__xludf.DUMMYFUNCTION("""COMPUTED_VALUE"""),18.75)</f>
        <v>18.75</v>
      </c>
      <c r="G56" s="6">
        <f>IFERROR(__xludf.DUMMYFUNCTION("""COMPUTED_VALUE"""),37.5)</f>
        <v>37.5</v>
      </c>
      <c r="H56" s="4" t="str">
        <f>IFERROR(__xludf.DUMMYFUNCTION("""COMPUTED_VALUE"""),"PHB 2024")</f>
        <v>PHB 2024</v>
      </c>
      <c r="I56" s="4" t="str">
        <f>IFERROR(__xludf.DUMMYFUNCTION("""COMPUTED_VALUE"""),"x")</f>
        <v>x</v>
      </c>
      <c r="J56" s="4" t="str">
        <f>IFERROR(__xludf.DUMMYFUNCTION("""COMPUTED_VALUE"""),"x")</f>
        <v>x</v>
      </c>
      <c r="K56" s="4" t="str">
        <f>IFERROR(__xludf.DUMMYFUNCTION("""COMPUTED_VALUE"""),"x")</f>
        <v>x</v>
      </c>
      <c r="L56" s="7"/>
      <c r="M56" s="7"/>
      <c r="N56" s="7"/>
      <c r="O56" s="7"/>
      <c r="P56" s="4"/>
      <c r="Q56" s="4" t="str">
        <f>IFERROR(__xludf.DUMMYFUNCTION("""COMPUTED_VALUE"""),"x")</f>
        <v>x</v>
      </c>
      <c r="R56" s="7"/>
      <c r="S56" s="7"/>
      <c r="T56" s="7"/>
      <c r="U56" s="7"/>
      <c r="V56" s="7"/>
      <c r="W56" s="7"/>
      <c r="X56" s="7"/>
      <c r="Y56" s="7"/>
    </row>
    <row r="57">
      <c r="A57" s="4" t="str">
        <f>IFERROR(__xludf.DUMMYFUNCTION("""COMPUTED_VALUE"""),"Weapons")</f>
        <v>Weapons</v>
      </c>
      <c r="B57" s="4" t="str">
        <f>IFERROR(__xludf.DUMMYFUNCTION("""COMPUTED_VALUE"""),"Simple Melee Weapons")</f>
        <v>Simple Melee Weapons</v>
      </c>
      <c r="C57" s="8" t="str">
        <f>IFERROR(__xludf.DUMMYFUNCTION("""COMPUTED_VALUE"""),"Club")</f>
        <v>Club</v>
      </c>
      <c r="D57" s="5">
        <f>IFERROR(__xludf.DUMMYFUNCTION("""COMPUTED_VALUE"""),2.0)</f>
        <v>2</v>
      </c>
      <c r="E57" s="6">
        <f>IFERROR(__xludf.DUMMYFUNCTION("""COMPUTED_VALUE"""),0.1)</f>
        <v>0.1</v>
      </c>
      <c r="F57" s="6">
        <f>IFERROR(__xludf.DUMMYFUNCTION("""COMPUTED_VALUE"""),0.07500000000000001)</f>
        <v>0.075</v>
      </c>
      <c r="G57" s="6">
        <f>IFERROR(__xludf.DUMMYFUNCTION("""COMPUTED_VALUE"""),0.15000000000000002)</f>
        <v>0.15</v>
      </c>
      <c r="H57" s="4" t="str">
        <f>IFERROR(__xludf.DUMMYFUNCTION("""COMPUTED_VALUE"""),"PHB 2024")</f>
        <v>PHB 2024</v>
      </c>
      <c r="I57" s="4" t="str">
        <f>IFERROR(__xludf.DUMMYFUNCTION("""COMPUTED_VALUE"""),"x")</f>
        <v>x</v>
      </c>
      <c r="J57" s="4"/>
      <c r="K57" s="4"/>
      <c r="L57" s="7"/>
      <c r="M57" s="7"/>
      <c r="N57" s="7"/>
      <c r="O57" s="7"/>
      <c r="P57" s="4"/>
      <c r="Q57" s="4" t="str">
        <f>IFERROR(__xludf.DUMMYFUNCTION("""COMPUTED_VALUE"""),"x")</f>
        <v>x</v>
      </c>
      <c r="R57" s="7"/>
      <c r="S57" s="7"/>
      <c r="T57" s="7"/>
      <c r="U57" s="7"/>
      <c r="V57" s="7"/>
      <c r="W57" s="7"/>
      <c r="X57" s="7"/>
      <c r="Y57" s="7"/>
    </row>
    <row r="58">
      <c r="A58" s="4" t="str">
        <f>IFERROR(__xludf.DUMMYFUNCTION("""COMPUTED_VALUE"""),"Weapons")</f>
        <v>Weapons</v>
      </c>
      <c r="B58" s="4" t="str">
        <f>IFERROR(__xludf.DUMMYFUNCTION("""COMPUTED_VALUE"""),"Simple Melee Weapons")</f>
        <v>Simple Melee Weapons</v>
      </c>
      <c r="C58" s="8" t="str">
        <f>IFERROR(__xludf.DUMMYFUNCTION("""COMPUTED_VALUE"""),"Dagger")</f>
        <v>Dagger</v>
      </c>
      <c r="D58" s="5">
        <f>IFERROR(__xludf.DUMMYFUNCTION("""COMPUTED_VALUE"""),1.0)</f>
        <v>1</v>
      </c>
      <c r="E58" s="6">
        <f>IFERROR(__xludf.DUMMYFUNCTION("""COMPUTED_VALUE"""),2.0)</f>
        <v>2</v>
      </c>
      <c r="F58" s="6">
        <f>IFERROR(__xludf.DUMMYFUNCTION("""COMPUTED_VALUE"""),1.5)</f>
        <v>1.5</v>
      </c>
      <c r="G58" s="6">
        <f>IFERROR(__xludf.DUMMYFUNCTION("""COMPUTED_VALUE"""),3.0)</f>
        <v>3</v>
      </c>
      <c r="H58" s="4" t="str">
        <f>IFERROR(__xludf.DUMMYFUNCTION("""COMPUTED_VALUE"""),"PHB 2024")</f>
        <v>PHB 2024</v>
      </c>
      <c r="I58" s="4" t="str">
        <f>IFERROR(__xludf.DUMMYFUNCTION("""COMPUTED_VALUE"""),"x")</f>
        <v>x</v>
      </c>
      <c r="J58" s="4" t="str">
        <f>IFERROR(__xludf.DUMMYFUNCTION("""COMPUTED_VALUE"""),"x")</f>
        <v>x</v>
      </c>
      <c r="K58" s="4" t="str">
        <f>IFERROR(__xludf.DUMMYFUNCTION("""COMPUTED_VALUE"""),"x")</f>
        <v>x</v>
      </c>
      <c r="L58" s="4" t="str">
        <f>IFERROR(__xludf.DUMMYFUNCTION("""COMPUTED_VALUE"""),"x")</f>
        <v>x</v>
      </c>
      <c r="M58" s="7"/>
      <c r="N58" s="7"/>
      <c r="O58" s="4"/>
      <c r="P58" s="4"/>
      <c r="Q58" s="7" t="str">
        <f>IFERROR(__xludf.DUMMYFUNCTION("""COMPUTED_VALUE"""),"x")</f>
        <v>x</v>
      </c>
      <c r="R58" s="7"/>
      <c r="S58" s="7"/>
      <c r="T58" s="7"/>
      <c r="U58" s="7"/>
      <c r="V58" s="7"/>
      <c r="W58" s="7" t="str">
        <f>IFERROR(__xludf.DUMMYFUNCTION("""COMPUTED_VALUE"""),"x")</f>
        <v>x</v>
      </c>
      <c r="X58" s="7"/>
      <c r="Y58" s="7"/>
    </row>
    <row r="59">
      <c r="A59" s="4" t="str">
        <f>IFERROR(__xludf.DUMMYFUNCTION("""COMPUTED_VALUE"""),"Weapons")</f>
        <v>Weapons</v>
      </c>
      <c r="B59" s="4" t="str">
        <f>IFERROR(__xludf.DUMMYFUNCTION("""COMPUTED_VALUE"""),"Simple Melee Weapons")</f>
        <v>Simple Melee Weapons</v>
      </c>
      <c r="C59" s="8" t="str">
        <f>IFERROR(__xludf.DUMMYFUNCTION("""COMPUTED_VALUE"""),"Greatclub")</f>
        <v>Greatclub</v>
      </c>
      <c r="D59" s="5">
        <f>IFERROR(__xludf.DUMMYFUNCTION("""COMPUTED_VALUE"""),10.0)</f>
        <v>10</v>
      </c>
      <c r="E59" s="6">
        <f>IFERROR(__xludf.DUMMYFUNCTION("""COMPUTED_VALUE"""),0.2)</f>
        <v>0.2</v>
      </c>
      <c r="F59" s="6">
        <f>IFERROR(__xludf.DUMMYFUNCTION("""COMPUTED_VALUE"""),0.15000000000000002)</f>
        <v>0.15</v>
      </c>
      <c r="G59" s="6">
        <f>IFERROR(__xludf.DUMMYFUNCTION("""COMPUTED_VALUE"""),0.30000000000000004)</f>
        <v>0.3</v>
      </c>
      <c r="H59" s="4" t="str">
        <f>IFERROR(__xludf.DUMMYFUNCTION("""COMPUTED_VALUE"""),"PHB 2024")</f>
        <v>PHB 2024</v>
      </c>
      <c r="I59" s="4"/>
      <c r="J59" s="4" t="str">
        <f>IFERROR(__xludf.DUMMYFUNCTION("""COMPUTED_VALUE"""),"x")</f>
        <v>x</v>
      </c>
      <c r="K59" s="4" t="str">
        <f>IFERROR(__xludf.DUMMYFUNCTION("""COMPUTED_VALUE"""),"x")</f>
        <v>x</v>
      </c>
      <c r="L59" s="4"/>
      <c r="M59" s="7"/>
      <c r="N59" s="7"/>
      <c r="O59" s="7"/>
      <c r="P59" s="7"/>
      <c r="Q59" s="4" t="str">
        <f>IFERROR(__xludf.DUMMYFUNCTION("""COMPUTED_VALUE"""),"x")</f>
        <v>x</v>
      </c>
      <c r="R59" s="7"/>
      <c r="S59" s="7"/>
      <c r="T59" s="7"/>
      <c r="U59" s="7"/>
      <c r="V59" s="7"/>
      <c r="W59" s="4"/>
      <c r="X59" s="7"/>
      <c r="Y59" s="7"/>
    </row>
    <row r="60">
      <c r="A60" s="4" t="str">
        <f>IFERROR(__xludf.DUMMYFUNCTION("""COMPUTED_VALUE"""),"Weapons")</f>
        <v>Weapons</v>
      </c>
      <c r="B60" s="4" t="str">
        <f>IFERROR(__xludf.DUMMYFUNCTION("""COMPUTED_VALUE"""),"Simple Melee Weapons")</f>
        <v>Simple Melee Weapons</v>
      </c>
      <c r="C60" s="8" t="str">
        <f>IFERROR(__xludf.DUMMYFUNCTION("""COMPUTED_VALUE"""),"Handaxe")</f>
        <v>Handaxe</v>
      </c>
      <c r="D60" s="5">
        <f>IFERROR(__xludf.DUMMYFUNCTION("""COMPUTED_VALUE"""),2.0)</f>
        <v>2</v>
      </c>
      <c r="E60" s="6">
        <f>IFERROR(__xludf.DUMMYFUNCTION("""COMPUTED_VALUE"""),5.0)</f>
        <v>5</v>
      </c>
      <c r="F60" s="6">
        <f>IFERROR(__xludf.DUMMYFUNCTION("""COMPUTED_VALUE"""),3.75)</f>
        <v>3.75</v>
      </c>
      <c r="G60" s="6">
        <f>IFERROR(__xludf.DUMMYFUNCTION("""COMPUTED_VALUE"""),7.5)</f>
        <v>7.5</v>
      </c>
      <c r="H60" s="4" t="str">
        <f>IFERROR(__xludf.DUMMYFUNCTION("""COMPUTED_VALUE"""),"PHB 2024")</f>
        <v>PHB 2024</v>
      </c>
      <c r="I60" s="4" t="str">
        <f>IFERROR(__xludf.DUMMYFUNCTION("""COMPUTED_VALUE"""),"x")</f>
        <v>x</v>
      </c>
      <c r="J60" s="4" t="str">
        <f>IFERROR(__xludf.DUMMYFUNCTION("""COMPUTED_VALUE"""),"x")</f>
        <v>x</v>
      </c>
      <c r="K60" s="4" t="str">
        <f>IFERROR(__xludf.DUMMYFUNCTION("""COMPUTED_VALUE"""),"x")</f>
        <v>x</v>
      </c>
      <c r="L60" s="4" t="str">
        <f>IFERROR(__xludf.DUMMYFUNCTION("""COMPUTED_VALUE"""),"x")</f>
        <v>x</v>
      </c>
      <c r="M60" s="7"/>
      <c r="N60" s="7"/>
      <c r="O60" s="4"/>
      <c r="P60" s="4"/>
      <c r="Q60" s="4" t="str">
        <f>IFERROR(__xludf.DUMMYFUNCTION("""COMPUTED_VALUE"""),"x")</f>
        <v>x</v>
      </c>
      <c r="R60" s="7"/>
      <c r="S60" s="7"/>
      <c r="T60" s="7"/>
      <c r="U60" s="7"/>
      <c r="V60" s="7"/>
      <c r="W60" s="7"/>
      <c r="X60" s="7"/>
      <c r="Y60" s="7"/>
    </row>
    <row r="61">
      <c r="A61" s="4" t="str">
        <f>IFERROR(__xludf.DUMMYFUNCTION("""COMPUTED_VALUE"""),"Weapons")</f>
        <v>Weapons</v>
      </c>
      <c r="B61" s="4" t="str">
        <f>IFERROR(__xludf.DUMMYFUNCTION("""COMPUTED_VALUE"""),"Simple Melee Weapons")</f>
        <v>Simple Melee Weapons</v>
      </c>
      <c r="C61" s="8" t="str">
        <f>IFERROR(__xludf.DUMMYFUNCTION("""COMPUTED_VALUE"""),"Light Hammer")</f>
        <v>Light Hammer</v>
      </c>
      <c r="D61" s="5">
        <f>IFERROR(__xludf.DUMMYFUNCTION("""COMPUTED_VALUE"""),2.0)</f>
        <v>2</v>
      </c>
      <c r="E61" s="6">
        <f>IFERROR(__xludf.DUMMYFUNCTION("""COMPUTED_VALUE"""),2.0)</f>
        <v>2</v>
      </c>
      <c r="F61" s="6">
        <f>IFERROR(__xludf.DUMMYFUNCTION("""COMPUTED_VALUE"""),1.5)</f>
        <v>1.5</v>
      </c>
      <c r="G61" s="6">
        <f>IFERROR(__xludf.DUMMYFUNCTION("""COMPUTED_VALUE"""),3.0)</f>
        <v>3</v>
      </c>
      <c r="H61" s="4" t="str">
        <f>IFERROR(__xludf.DUMMYFUNCTION("""COMPUTED_VALUE"""),"PHB 2024")</f>
        <v>PHB 2024</v>
      </c>
      <c r="I61" s="4"/>
      <c r="J61" s="4" t="str">
        <f>IFERROR(__xludf.DUMMYFUNCTION("""COMPUTED_VALUE"""),"x")</f>
        <v>x</v>
      </c>
      <c r="K61" s="4" t="str">
        <f>IFERROR(__xludf.DUMMYFUNCTION("""COMPUTED_VALUE"""),"x")</f>
        <v>x</v>
      </c>
      <c r="L61" s="4" t="str">
        <f>IFERROR(__xludf.DUMMYFUNCTION("""COMPUTED_VALUE"""),"x")</f>
        <v>x</v>
      </c>
      <c r="M61" s="7"/>
      <c r="N61" s="7"/>
      <c r="O61" s="7"/>
      <c r="P61" s="4"/>
      <c r="Q61" s="4" t="str">
        <f>IFERROR(__xludf.DUMMYFUNCTION("""COMPUTED_VALUE"""),"x")</f>
        <v>x</v>
      </c>
      <c r="R61" s="7"/>
      <c r="S61" s="7"/>
      <c r="T61" s="7"/>
      <c r="U61" s="7"/>
      <c r="V61" s="7"/>
      <c r="W61" s="4"/>
      <c r="X61" s="7"/>
      <c r="Y61" s="7"/>
    </row>
    <row r="62">
      <c r="A62" s="4" t="str">
        <f>IFERROR(__xludf.DUMMYFUNCTION("""COMPUTED_VALUE"""),"Weapons")</f>
        <v>Weapons</v>
      </c>
      <c r="B62" s="4" t="str">
        <f>IFERROR(__xludf.DUMMYFUNCTION("""COMPUTED_VALUE"""),"Simple Melee Weapons")</f>
        <v>Simple Melee Weapons</v>
      </c>
      <c r="C62" s="8" t="str">
        <f>IFERROR(__xludf.DUMMYFUNCTION("""COMPUTED_VALUE"""),"Quarterstaff")</f>
        <v>Quarterstaff</v>
      </c>
      <c r="D62" s="5">
        <f>IFERROR(__xludf.DUMMYFUNCTION("""COMPUTED_VALUE"""),4.0)</f>
        <v>4</v>
      </c>
      <c r="E62" s="6">
        <f>IFERROR(__xludf.DUMMYFUNCTION("""COMPUTED_VALUE"""),0.2)</f>
        <v>0.2</v>
      </c>
      <c r="F62" s="6">
        <f>IFERROR(__xludf.DUMMYFUNCTION("""COMPUTED_VALUE"""),0.15000000000000002)</f>
        <v>0.15</v>
      </c>
      <c r="G62" s="6">
        <f>IFERROR(__xludf.DUMMYFUNCTION("""COMPUTED_VALUE"""),0.30000000000000004)</f>
        <v>0.3</v>
      </c>
      <c r="H62" s="4" t="str">
        <f>IFERROR(__xludf.DUMMYFUNCTION("""COMPUTED_VALUE"""),"PHB 2024")</f>
        <v>PHB 2024</v>
      </c>
      <c r="I62" s="4" t="str">
        <f>IFERROR(__xludf.DUMMYFUNCTION("""COMPUTED_VALUE"""),"x")</f>
        <v>x</v>
      </c>
      <c r="J62" s="4" t="str">
        <f>IFERROR(__xludf.DUMMYFUNCTION("""COMPUTED_VALUE"""),"x")</f>
        <v>x</v>
      </c>
      <c r="K62" s="4" t="str">
        <f>IFERROR(__xludf.DUMMYFUNCTION("""COMPUTED_VALUE"""),"x")</f>
        <v>x</v>
      </c>
      <c r="L62" s="7"/>
      <c r="M62" s="7"/>
      <c r="N62" s="7"/>
      <c r="O62" s="4"/>
      <c r="P62" s="7"/>
      <c r="Q62" s="7" t="str">
        <f>IFERROR(__xludf.DUMMYFUNCTION("""COMPUTED_VALUE"""),"x")</f>
        <v>x</v>
      </c>
      <c r="R62" s="7"/>
      <c r="S62" s="4"/>
      <c r="T62" s="7"/>
      <c r="U62" s="7" t="str">
        <f>IFERROR(__xludf.DUMMYFUNCTION("""COMPUTED_VALUE"""),"x")</f>
        <v>x</v>
      </c>
      <c r="V62" s="7"/>
      <c r="W62" s="7"/>
      <c r="X62" s="7"/>
      <c r="Y62" s="7"/>
    </row>
    <row r="63">
      <c r="A63" s="4" t="str">
        <f>IFERROR(__xludf.DUMMYFUNCTION("""COMPUTED_VALUE"""),"Weapons")</f>
        <v>Weapons</v>
      </c>
      <c r="B63" s="4" t="str">
        <f>IFERROR(__xludf.DUMMYFUNCTION("""COMPUTED_VALUE"""),"Simple Ranged Weapons")</f>
        <v>Simple Ranged Weapons</v>
      </c>
      <c r="C63" s="8" t="str">
        <f>IFERROR(__xludf.DUMMYFUNCTION("""COMPUTED_VALUE"""),"Dart")</f>
        <v>Dart</v>
      </c>
      <c r="D63" s="5">
        <f>IFERROR(__xludf.DUMMYFUNCTION("""COMPUTED_VALUE"""),0.25)</f>
        <v>0.25</v>
      </c>
      <c r="E63" s="6">
        <f>IFERROR(__xludf.DUMMYFUNCTION("""COMPUTED_VALUE"""),5.0)</f>
        <v>5</v>
      </c>
      <c r="F63" s="6">
        <f>IFERROR(__xludf.DUMMYFUNCTION("""COMPUTED_VALUE"""),3.75)</f>
        <v>3.75</v>
      </c>
      <c r="G63" s="6">
        <f>IFERROR(__xludf.DUMMYFUNCTION("""COMPUTED_VALUE"""),7.5)</f>
        <v>7.5</v>
      </c>
      <c r="H63" s="4" t="str">
        <f>IFERROR(__xludf.DUMMYFUNCTION("""COMPUTED_VALUE"""),"PHB 2024")</f>
        <v>PHB 2024</v>
      </c>
      <c r="I63" s="4" t="str">
        <f>IFERROR(__xludf.DUMMYFUNCTION("""COMPUTED_VALUE"""),"x")</f>
        <v>x</v>
      </c>
      <c r="J63" s="4" t="str">
        <f>IFERROR(__xludf.DUMMYFUNCTION("""COMPUTED_VALUE"""),"x")</f>
        <v>x</v>
      </c>
      <c r="K63" s="4" t="str">
        <f>IFERROR(__xludf.DUMMYFUNCTION("""COMPUTED_VALUE"""),"x")</f>
        <v>x</v>
      </c>
      <c r="L63" s="4"/>
      <c r="M63" s="7"/>
      <c r="N63" s="7"/>
      <c r="O63" s="7"/>
      <c r="P63" s="7"/>
      <c r="Q63" s="7" t="str">
        <f>IFERROR(__xludf.DUMMYFUNCTION("""COMPUTED_VALUE"""),"x")</f>
        <v>x</v>
      </c>
      <c r="R63" s="7"/>
      <c r="S63" s="7"/>
      <c r="T63" s="7"/>
      <c r="U63" s="7"/>
      <c r="V63" s="7"/>
      <c r="W63" s="4" t="str">
        <f>IFERROR(__xludf.DUMMYFUNCTION("""COMPUTED_VALUE"""),"x")</f>
        <v>x</v>
      </c>
      <c r="X63" s="7"/>
      <c r="Y63" s="7"/>
    </row>
    <row r="64">
      <c r="A64" s="4" t="str">
        <f>IFERROR(__xludf.DUMMYFUNCTION("""COMPUTED_VALUE"""),"Weapons")</f>
        <v>Weapons</v>
      </c>
      <c r="B64" s="4" t="str">
        <f>IFERROR(__xludf.DUMMYFUNCTION("""COMPUTED_VALUE"""),"Simple Ranged Weapons")</f>
        <v>Simple Ranged Weapons</v>
      </c>
      <c r="C64" s="8" t="str">
        <f>IFERROR(__xludf.DUMMYFUNCTION("""COMPUTED_VALUE"""),"Crossbow, Light")</f>
        <v>Crossbow, Light</v>
      </c>
      <c r="D64" s="5">
        <f>IFERROR(__xludf.DUMMYFUNCTION("""COMPUTED_VALUE"""),5.0)</f>
        <v>5</v>
      </c>
      <c r="E64" s="6">
        <f>IFERROR(__xludf.DUMMYFUNCTION("""COMPUTED_VALUE"""),25.0)</f>
        <v>25</v>
      </c>
      <c r="F64" s="6">
        <f>IFERROR(__xludf.DUMMYFUNCTION("""COMPUTED_VALUE"""),18.75)</f>
        <v>18.75</v>
      </c>
      <c r="G64" s="6">
        <f>IFERROR(__xludf.DUMMYFUNCTION("""COMPUTED_VALUE"""),37.5)</f>
        <v>37.5</v>
      </c>
      <c r="H64" s="4" t="str">
        <f>IFERROR(__xludf.DUMMYFUNCTION("""COMPUTED_VALUE"""),"PHB 2024")</f>
        <v>PHB 2024</v>
      </c>
      <c r="I64" s="4" t="str">
        <f>IFERROR(__xludf.DUMMYFUNCTION("""COMPUTED_VALUE"""),"x")</f>
        <v>x</v>
      </c>
      <c r="J64" s="4" t="str">
        <f>IFERROR(__xludf.DUMMYFUNCTION("""COMPUTED_VALUE"""),"x")</f>
        <v>x</v>
      </c>
      <c r="K64" s="4" t="str">
        <f>IFERROR(__xludf.DUMMYFUNCTION("""COMPUTED_VALUE"""),"x")</f>
        <v>x</v>
      </c>
      <c r="L64" s="7"/>
      <c r="M64" s="7" t="str">
        <f>IFERROR(__xludf.DUMMYFUNCTION("""COMPUTED_VALUE"""),"x")</f>
        <v>x</v>
      </c>
      <c r="N64" s="7"/>
      <c r="O64" s="7"/>
      <c r="P64" s="7"/>
      <c r="Q64" s="7" t="str">
        <f>IFERROR(__xludf.DUMMYFUNCTION("""COMPUTED_VALUE"""),"x")</f>
        <v>x</v>
      </c>
      <c r="R64" s="7"/>
      <c r="S64" s="7"/>
      <c r="T64" s="7"/>
      <c r="U64" s="7"/>
      <c r="V64" s="7"/>
      <c r="W64" s="7" t="str">
        <f>IFERROR(__xludf.DUMMYFUNCTION("""COMPUTED_VALUE"""),"x")</f>
        <v>x</v>
      </c>
      <c r="X64" s="7"/>
      <c r="Y64" s="7"/>
    </row>
    <row r="65">
      <c r="A65" s="4" t="str">
        <f>IFERROR(__xludf.DUMMYFUNCTION("""COMPUTED_VALUE"""),"Weapons")</f>
        <v>Weapons</v>
      </c>
      <c r="B65" s="4" t="str">
        <f>IFERROR(__xludf.DUMMYFUNCTION("""COMPUTED_VALUE"""),"Simple Ranged Weapons")</f>
        <v>Simple Ranged Weapons</v>
      </c>
      <c r="C65" s="8" t="str">
        <f>IFERROR(__xludf.DUMMYFUNCTION("""COMPUTED_VALUE"""),"Shortbow")</f>
        <v>Shortbow</v>
      </c>
      <c r="D65" s="5">
        <f>IFERROR(__xludf.DUMMYFUNCTION("""COMPUTED_VALUE"""),2.0)</f>
        <v>2</v>
      </c>
      <c r="E65" s="6">
        <f>IFERROR(__xludf.DUMMYFUNCTION("""COMPUTED_VALUE"""),25.0)</f>
        <v>25</v>
      </c>
      <c r="F65" s="6">
        <f>IFERROR(__xludf.DUMMYFUNCTION("""COMPUTED_VALUE"""),18.75)</f>
        <v>18.75</v>
      </c>
      <c r="G65" s="6">
        <f>IFERROR(__xludf.DUMMYFUNCTION("""COMPUTED_VALUE"""),37.5)</f>
        <v>37.5</v>
      </c>
      <c r="H65" s="4" t="str">
        <f>IFERROR(__xludf.DUMMYFUNCTION("""COMPUTED_VALUE"""),"PHB 2024")</f>
        <v>PHB 2024</v>
      </c>
      <c r="I65" s="4" t="str">
        <f>IFERROR(__xludf.DUMMYFUNCTION("""COMPUTED_VALUE"""),"x")</f>
        <v>x</v>
      </c>
      <c r="J65" s="4" t="str">
        <f>IFERROR(__xludf.DUMMYFUNCTION("""COMPUTED_VALUE"""),"x")</f>
        <v>x</v>
      </c>
      <c r="K65" s="4" t="str">
        <f>IFERROR(__xludf.DUMMYFUNCTION("""COMPUTED_VALUE"""),"x")</f>
        <v>x</v>
      </c>
      <c r="L65" s="4"/>
      <c r="M65" s="7" t="str">
        <f>IFERROR(__xludf.DUMMYFUNCTION("""COMPUTED_VALUE"""),"x")</f>
        <v>x</v>
      </c>
      <c r="N65" s="7"/>
      <c r="O65" s="7"/>
      <c r="P65" s="4"/>
      <c r="Q65" s="4" t="str">
        <f>IFERROR(__xludf.DUMMYFUNCTION("""COMPUTED_VALUE"""),"x")</f>
        <v>x</v>
      </c>
      <c r="R65" s="7"/>
      <c r="S65" s="7"/>
      <c r="T65" s="7"/>
      <c r="U65" s="7"/>
      <c r="V65" s="7"/>
      <c r="W65" s="7" t="str">
        <f>IFERROR(__xludf.DUMMYFUNCTION("""COMPUTED_VALUE"""),"x")</f>
        <v>x</v>
      </c>
      <c r="X65" s="7"/>
      <c r="Y65" s="7"/>
    </row>
    <row r="66">
      <c r="A66" s="4" t="str">
        <f>IFERROR(__xludf.DUMMYFUNCTION("""COMPUTED_VALUE"""),"Weapons")</f>
        <v>Weapons</v>
      </c>
      <c r="B66" s="4" t="str">
        <f>IFERROR(__xludf.DUMMYFUNCTION("""COMPUTED_VALUE"""),"Simple Ranged Weapons")</f>
        <v>Simple Ranged Weapons</v>
      </c>
      <c r="C66" s="8" t="str">
        <f>IFERROR(__xludf.DUMMYFUNCTION("""COMPUTED_VALUE"""),"Sling")</f>
        <v>Sling</v>
      </c>
      <c r="D66" s="5" t="str">
        <f>IFERROR(__xludf.DUMMYFUNCTION("""COMPUTED_VALUE"""),"-")</f>
        <v>-</v>
      </c>
      <c r="E66" s="6">
        <f>IFERROR(__xludf.DUMMYFUNCTION("""COMPUTED_VALUE"""),0.1)</f>
        <v>0.1</v>
      </c>
      <c r="F66" s="6">
        <f>IFERROR(__xludf.DUMMYFUNCTION("""COMPUTED_VALUE"""),0.07500000000000001)</f>
        <v>0.075</v>
      </c>
      <c r="G66" s="6">
        <f>IFERROR(__xludf.DUMMYFUNCTION("""COMPUTED_VALUE"""),0.15000000000000002)</f>
        <v>0.15</v>
      </c>
      <c r="H66" s="4" t="str">
        <f>IFERROR(__xludf.DUMMYFUNCTION("""COMPUTED_VALUE"""),"PHB 2024")</f>
        <v>PHB 2024</v>
      </c>
      <c r="I66" s="4" t="str">
        <f>IFERROR(__xludf.DUMMYFUNCTION("""COMPUTED_VALUE"""),"x")</f>
        <v>x</v>
      </c>
      <c r="J66" s="4" t="str">
        <f>IFERROR(__xludf.DUMMYFUNCTION("""COMPUTED_VALUE"""),"x")</f>
        <v>x</v>
      </c>
      <c r="K66" s="4" t="str">
        <f>IFERROR(__xludf.DUMMYFUNCTION("""COMPUTED_VALUE"""),"x")</f>
        <v>x</v>
      </c>
      <c r="L66" s="7"/>
      <c r="M66" s="7"/>
      <c r="N66" s="7" t="str">
        <f>IFERROR(__xludf.DUMMYFUNCTION("""COMPUTED_VALUE"""),"x")</f>
        <v>x</v>
      </c>
      <c r="O66" s="7"/>
      <c r="P66" s="4"/>
      <c r="Q66" s="7" t="str">
        <f>IFERROR(__xludf.DUMMYFUNCTION("""COMPUTED_VALUE"""),"x")</f>
        <v>x</v>
      </c>
      <c r="R66" s="7"/>
      <c r="S66" s="7"/>
      <c r="T66" s="7"/>
      <c r="U66" s="7"/>
      <c r="V66" s="7"/>
      <c r="W66" s="7"/>
      <c r="X66" s="7"/>
      <c r="Y66" s="7"/>
    </row>
    <row r="67">
      <c r="A67" s="4" t="str">
        <f>IFERROR(__xludf.DUMMYFUNCTION("""COMPUTED_VALUE"""),"Weapons")</f>
        <v>Weapons</v>
      </c>
      <c r="B67" s="4" t="str">
        <f>IFERROR(__xludf.DUMMYFUNCTION("""COMPUTED_VALUE"""),"Martial Melee Weapons")</f>
        <v>Martial Melee Weapons</v>
      </c>
      <c r="C67" s="8" t="str">
        <f>IFERROR(__xludf.DUMMYFUNCTION("""COMPUTED_VALUE"""),"Whip")</f>
        <v>Whip</v>
      </c>
      <c r="D67" s="5">
        <f>IFERROR(__xludf.DUMMYFUNCTION("""COMPUTED_VALUE"""),3.0)</f>
        <v>3</v>
      </c>
      <c r="E67" s="6">
        <f>IFERROR(__xludf.DUMMYFUNCTION("""COMPUTED_VALUE"""),2.0)</f>
        <v>2</v>
      </c>
      <c r="F67" s="6">
        <f>IFERROR(__xludf.DUMMYFUNCTION("""COMPUTED_VALUE"""),1.5)</f>
        <v>1.5</v>
      </c>
      <c r="G67" s="6">
        <f>IFERROR(__xludf.DUMMYFUNCTION("""COMPUTED_VALUE"""),3.0)</f>
        <v>3</v>
      </c>
      <c r="H67" s="4" t="str">
        <f>IFERROR(__xludf.DUMMYFUNCTION("""COMPUTED_VALUE"""),"PHB 2024")</f>
        <v>PHB 2024</v>
      </c>
      <c r="I67" s="4" t="str">
        <f>IFERROR(__xludf.DUMMYFUNCTION("""COMPUTED_VALUE"""),"x")</f>
        <v>x</v>
      </c>
      <c r="J67" s="4" t="str">
        <f>IFERROR(__xludf.DUMMYFUNCTION("""COMPUTED_VALUE"""),"x")</f>
        <v>x</v>
      </c>
      <c r="K67" s="4" t="str">
        <f>IFERROR(__xludf.DUMMYFUNCTION("""COMPUTED_VALUE"""),"x")</f>
        <v>x</v>
      </c>
      <c r="L67" s="7"/>
      <c r="M67" s="7"/>
      <c r="N67" s="7"/>
      <c r="O67" s="4"/>
      <c r="P67" s="7"/>
      <c r="Q67" s="7" t="str">
        <f>IFERROR(__xludf.DUMMYFUNCTION("""COMPUTED_VALUE"""),"x")</f>
        <v>x</v>
      </c>
      <c r="R67" s="7"/>
      <c r="S67" s="7"/>
      <c r="T67" s="4"/>
      <c r="U67" s="7"/>
      <c r="V67" s="7"/>
      <c r="W67" s="4"/>
      <c r="X67" s="7"/>
      <c r="Y67" s="7"/>
    </row>
    <row r="68">
      <c r="A68" s="4" t="str">
        <f>IFERROR(__xludf.DUMMYFUNCTION("""COMPUTED_VALUE"""),"Weapons")</f>
        <v>Weapons</v>
      </c>
      <c r="B68" s="4" t="str">
        <f>IFERROR(__xludf.DUMMYFUNCTION("""COMPUTED_VALUE"""),"Martial Ranged Weapons")</f>
        <v>Martial Ranged Weapons</v>
      </c>
      <c r="C68" s="8" t="str">
        <f>IFERROR(__xludf.DUMMYFUNCTION("""COMPUTED_VALUE"""),"Blowgun")</f>
        <v>Blowgun</v>
      </c>
      <c r="D68" s="5">
        <f>IFERROR(__xludf.DUMMYFUNCTION("""COMPUTED_VALUE"""),1.0)</f>
        <v>1</v>
      </c>
      <c r="E68" s="6">
        <f>IFERROR(__xludf.DUMMYFUNCTION("""COMPUTED_VALUE"""),10.0)</f>
        <v>10</v>
      </c>
      <c r="F68" s="6">
        <f>IFERROR(__xludf.DUMMYFUNCTION("""COMPUTED_VALUE"""),7.5)</f>
        <v>7.5</v>
      </c>
      <c r="G68" s="6">
        <f>IFERROR(__xludf.DUMMYFUNCTION("""COMPUTED_VALUE"""),15.0)</f>
        <v>15</v>
      </c>
      <c r="H68" s="4" t="str">
        <f>IFERROR(__xludf.DUMMYFUNCTION("""COMPUTED_VALUE"""),"PHB 2024")</f>
        <v>PHB 2024</v>
      </c>
      <c r="I68" s="4" t="str">
        <f>IFERROR(__xludf.DUMMYFUNCTION("""COMPUTED_VALUE"""),"x")</f>
        <v>x</v>
      </c>
      <c r="J68" s="4"/>
      <c r="K68" s="4"/>
      <c r="L68" s="7"/>
      <c r="M68" s="7"/>
      <c r="N68" s="7"/>
      <c r="O68" s="4"/>
      <c r="P68" s="4"/>
      <c r="Q68" s="4" t="str">
        <f>IFERROR(__xludf.DUMMYFUNCTION("""COMPUTED_VALUE"""),"x")</f>
        <v>x</v>
      </c>
      <c r="R68" s="7"/>
      <c r="S68" s="7"/>
      <c r="T68" s="7"/>
      <c r="U68" s="4"/>
      <c r="V68" s="7"/>
      <c r="W68" s="7" t="str">
        <f>IFERROR(__xludf.DUMMYFUNCTION("""COMPUTED_VALUE"""),"x")</f>
        <v>x</v>
      </c>
      <c r="X68" s="7"/>
      <c r="Y68" s="7"/>
    </row>
    <row r="69">
      <c r="A69" s="4" t="str">
        <f>IFERROR(__xludf.DUMMYFUNCTION("""COMPUTED_VALUE"""),"Weapons")</f>
        <v>Weapons</v>
      </c>
      <c r="B69" s="4" t="str">
        <f>IFERROR(__xludf.DUMMYFUNCTION("""COMPUTED_VALUE"""),"Martial Ranged Weapons")</f>
        <v>Martial Ranged Weapons</v>
      </c>
      <c r="C69" s="8" t="str">
        <f>IFERROR(__xludf.DUMMYFUNCTION("""COMPUTED_VALUE"""),"Crossbow, Hand")</f>
        <v>Crossbow, Hand</v>
      </c>
      <c r="D69" s="5">
        <f>IFERROR(__xludf.DUMMYFUNCTION("""COMPUTED_VALUE"""),3.0)</f>
        <v>3</v>
      </c>
      <c r="E69" s="6">
        <f>IFERROR(__xludf.DUMMYFUNCTION("""COMPUTED_VALUE"""),75.0)</f>
        <v>75</v>
      </c>
      <c r="F69" s="6">
        <f>IFERROR(__xludf.DUMMYFUNCTION("""COMPUTED_VALUE"""),56.25)</f>
        <v>56.25</v>
      </c>
      <c r="G69" s="6">
        <f>IFERROR(__xludf.DUMMYFUNCTION("""COMPUTED_VALUE"""),112.5)</f>
        <v>112.5</v>
      </c>
      <c r="H69" s="4" t="str">
        <f>IFERROR(__xludf.DUMMYFUNCTION("""COMPUTED_VALUE"""),"PHB 2024")</f>
        <v>PHB 2024</v>
      </c>
      <c r="I69" s="4"/>
      <c r="J69" s="4" t="str">
        <f>IFERROR(__xludf.DUMMYFUNCTION("""COMPUTED_VALUE"""),"x")</f>
        <v>x</v>
      </c>
      <c r="K69" s="4" t="str">
        <f>IFERROR(__xludf.DUMMYFUNCTION("""COMPUTED_VALUE"""),"x")</f>
        <v>x</v>
      </c>
      <c r="L69" s="7"/>
      <c r="M69" s="7" t="str">
        <f>IFERROR(__xludf.DUMMYFUNCTION("""COMPUTED_VALUE"""),"x")</f>
        <v>x</v>
      </c>
      <c r="N69" s="7"/>
      <c r="O69" s="4"/>
      <c r="P69" s="4"/>
      <c r="Q69" s="4" t="str">
        <f>IFERROR(__xludf.DUMMYFUNCTION("""COMPUTED_VALUE"""),"x")</f>
        <v>x</v>
      </c>
      <c r="R69" s="7"/>
      <c r="S69" s="7"/>
      <c r="T69" s="7"/>
      <c r="U69" s="4"/>
      <c r="V69" s="7"/>
      <c r="W69" s="7" t="str">
        <f>IFERROR(__xludf.DUMMYFUNCTION("""COMPUTED_VALUE"""),"x")</f>
        <v>x</v>
      </c>
      <c r="X69" s="7"/>
      <c r="Y69" s="7"/>
    </row>
    <row r="70">
      <c r="A70" s="4" t="str">
        <f>IFERROR(__xludf.DUMMYFUNCTION("""COMPUTED_VALUE"""),"Weapons")</f>
        <v>Weapons</v>
      </c>
      <c r="B70" s="4" t="str">
        <f>IFERROR(__xludf.DUMMYFUNCTION("""COMPUTED_VALUE"""),"Martial Ranged Weapons")</f>
        <v>Martial Ranged Weapons</v>
      </c>
      <c r="C70" s="8" t="str">
        <f>IFERROR(__xludf.DUMMYFUNCTION("""COMPUTED_VALUE"""),"Crossbow, Heavy")</f>
        <v>Crossbow, Heavy</v>
      </c>
      <c r="D70" s="5">
        <f>IFERROR(__xludf.DUMMYFUNCTION("""COMPUTED_VALUE"""),18.0)</f>
        <v>18</v>
      </c>
      <c r="E70" s="6">
        <f>IFERROR(__xludf.DUMMYFUNCTION("""COMPUTED_VALUE"""),50.0)</f>
        <v>50</v>
      </c>
      <c r="F70" s="6">
        <f>IFERROR(__xludf.DUMMYFUNCTION("""COMPUTED_VALUE"""),37.5)</f>
        <v>37.5</v>
      </c>
      <c r="G70" s="6">
        <f>IFERROR(__xludf.DUMMYFUNCTION("""COMPUTED_VALUE"""),75.0)</f>
        <v>75</v>
      </c>
      <c r="H70" s="4" t="str">
        <f>IFERROR(__xludf.DUMMYFUNCTION("""COMPUTED_VALUE"""),"PHB 2024")</f>
        <v>PHB 2024</v>
      </c>
      <c r="I70" s="4"/>
      <c r="J70" s="4"/>
      <c r="K70" s="4" t="str">
        <f>IFERROR(__xludf.DUMMYFUNCTION("""COMPUTED_VALUE"""),"x")</f>
        <v>x</v>
      </c>
      <c r="L70" s="7"/>
      <c r="M70" s="7" t="str">
        <f>IFERROR(__xludf.DUMMYFUNCTION("""COMPUTED_VALUE"""),"x")</f>
        <v>x</v>
      </c>
      <c r="N70" s="7"/>
      <c r="O70" s="4"/>
      <c r="P70" s="7"/>
      <c r="Q70" s="7" t="str">
        <f>IFERROR(__xludf.DUMMYFUNCTION("""COMPUTED_VALUE"""),"x")</f>
        <v>x</v>
      </c>
      <c r="R70" s="7"/>
      <c r="S70" s="7"/>
      <c r="T70" s="4"/>
      <c r="U70" s="7"/>
      <c r="V70" s="7"/>
      <c r="W70" s="7" t="str">
        <f>IFERROR(__xludf.DUMMYFUNCTION("""COMPUTED_VALUE"""),"x")</f>
        <v>x</v>
      </c>
      <c r="X70" s="7"/>
      <c r="Y70" s="7"/>
    </row>
    <row r="71">
      <c r="A71" s="4" t="str">
        <f>IFERROR(__xludf.DUMMYFUNCTION("""COMPUTED_VALUE"""),"Weapons")</f>
        <v>Weapons</v>
      </c>
      <c r="B71" s="4" t="str">
        <f>IFERROR(__xludf.DUMMYFUNCTION("""COMPUTED_VALUE"""),"Martial Ranged Weapons")</f>
        <v>Martial Ranged Weapons</v>
      </c>
      <c r="C71" s="8" t="str">
        <f>IFERROR(__xludf.DUMMYFUNCTION("""COMPUTED_VALUE"""),"Longbow")</f>
        <v>Longbow</v>
      </c>
      <c r="D71" s="5">
        <f>IFERROR(__xludf.DUMMYFUNCTION("""COMPUTED_VALUE"""),2.0)</f>
        <v>2</v>
      </c>
      <c r="E71" s="6">
        <f>IFERROR(__xludf.DUMMYFUNCTION("""COMPUTED_VALUE"""),50.0)</f>
        <v>50</v>
      </c>
      <c r="F71" s="6">
        <f>IFERROR(__xludf.DUMMYFUNCTION("""COMPUTED_VALUE"""),37.5)</f>
        <v>37.5</v>
      </c>
      <c r="G71" s="6">
        <f>IFERROR(__xludf.DUMMYFUNCTION("""COMPUTED_VALUE"""),75.0)</f>
        <v>75</v>
      </c>
      <c r="H71" s="4" t="str">
        <f>IFERROR(__xludf.DUMMYFUNCTION("""COMPUTED_VALUE"""),"PHB 2024")</f>
        <v>PHB 2024</v>
      </c>
      <c r="I71" s="4" t="str">
        <f>IFERROR(__xludf.DUMMYFUNCTION("""COMPUTED_VALUE"""),"x")</f>
        <v>x</v>
      </c>
      <c r="J71" s="4" t="str">
        <f>IFERROR(__xludf.DUMMYFUNCTION("""COMPUTED_VALUE"""),"x")</f>
        <v>x</v>
      </c>
      <c r="K71" s="4" t="str">
        <f>IFERROR(__xludf.DUMMYFUNCTION("""COMPUTED_VALUE"""),"x")</f>
        <v>x</v>
      </c>
      <c r="L71" s="7"/>
      <c r="M71" s="7" t="str">
        <f>IFERROR(__xludf.DUMMYFUNCTION("""COMPUTED_VALUE"""),"x")</f>
        <v>x</v>
      </c>
      <c r="N71" s="7"/>
      <c r="O71" s="7"/>
      <c r="P71" s="7"/>
      <c r="Q71" s="7" t="str">
        <f>IFERROR(__xludf.DUMMYFUNCTION("""COMPUTED_VALUE"""),"x")</f>
        <v>x</v>
      </c>
      <c r="R71" s="7"/>
      <c r="S71" s="7"/>
      <c r="T71" s="4"/>
      <c r="U71" s="7"/>
      <c r="V71" s="7"/>
      <c r="W71" s="4" t="str">
        <f>IFERROR(__xludf.DUMMYFUNCTION("""COMPUTED_VALUE"""),"x")</f>
        <v>x</v>
      </c>
      <c r="X71" s="7"/>
      <c r="Y71" s="7"/>
    </row>
    <row r="72">
      <c r="A72" s="4"/>
      <c r="B72" s="4"/>
      <c r="C72" s="8"/>
      <c r="D72" s="5"/>
      <c r="E72" s="6"/>
      <c r="F72" s="6"/>
      <c r="G72" s="6"/>
      <c r="H72" s="4"/>
      <c r="I72" s="4"/>
      <c r="J72" s="4"/>
      <c r="K72" s="4"/>
      <c r="L72" s="7"/>
      <c r="M72" s="7"/>
      <c r="N72" s="7"/>
      <c r="O72" s="7"/>
      <c r="P72" s="7"/>
      <c r="Q72" s="4"/>
      <c r="R72" s="7"/>
      <c r="S72" s="7"/>
      <c r="T72" s="7"/>
      <c r="U72" s="7"/>
      <c r="V72" s="7"/>
      <c r="W72" s="7"/>
      <c r="X72" s="7"/>
      <c r="Y72" s="7"/>
    </row>
    <row r="73">
      <c r="A73" s="4"/>
      <c r="B73" s="4"/>
      <c r="C73" s="8"/>
      <c r="D73" s="5"/>
      <c r="E73" s="6"/>
      <c r="F73" s="6"/>
      <c r="G73" s="6"/>
      <c r="H73" s="4"/>
      <c r="I73" s="4"/>
      <c r="J73" s="4"/>
      <c r="K73" s="4"/>
      <c r="L73" s="4"/>
      <c r="M73" s="7"/>
      <c r="N73" s="7"/>
      <c r="O73" s="7"/>
      <c r="P73" s="4"/>
      <c r="Q73" s="4"/>
      <c r="R73" s="7"/>
      <c r="S73" s="7"/>
      <c r="T73" s="7"/>
      <c r="U73" s="7"/>
      <c r="V73" s="7"/>
      <c r="W73" s="7"/>
      <c r="X73" s="7"/>
      <c r="Y73" s="7"/>
    </row>
    <row r="74">
      <c r="A74" s="4"/>
      <c r="B74" s="4"/>
      <c r="C74" s="8"/>
      <c r="D74" s="5"/>
      <c r="E74" s="6"/>
      <c r="F74" s="6"/>
      <c r="G74" s="6"/>
      <c r="H74" s="4"/>
      <c r="I74" s="4"/>
      <c r="J74" s="4"/>
      <c r="K74" s="4"/>
      <c r="L74" s="7"/>
      <c r="M74" s="7"/>
      <c r="N74" s="7"/>
      <c r="O74" s="4"/>
      <c r="P74" s="7"/>
      <c r="Q74" s="7"/>
      <c r="R74" s="7"/>
      <c r="S74" s="7"/>
      <c r="T74" s="4"/>
      <c r="U74" s="7"/>
      <c r="V74" s="7"/>
      <c r="W74" s="7"/>
      <c r="X74" s="7"/>
      <c r="Y74" s="7"/>
    </row>
    <row r="75">
      <c r="A75" s="4"/>
      <c r="B75" s="4"/>
      <c r="C75" s="8"/>
      <c r="D75" s="5"/>
      <c r="E75" s="6"/>
      <c r="F75" s="6"/>
      <c r="G75" s="6"/>
      <c r="H75" s="4"/>
      <c r="I75" s="4"/>
      <c r="J75" s="4"/>
      <c r="K75" s="4"/>
      <c r="L75" s="7"/>
      <c r="M75" s="7"/>
      <c r="N75" s="7"/>
      <c r="O75" s="7"/>
      <c r="P75" s="4"/>
      <c r="Q75" s="4"/>
      <c r="R75" s="4"/>
      <c r="S75" s="7"/>
      <c r="T75" s="4"/>
      <c r="U75" s="4"/>
      <c r="V75" s="7"/>
      <c r="W75" s="4"/>
      <c r="X75" s="4"/>
      <c r="Y75" s="4"/>
    </row>
    <row r="76">
      <c r="A76" s="4"/>
      <c r="B76" s="4"/>
      <c r="C76" s="8"/>
      <c r="D76" s="5"/>
      <c r="E76" s="6"/>
      <c r="F76" s="6"/>
      <c r="G76" s="6"/>
      <c r="H76" s="4"/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4"/>
      <c r="B77" s="4"/>
      <c r="C77" s="8"/>
      <c r="D77" s="5"/>
      <c r="E77" s="6"/>
      <c r="F77" s="6"/>
      <c r="G77" s="6"/>
      <c r="H77" s="4"/>
      <c r="I77" s="4"/>
      <c r="J77" s="4"/>
      <c r="K77" s="4"/>
      <c r="L77" s="7"/>
      <c r="M77" s="4"/>
      <c r="N77" s="7"/>
      <c r="O77" s="7"/>
      <c r="P77" s="7"/>
      <c r="Q77" s="4"/>
      <c r="R77" s="7"/>
      <c r="S77" s="7"/>
      <c r="T77" s="7"/>
      <c r="U77" s="7"/>
      <c r="V77" s="7"/>
      <c r="W77" s="7"/>
      <c r="X77" s="7"/>
      <c r="Y77" s="7"/>
    </row>
    <row r="78">
      <c r="A78" s="4"/>
      <c r="B78" s="4"/>
      <c r="C78" s="8"/>
      <c r="D78" s="5"/>
      <c r="E78" s="6"/>
      <c r="F78" s="6"/>
      <c r="G78" s="6"/>
      <c r="H78" s="4"/>
      <c r="I78" s="4"/>
      <c r="J78" s="4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"/>
      <c r="X78" s="7"/>
      <c r="Y78" s="7"/>
    </row>
    <row r="79">
      <c r="A79" s="4"/>
      <c r="B79" s="4"/>
      <c r="C79" s="8"/>
      <c r="D79" s="5"/>
      <c r="E79" s="6"/>
      <c r="F79" s="6"/>
      <c r="G79" s="6"/>
      <c r="H79" s="4"/>
      <c r="I79" s="4"/>
      <c r="J79" s="4"/>
      <c r="K79" s="4"/>
      <c r="L79" s="7"/>
      <c r="M79" s="7"/>
      <c r="N79" s="7"/>
      <c r="O79" s="4"/>
      <c r="P79" s="7"/>
      <c r="Q79" s="4"/>
      <c r="R79" s="4"/>
      <c r="S79" s="7"/>
      <c r="T79" s="7"/>
      <c r="U79" s="4"/>
      <c r="V79" s="7"/>
      <c r="W79" s="7"/>
      <c r="X79" s="7"/>
      <c r="Y79" s="7"/>
    </row>
    <row r="80">
      <c r="A80" s="4"/>
      <c r="B80" s="4"/>
      <c r="C80" s="8"/>
      <c r="D80" s="5"/>
      <c r="E80" s="6"/>
      <c r="F80" s="6"/>
      <c r="G80" s="6"/>
      <c r="H80" s="4"/>
      <c r="I80" s="4"/>
      <c r="J80" s="4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4"/>
      <c r="B81" s="4"/>
      <c r="C81" s="8"/>
      <c r="D81" s="5"/>
      <c r="E81" s="6"/>
      <c r="F81" s="6"/>
      <c r="G81" s="6"/>
      <c r="H81" s="4"/>
      <c r="I81" s="4"/>
      <c r="J81" s="4"/>
      <c r="K81" s="4"/>
      <c r="L81" s="7"/>
      <c r="M81" s="7"/>
      <c r="N81" s="7"/>
      <c r="O81" s="7"/>
      <c r="P81" s="4"/>
      <c r="Q81" s="4"/>
      <c r="R81" s="7"/>
      <c r="S81" s="7"/>
      <c r="T81" s="7"/>
      <c r="U81" s="7"/>
      <c r="V81" s="7"/>
      <c r="W81" s="4"/>
      <c r="X81" s="7"/>
      <c r="Y81" s="7"/>
    </row>
    <row r="82">
      <c r="A82" s="4"/>
      <c r="B82" s="4"/>
      <c r="C82" s="8"/>
      <c r="D82" s="5"/>
      <c r="E82" s="6"/>
      <c r="F82" s="6"/>
      <c r="G82" s="6"/>
      <c r="H82" s="4"/>
      <c r="I82" s="4"/>
      <c r="J82" s="4"/>
      <c r="K82" s="4"/>
      <c r="L82" s="7"/>
      <c r="M82" s="7"/>
      <c r="N82" s="7"/>
      <c r="O82" s="7"/>
      <c r="P82" s="4"/>
      <c r="Q82" s="4"/>
      <c r="R82" s="4"/>
      <c r="S82" s="7"/>
      <c r="T82" s="7"/>
      <c r="U82" s="7"/>
      <c r="V82" s="7"/>
      <c r="W82" s="7"/>
      <c r="X82" s="7"/>
      <c r="Y82" s="7"/>
    </row>
    <row r="83">
      <c r="A83" s="4"/>
      <c r="B83" s="4"/>
      <c r="C83" s="8"/>
      <c r="D83" s="5"/>
      <c r="E83" s="6"/>
      <c r="F83" s="6"/>
      <c r="G83" s="6"/>
      <c r="H83" s="4"/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4"/>
      <c r="B84" s="4"/>
      <c r="C84" s="8"/>
      <c r="D84" s="5"/>
      <c r="E84" s="6"/>
      <c r="F84" s="6"/>
      <c r="G84" s="6"/>
      <c r="H84" s="4"/>
      <c r="I84" s="4"/>
      <c r="J84" s="4"/>
      <c r="K84" s="4"/>
      <c r="L84" s="7"/>
      <c r="M84" s="7"/>
      <c r="N84" s="7"/>
      <c r="O84" s="7"/>
      <c r="P84" s="4"/>
      <c r="Q84" s="4"/>
      <c r="R84" s="7"/>
      <c r="S84" s="7"/>
      <c r="T84" s="7"/>
      <c r="U84" s="7"/>
      <c r="V84" s="7"/>
      <c r="W84" s="7"/>
      <c r="X84" s="7"/>
      <c r="Y84" s="7"/>
    </row>
    <row r="85">
      <c r="A85" s="4"/>
      <c r="B85" s="4"/>
      <c r="C85" s="8"/>
      <c r="D85" s="5"/>
      <c r="E85" s="6"/>
      <c r="F85" s="6"/>
      <c r="G85" s="6"/>
      <c r="H85" s="4"/>
      <c r="I85" s="4"/>
      <c r="J85" s="4"/>
      <c r="K85" s="4"/>
      <c r="L85" s="7"/>
      <c r="M85" s="7"/>
      <c r="N85" s="7"/>
      <c r="O85" s="7"/>
      <c r="P85" s="7"/>
      <c r="Q85" s="4"/>
      <c r="R85" s="7"/>
      <c r="S85" s="7"/>
      <c r="T85" s="7"/>
      <c r="U85" s="7"/>
      <c r="V85" s="7"/>
      <c r="W85" s="7"/>
      <c r="X85" s="7"/>
      <c r="Y85" s="7"/>
    </row>
    <row r="86">
      <c r="A86" s="4"/>
      <c r="B86" s="4"/>
      <c r="C86" s="8"/>
      <c r="D86" s="5"/>
      <c r="E86" s="6"/>
      <c r="F86" s="6"/>
      <c r="G86" s="6"/>
      <c r="H86" s="4"/>
      <c r="I86" s="4"/>
      <c r="J86" s="4"/>
      <c r="K86" s="4"/>
      <c r="L86" s="7"/>
      <c r="M86" s="7"/>
      <c r="N86" s="7"/>
      <c r="O86" s="7"/>
      <c r="P86" s="7"/>
      <c r="Q86" s="7"/>
      <c r="R86" s="7"/>
      <c r="S86" s="7"/>
      <c r="T86" s="7"/>
      <c r="U86" s="4"/>
      <c r="V86" s="7"/>
      <c r="W86" s="7"/>
      <c r="X86" s="7"/>
      <c r="Y86" s="7"/>
    </row>
    <row r="87">
      <c r="A87" s="4"/>
      <c r="B87" s="4"/>
      <c r="C87" s="8"/>
      <c r="D87" s="5"/>
      <c r="E87" s="6"/>
      <c r="F87" s="6"/>
      <c r="G87" s="6"/>
      <c r="H87" s="4"/>
      <c r="I87" s="4"/>
      <c r="J87" s="4"/>
      <c r="K87" s="4"/>
      <c r="L87" s="7"/>
      <c r="M87" s="7"/>
      <c r="N87" s="7"/>
      <c r="O87" s="7"/>
      <c r="P87" s="7"/>
      <c r="Q87" s="7"/>
      <c r="R87" s="7"/>
      <c r="S87" s="7"/>
      <c r="T87" s="7"/>
      <c r="U87" s="4"/>
      <c r="V87" s="7"/>
      <c r="W87" s="7"/>
      <c r="X87" s="7"/>
      <c r="Y87" s="7"/>
    </row>
    <row r="88">
      <c r="A88" s="4"/>
      <c r="B88" s="4"/>
      <c r="C88" s="8"/>
      <c r="D88" s="5"/>
      <c r="E88" s="6"/>
      <c r="F88" s="6"/>
      <c r="G88" s="6"/>
      <c r="H88" s="4"/>
      <c r="I88" s="4"/>
      <c r="J88" s="4"/>
      <c r="K88" s="4"/>
      <c r="L88" s="4"/>
      <c r="M88" s="7"/>
      <c r="N88" s="7"/>
      <c r="O88" s="7"/>
      <c r="P88" s="7"/>
      <c r="Q88" s="7"/>
      <c r="R88" s="7"/>
      <c r="S88" s="7"/>
      <c r="T88" s="7"/>
      <c r="U88" s="7"/>
      <c r="V88" s="7"/>
      <c r="W88" s="4"/>
      <c r="X88" s="7"/>
      <c r="Y88" s="7"/>
    </row>
    <row r="89">
      <c r="A89" s="4"/>
      <c r="B89" s="4"/>
      <c r="C89" s="8"/>
      <c r="D89" s="5"/>
      <c r="E89" s="6"/>
      <c r="F89" s="6"/>
      <c r="G89" s="6"/>
      <c r="H89" s="4"/>
      <c r="I89" s="4"/>
      <c r="J89" s="4"/>
      <c r="K89" s="4"/>
      <c r="L89" s="7"/>
      <c r="M89" s="7"/>
      <c r="N89" s="7"/>
      <c r="O89" s="7"/>
      <c r="P89" s="7"/>
      <c r="Q89" s="4"/>
      <c r="R89" s="7"/>
      <c r="S89" s="7"/>
      <c r="T89" s="7"/>
      <c r="U89" s="7"/>
      <c r="V89" s="7"/>
      <c r="W89" s="7"/>
      <c r="X89" s="7"/>
      <c r="Y89" s="7"/>
    </row>
    <row r="90">
      <c r="A90" s="4"/>
      <c r="B90" s="4"/>
      <c r="C90" s="8"/>
      <c r="D90" s="5"/>
      <c r="E90" s="6"/>
      <c r="F90" s="6"/>
      <c r="G90" s="6"/>
      <c r="H90" s="4"/>
      <c r="I90" s="4"/>
      <c r="J90" s="4"/>
      <c r="K90" s="4"/>
      <c r="L90" s="7"/>
      <c r="M90" s="7"/>
      <c r="N90" s="7"/>
      <c r="O90" s="7"/>
      <c r="P90" s="4"/>
      <c r="Q90" s="7"/>
      <c r="R90" s="7"/>
      <c r="S90" s="7"/>
      <c r="T90" s="7"/>
      <c r="U90" s="7"/>
      <c r="V90" s="7"/>
      <c r="W90" s="7"/>
      <c r="X90" s="7"/>
      <c r="Y90" s="7"/>
    </row>
    <row r="91">
      <c r="A91" s="4"/>
      <c r="B91" s="4"/>
      <c r="C91" s="8"/>
      <c r="D91" s="5"/>
      <c r="E91" s="6"/>
      <c r="F91" s="6"/>
      <c r="G91" s="6"/>
      <c r="H91" s="4"/>
      <c r="I91" s="4"/>
      <c r="J91" s="4"/>
      <c r="K91" s="4"/>
      <c r="L91" s="7"/>
      <c r="M91" s="7"/>
      <c r="N91" s="7"/>
      <c r="O91" s="7"/>
      <c r="P91" s="7"/>
      <c r="Q91" s="4"/>
      <c r="R91" s="4"/>
      <c r="S91" s="7"/>
      <c r="T91" s="7"/>
      <c r="U91" s="7"/>
      <c r="V91" s="7"/>
      <c r="W91" s="7"/>
      <c r="X91" s="7"/>
      <c r="Y91" s="7"/>
    </row>
    <row r="92">
      <c r="A92" s="4"/>
      <c r="B92" s="4"/>
      <c r="C92" s="8"/>
      <c r="D92" s="5"/>
      <c r="E92" s="6"/>
      <c r="F92" s="6"/>
      <c r="G92" s="6"/>
      <c r="H92" s="4"/>
      <c r="I92" s="4"/>
      <c r="J92" s="4"/>
      <c r="K92" s="4"/>
      <c r="L92" s="7"/>
      <c r="M92" s="7"/>
      <c r="N92" s="7"/>
      <c r="O92" s="7"/>
      <c r="P92" s="7"/>
      <c r="Q92" s="4"/>
      <c r="R92" s="7"/>
      <c r="S92" s="7"/>
      <c r="T92" s="7"/>
      <c r="U92" s="7"/>
      <c r="V92" s="7"/>
      <c r="W92" s="7"/>
      <c r="X92" s="7"/>
      <c r="Y92" s="7"/>
    </row>
    <row r="93">
      <c r="A93" s="4"/>
      <c r="B93" s="4"/>
      <c r="C93" s="8"/>
      <c r="D93" s="5"/>
      <c r="E93" s="6"/>
      <c r="F93" s="6"/>
      <c r="G93" s="6"/>
      <c r="H93" s="4"/>
      <c r="I93" s="4"/>
      <c r="J93" s="4"/>
      <c r="K93" s="4"/>
      <c r="L93" s="7"/>
      <c r="M93" s="7"/>
      <c r="N93" s="7"/>
      <c r="O93" s="4"/>
      <c r="P93" s="7"/>
      <c r="Q93" s="4"/>
      <c r="R93" s="7"/>
      <c r="S93" s="7"/>
      <c r="T93" s="7"/>
      <c r="U93" s="7"/>
      <c r="V93" s="7"/>
      <c r="W93" s="7"/>
      <c r="X93" s="7"/>
      <c r="Y93" s="7"/>
    </row>
    <row r="94">
      <c r="A94" s="4"/>
      <c r="B94" s="4"/>
      <c r="C94" s="8"/>
      <c r="D94" s="5"/>
      <c r="E94" s="6"/>
      <c r="F94" s="6"/>
      <c r="G94" s="6"/>
      <c r="H94" s="4"/>
      <c r="I94" s="4"/>
      <c r="J94" s="4"/>
      <c r="K94" s="4"/>
      <c r="L94" s="7"/>
      <c r="M94" s="7"/>
      <c r="N94" s="7"/>
      <c r="O94" s="4"/>
      <c r="P94" s="4"/>
      <c r="Q94" s="4"/>
      <c r="R94" s="7"/>
      <c r="S94" s="7"/>
      <c r="T94" s="4"/>
      <c r="U94" s="4"/>
      <c r="V94" s="7"/>
      <c r="W94" s="4"/>
      <c r="X94" s="7"/>
      <c r="Y94" s="7"/>
    </row>
    <row r="95">
      <c r="A95" s="4"/>
      <c r="B95" s="4"/>
      <c r="C95" s="8"/>
      <c r="D95" s="5"/>
      <c r="E95" s="6"/>
      <c r="F95" s="6"/>
      <c r="G95" s="6"/>
      <c r="H95" s="4"/>
      <c r="I95" s="4"/>
      <c r="J95" s="4"/>
      <c r="K95" s="4"/>
      <c r="L95" s="7"/>
      <c r="M95" s="7"/>
      <c r="N95" s="4"/>
      <c r="O95" s="4"/>
      <c r="P95" s="7"/>
      <c r="Q95" s="4"/>
      <c r="R95" s="7"/>
      <c r="S95" s="7"/>
      <c r="T95" s="7"/>
      <c r="U95" s="7"/>
      <c r="V95" s="7"/>
      <c r="W95" s="7"/>
      <c r="X95" s="7"/>
      <c r="Y95" s="7"/>
    </row>
    <row r="96">
      <c r="A96" s="4"/>
      <c r="B96" s="4"/>
      <c r="C96" s="8"/>
      <c r="D96" s="5"/>
      <c r="E96" s="6"/>
      <c r="F96" s="6"/>
      <c r="G96" s="6"/>
      <c r="H96" s="4"/>
      <c r="I96" s="4"/>
      <c r="J96" s="4"/>
      <c r="K96" s="4"/>
      <c r="L96" s="7"/>
      <c r="M96" s="7"/>
      <c r="N96" s="7"/>
      <c r="O96" s="7"/>
      <c r="P96" s="7"/>
      <c r="Q96" s="4"/>
      <c r="R96" s="7"/>
      <c r="S96" s="7"/>
      <c r="T96" s="7"/>
      <c r="U96" s="7"/>
      <c r="V96" s="7"/>
      <c r="W96" s="7"/>
      <c r="X96" s="7"/>
      <c r="Y96" s="7"/>
    </row>
    <row r="97">
      <c r="A97" s="4"/>
      <c r="B97" s="4"/>
      <c r="C97" s="8"/>
      <c r="D97" s="5"/>
      <c r="E97" s="6"/>
      <c r="F97" s="6"/>
      <c r="G97" s="6"/>
      <c r="H97" s="4"/>
      <c r="I97" s="4"/>
      <c r="J97" s="4"/>
      <c r="K97" s="4"/>
      <c r="L97" s="4"/>
      <c r="M97" s="7"/>
      <c r="N97" s="7"/>
      <c r="O97" s="7"/>
      <c r="P97" s="7"/>
      <c r="Q97" s="4"/>
      <c r="R97" s="7"/>
      <c r="S97" s="7"/>
      <c r="T97" s="7"/>
      <c r="U97" s="7"/>
      <c r="V97" s="7"/>
      <c r="W97" s="4"/>
      <c r="X97" s="7"/>
      <c r="Y97" s="7"/>
    </row>
    <row r="98">
      <c r="A98" s="4"/>
      <c r="B98" s="4"/>
      <c r="C98" s="8"/>
      <c r="D98" s="5"/>
      <c r="E98" s="6"/>
      <c r="F98" s="6"/>
      <c r="G98" s="6"/>
      <c r="H98" s="4"/>
      <c r="I98" s="4"/>
      <c r="J98" s="4"/>
      <c r="K98" s="4"/>
      <c r="L98" s="7"/>
      <c r="M98" s="7"/>
      <c r="N98" s="7"/>
      <c r="O98" s="7"/>
      <c r="P98" s="7"/>
      <c r="Q98" s="4"/>
      <c r="R98" s="7"/>
      <c r="S98" s="7"/>
      <c r="T98" s="7"/>
      <c r="U98" s="7"/>
      <c r="V98" s="7"/>
      <c r="W98" s="7"/>
      <c r="X98" s="7"/>
      <c r="Y98" s="7"/>
    </row>
    <row r="99">
      <c r="A99" s="4"/>
      <c r="B99" s="4"/>
      <c r="C99" s="8"/>
      <c r="D99" s="5"/>
      <c r="E99" s="6"/>
      <c r="F99" s="6"/>
      <c r="G99" s="6"/>
      <c r="H99" s="4"/>
      <c r="I99" s="4"/>
      <c r="J99" s="4"/>
      <c r="K99" s="4"/>
      <c r="L99" s="4"/>
      <c r="M99" s="7"/>
      <c r="N99" s="7"/>
      <c r="O99" s="7"/>
      <c r="P99" s="7"/>
      <c r="Q99" s="4"/>
      <c r="R99" s="7"/>
      <c r="S99" s="7"/>
      <c r="T99" s="7"/>
      <c r="U99" s="7"/>
      <c r="V99" s="7"/>
      <c r="W99" s="7"/>
      <c r="X99" s="7"/>
      <c r="Y99" s="7"/>
    </row>
    <row r="100">
      <c r="A100" s="4"/>
      <c r="B100" s="4"/>
      <c r="C100" s="8"/>
      <c r="D100" s="5"/>
      <c r="E100" s="6"/>
      <c r="F100" s="6"/>
      <c r="G100" s="6"/>
      <c r="H100" s="4"/>
      <c r="I100" s="4"/>
      <c r="J100" s="4"/>
      <c r="K100" s="4"/>
      <c r="L100" s="4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4"/>
      <c r="B101" s="4"/>
      <c r="C101" s="8"/>
      <c r="D101" s="5"/>
      <c r="E101" s="6"/>
      <c r="F101" s="6"/>
      <c r="G101" s="6"/>
      <c r="H101" s="4"/>
      <c r="I101" s="4"/>
      <c r="J101" s="4"/>
      <c r="K101" s="4"/>
      <c r="L101" s="4"/>
      <c r="M101" s="7"/>
      <c r="N101" s="7"/>
      <c r="O101" s="7"/>
      <c r="P101" s="7"/>
      <c r="Q101" s="4"/>
      <c r="R101" s="7"/>
      <c r="S101" s="7"/>
      <c r="T101" s="7"/>
      <c r="U101" s="7"/>
      <c r="V101" s="7"/>
      <c r="W101" s="7"/>
      <c r="X101" s="7"/>
      <c r="Y101" s="7"/>
    </row>
    <row r="102">
      <c r="A102" s="4"/>
      <c r="B102" s="4"/>
      <c r="C102" s="8"/>
      <c r="D102" s="5"/>
      <c r="E102" s="6"/>
      <c r="F102" s="6"/>
      <c r="G102" s="6"/>
      <c r="H102" s="4"/>
      <c r="I102" s="4"/>
      <c r="J102" s="4"/>
      <c r="K102" s="4"/>
      <c r="L102" s="4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4"/>
      <c r="B103" s="4"/>
      <c r="C103" s="8"/>
      <c r="D103" s="5"/>
      <c r="E103" s="6"/>
      <c r="F103" s="6"/>
      <c r="G103" s="6"/>
      <c r="H103" s="4"/>
      <c r="I103" s="4"/>
      <c r="J103" s="4"/>
      <c r="K103" s="4"/>
      <c r="L103" s="7"/>
      <c r="M103" s="7"/>
      <c r="N103" s="7"/>
      <c r="O103" s="7"/>
      <c r="P103" s="7"/>
      <c r="Q103" s="4"/>
      <c r="R103" s="7"/>
      <c r="S103" s="7"/>
      <c r="T103" s="7"/>
      <c r="U103" s="4"/>
      <c r="V103" s="7"/>
      <c r="W103" s="7"/>
      <c r="X103" s="7"/>
      <c r="Y103" s="7"/>
    </row>
    <row r="104">
      <c r="A104" s="4"/>
      <c r="B104" s="4"/>
      <c r="C104" s="8"/>
      <c r="D104" s="5"/>
      <c r="E104" s="6"/>
      <c r="F104" s="6"/>
      <c r="G104" s="6"/>
      <c r="H104" s="4"/>
      <c r="I104" s="4"/>
      <c r="J104" s="4"/>
      <c r="K104" s="4"/>
      <c r="L104" s="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4"/>
      <c r="B105" s="4"/>
      <c r="C105" s="8"/>
      <c r="D105" s="5"/>
      <c r="E105" s="6"/>
      <c r="F105" s="6"/>
      <c r="G105" s="6"/>
      <c r="H105" s="4"/>
      <c r="I105" s="4"/>
      <c r="J105" s="4"/>
      <c r="K105" s="4"/>
      <c r="L105" s="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4"/>
      <c r="B106" s="4"/>
      <c r="C106" s="8"/>
      <c r="D106" s="5"/>
      <c r="E106" s="6"/>
      <c r="F106" s="6"/>
      <c r="G106" s="6"/>
      <c r="H106" s="4"/>
      <c r="I106" s="4"/>
      <c r="J106" s="4"/>
      <c r="K106" s="4"/>
      <c r="L106" s="4"/>
      <c r="M106" s="7"/>
      <c r="N106" s="7"/>
      <c r="O106" s="7"/>
      <c r="P106" s="7"/>
      <c r="Q106" s="4"/>
      <c r="R106" s="7"/>
      <c r="S106" s="7"/>
      <c r="T106" s="7"/>
      <c r="U106" s="7"/>
      <c r="V106" s="7"/>
      <c r="W106" s="4"/>
      <c r="X106" s="7"/>
      <c r="Y106" s="7"/>
    </row>
    <row r="107">
      <c r="A107" s="4"/>
      <c r="B107" s="4"/>
      <c r="C107" s="8"/>
      <c r="D107" s="5"/>
      <c r="E107" s="6"/>
      <c r="F107" s="6"/>
      <c r="G107" s="6"/>
      <c r="H107" s="4"/>
      <c r="I107" s="4"/>
      <c r="J107" s="4"/>
      <c r="K107" s="4"/>
      <c r="L107" s="7"/>
      <c r="M107" s="4"/>
      <c r="N107" s="7"/>
      <c r="O107" s="7"/>
      <c r="P107" s="7"/>
      <c r="Q107" s="4"/>
      <c r="R107" s="7"/>
      <c r="S107" s="7"/>
      <c r="T107" s="7"/>
      <c r="U107" s="7"/>
      <c r="V107" s="7"/>
      <c r="W107" s="4"/>
      <c r="X107" s="7"/>
      <c r="Y107" s="7"/>
    </row>
    <row r="108">
      <c r="A108" s="4"/>
      <c r="B108" s="4"/>
      <c r="C108" s="8"/>
      <c r="D108" s="5"/>
      <c r="E108" s="6"/>
      <c r="F108" s="6"/>
      <c r="G108" s="6"/>
      <c r="H108" s="4"/>
      <c r="I108" s="4"/>
      <c r="J108" s="4"/>
      <c r="K108" s="4"/>
      <c r="L108" s="7"/>
      <c r="M108" s="4"/>
      <c r="N108" s="7"/>
      <c r="O108" s="7"/>
      <c r="P108" s="7"/>
      <c r="Q108" s="4"/>
      <c r="R108" s="7"/>
      <c r="S108" s="7"/>
      <c r="T108" s="7"/>
      <c r="U108" s="7"/>
      <c r="V108" s="7"/>
      <c r="W108" s="4"/>
      <c r="X108" s="7"/>
      <c r="Y108" s="7"/>
    </row>
    <row r="109">
      <c r="A109" s="4"/>
      <c r="B109" s="4"/>
      <c r="C109" s="8"/>
      <c r="D109" s="5"/>
      <c r="E109" s="6"/>
      <c r="F109" s="6"/>
      <c r="G109" s="6"/>
      <c r="H109" s="4"/>
      <c r="I109" s="4"/>
      <c r="J109" s="4"/>
      <c r="K109" s="4"/>
      <c r="L109" s="7"/>
      <c r="M109" s="7"/>
      <c r="N109" s="4"/>
      <c r="O109" s="7"/>
      <c r="P109" s="7"/>
      <c r="Q109" s="4"/>
      <c r="R109" s="7"/>
      <c r="S109" s="7"/>
      <c r="T109" s="7"/>
      <c r="U109" s="7"/>
      <c r="V109" s="7"/>
      <c r="W109" s="7"/>
      <c r="X109" s="7"/>
      <c r="Y109" s="7"/>
    </row>
    <row r="110">
      <c r="A110" s="4"/>
      <c r="B110" s="4"/>
      <c r="C110" s="8"/>
      <c r="D110" s="5"/>
      <c r="E110" s="6"/>
      <c r="F110" s="6"/>
      <c r="G110" s="6"/>
      <c r="H110" s="4"/>
      <c r="I110" s="4"/>
      <c r="J110" s="4"/>
      <c r="K110" s="4"/>
      <c r="L110" s="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4"/>
      <c r="B111" s="4"/>
      <c r="C111" s="8"/>
      <c r="D111" s="5"/>
      <c r="E111" s="6"/>
      <c r="F111" s="6"/>
      <c r="G111" s="6"/>
      <c r="H111" s="4"/>
      <c r="I111" s="4"/>
      <c r="J111" s="4"/>
      <c r="K111" s="4"/>
      <c r="L111" s="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4"/>
      <c r="B112" s="4"/>
      <c r="C112" s="8"/>
      <c r="D112" s="5"/>
      <c r="E112" s="6"/>
      <c r="F112" s="6"/>
      <c r="G112" s="6"/>
      <c r="H112" s="4"/>
      <c r="I112" s="4"/>
      <c r="J112" s="4"/>
      <c r="K112" s="4"/>
      <c r="L112" s="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4"/>
      <c r="B113" s="4"/>
      <c r="C113" s="8"/>
      <c r="D113" s="5"/>
      <c r="E113" s="6"/>
      <c r="F113" s="6"/>
      <c r="G113" s="6"/>
      <c r="H113" s="4"/>
      <c r="I113" s="4"/>
      <c r="J113" s="4"/>
      <c r="K113" s="4"/>
      <c r="L113" s="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4"/>
      <c r="B114" s="4"/>
      <c r="C114" s="8"/>
      <c r="D114" s="5"/>
      <c r="E114" s="6"/>
      <c r="F114" s="6"/>
      <c r="G114" s="6"/>
      <c r="H114" s="4"/>
      <c r="I114" s="4"/>
      <c r="J114" s="4"/>
      <c r="K114" s="4"/>
      <c r="L114" s="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4"/>
      <c r="B115" s="4"/>
      <c r="C115" s="8"/>
      <c r="D115" s="5"/>
      <c r="E115" s="6"/>
      <c r="F115" s="6"/>
      <c r="G115" s="6"/>
      <c r="H115" s="4"/>
      <c r="I115" s="4"/>
      <c r="J115" s="4"/>
      <c r="K115" s="4"/>
      <c r="L115" s="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4"/>
      <c r="B116" s="4"/>
      <c r="C116" s="8"/>
      <c r="D116" s="5"/>
      <c r="E116" s="6"/>
      <c r="F116" s="6"/>
      <c r="G116" s="6"/>
      <c r="H116" s="4"/>
      <c r="I116" s="4"/>
      <c r="J116" s="4"/>
      <c r="K116" s="4"/>
      <c r="L116" s="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4"/>
      <c r="B117" s="4"/>
      <c r="C117" s="8"/>
      <c r="D117" s="5"/>
      <c r="E117" s="6"/>
      <c r="F117" s="6"/>
      <c r="G117" s="6"/>
      <c r="H117" s="4"/>
      <c r="I117" s="4"/>
      <c r="J117" s="4"/>
      <c r="K117" s="4"/>
      <c r="L117" s="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4"/>
      <c r="B118" s="4"/>
      <c r="C118" s="8"/>
      <c r="D118" s="5"/>
      <c r="E118" s="6"/>
      <c r="F118" s="6"/>
      <c r="G118" s="6"/>
      <c r="H118" s="4"/>
      <c r="I118" s="4"/>
      <c r="J118" s="4"/>
      <c r="K118" s="4"/>
      <c r="L118" s="4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4"/>
      <c r="B119" s="4"/>
      <c r="C119" s="8"/>
      <c r="D119" s="5"/>
      <c r="E119" s="6"/>
      <c r="F119" s="6"/>
      <c r="G119" s="6"/>
      <c r="H119" s="4"/>
      <c r="I119" s="4"/>
      <c r="J119" s="4"/>
      <c r="K119" s="4"/>
      <c r="L119" s="4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4"/>
      <c r="B120" s="4"/>
      <c r="C120" s="8"/>
      <c r="D120" s="5"/>
      <c r="E120" s="6"/>
      <c r="F120" s="6"/>
      <c r="G120" s="6"/>
      <c r="H120" s="4"/>
      <c r="I120" s="4"/>
      <c r="J120" s="4"/>
      <c r="K120" s="4"/>
      <c r="L120" s="4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4"/>
      <c r="B121" s="4"/>
      <c r="C121" s="8"/>
      <c r="D121" s="5"/>
      <c r="E121" s="6"/>
      <c r="F121" s="6"/>
      <c r="G121" s="6"/>
      <c r="H121" s="4"/>
      <c r="I121" s="4"/>
      <c r="J121" s="4"/>
      <c r="K121" s="4"/>
      <c r="L121" s="4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"/>
      <c r="X121" s="7"/>
      <c r="Y121" s="7"/>
    </row>
    <row r="122">
      <c r="A122" s="4"/>
      <c r="B122" s="4"/>
      <c r="C122" s="8"/>
      <c r="D122" s="5"/>
      <c r="E122" s="6"/>
      <c r="F122" s="6"/>
      <c r="G122" s="6"/>
      <c r="H122" s="4"/>
      <c r="I122" s="4"/>
      <c r="J122" s="4"/>
      <c r="K122" s="4"/>
      <c r="L122" s="4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4"/>
      <c r="B123" s="4"/>
      <c r="C123" s="8"/>
      <c r="D123" s="5"/>
      <c r="E123" s="6"/>
      <c r="F123" s="6"/>
      <c r="G123" s="6"/>
      <c r="H123" s="4"/>
      <c r="I123" s="4"/>
      <c r="J123" s="4"/>
      <c r="K123" s="4"/>
      <c r="L123" s="4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"/>
      <c r="X123" s="7"/>
      <c r="Y123" s="7"/>
    </row>
    <row r="124">
      <c r="A124" s="4"/>
      <c r="B124" s="4"/>
      <c r="C124" s="8"/>
      <c r="D124" s="5"/>
      <c r="E124" s="6"/>
      <c r="F124" s="6"/>
      <c r="G124" s="6"/>
      <c r="H124" s="4"/>
      <c r="I124" s="4"/>
      <c r="J124" s="4"/>
      <c r="K124" s="4"/>
      <c r="L124" s="4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4"/>
      <c r="B125" s="4"/>
      <c r="C125" s="8"/>
      <c r="D125" s="5"/>
      <c r="E125" s="6"/>
      <c r="F125" s="6"/>
      <c r="G125" s="6"/>
      <c r="H125" s="4"/>
      <c r="I125" s="4"/>
      <c r="J125" s="4"/>
      <c r="K125" s="4"/>
      <c r="L125" s="4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4"/>
      <c r="B126" s="4"/>
      <c r="C126" s="8"/>
      <c r="D126" s="5"/>
      <c r="E126" s="6"/>
      <c r="F126" s="6"/>
      <c r="G126" s="6"/>
      <c r="H126" s="4"/>
      <c r="I126" s="4"/>
      <c r="J126" s="4"/>
      <c r="K126" s="4"/>
      <c r="L126" s="4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4"/>
      <c r="B127" s="4"/>
      <c r="C127" s="8"/>
      <c r="D127" s="5"/>
      <c r="E127" s="6"/>
      <c r="F127" s="6"/>
      <c r="G127" s="6"/>
      <c r="H127" s="4"/>
      <c r="I127" s="4"/>
      <c r="J127" s="4"/>
      <c r="K127" s="4"/>
      <c r="L127" s="7"/>
      <c r="M127" s="7"/>
      <c r="N127" s="7"/>
      <c r="O127" s="7"/>
      <c r="P127" s="7"/>
      <c r="Q127" s="4"/>
      <c r="R127" s="7"/>
      <c r="S127" s="7"/>
      <c r="T127" s="7"/>
      <c r="U127" s="7"/>
      <c r="V127" s="7"/>
      <c r="W127" s="7"/>
      <c r="X127" s="7"/>
      <c r="Y127" s="7"/>
    </row>
    <row r="128">
      <c r="A128" s="4"/>
      <c r="B128" s="4"/>
      <c r="C128" s="8"/>
      <c r="D128" s="5"/>
      <c r="E128" s="6"/>
      <c r="F128" s="6"/>
      <c r="G128" s="6"/>
      <c r="H128" s="4"/>
      <c r="I128" s="4"/>
      <c r="J128" s="4"/>
      <c r="K128" s="4"/>
      <c r="L128" s="7"/>
      <c r="M128" s="7"/>
      <c r="N128" s="7"/>
      <c r="O128" s="7"/>
      <c r="P128" s="7"/>
      <c r="Q128" s="4"/>
      <c r="R128" s="7"/>
      <c r="S128" s="7"/>
      <c r="T128" s="7"/>
      <c r="U128" s="7"/>
      <c r="V128" s="7"/>
      <c r="W128" s="4"/>
      <c r="X128" s="7"/>
      <c r="Y128" s="7"/>
    </row>
    <row r="129">
      <c r="A129" s="4"/>
      <c r="B129" s="4"/>
      <c r="C129" s="8"/>
      <c r="D129" s="5"/>
      <c r="E129" s="6"/>
      <c r="F129" s="6"/>
      <c r="G129" s="6"/>
      <c r="H129" s="4"/>
      <c r="I129" s="4"/>
      <c r="J129" s="4"/>
      <c r="K129" s="4"/>
      <c r="L129" s="7"/>
      <c r="M129" s="4"/>
      <c r="N129" s="7"/>
      <c r="O129" s="7"/>
      <c r="P129" s="7"/>
      <c r="Q129" s="4"/>
      <c r="R129" s="7"/>
      <c r="S129" s="7"/>
      <c r="T129" s="7"/>
      <c r="U129" s="7"/>
      <c r="V129" s="7"/>
      <c r="W129" s="4"/>
      <c r="X129" s="7"/>
      <c r="Y129" s="7"/>
    </row>
    <row r="130">
      <c r="A130" s="4"/>
      <c r="B130" s="4"/>
      <c r="C130" s="8"/>
      <c r="D130" s="5"/>
      <c r="E130" s="6"/>
      <c r="F130" s="6"/>
      <c r="G130" s="6"/>
      <c r="H130" s="4"/>
      <c r="I130" s="4"/>
      <c r="J130" s="4"/>
      <c r="K130" s="4"/>
      <c r="L130" s="7"/>
      <c r="M130" s="4"/>
      <c r="N130" s="7"/>
      <c r="O130" s="7"/>
      <c r="P130" s="7"/>
      <c r="Q130" s="4"/>
      <c r="R130" s="7"/>
      <c r="S130" s="7"/>
      <c r="T130" s="7"/>
      <c r="U130" s="7"/>
      <c r="V130" s="7"/>
      <c r="W130" s="4"/>
      <c r="X130" s="7"/>
      <c r="Y130" s="7"/>
    </row>
    <row r="131">
      <c r="A131" s="4"/>
      <c r="B131" s="4"/>
      <c r="C131" s="8"/>
      <c r="D131" s="5"/>
      <c r="E131" s="6"/>
      <c r="F131" s="6"/>
      <c r="G131" s="6"/>
      <c r="H131" s="4"/>
      <c r="I131" s="4"/>
      <c r="J131" s="4"/>
      <c r="K131" s="4"/>
      <c r="L131" s="7"/>
      <c r="M131" s="4"/>
      <c r="N131" s="7"/>
      <c r="O131" s="7"/>
      <c r="P131" s="7"/>
      <c r="Q131" s="4"/>
      <c r="R131" s="7"/>
      <c r="S131" s="7"/>
      <c r="T131" s="7"/>
      <c r="U131" s="7"/>
      <c r="V131" s="7"/>
      <c r="W131" s="4"/>
      <c r="X131" s="7"/>
      <c r="Y131" s="7"/>
    </row>
    <row r="132">
      <c r="A132" s="4"/>
      <c r="B132" s="4"/>
      <c r="C132" s="8"/>
      <c r="D132" s="5"/>
      <c r="E132" s="6"/>
      <c r="F132" s="6"/>
      <c r="G132" s="6"/>
      <c r="H132" s="4"/>
      <c r="I132" s="4"/>
      <c r="J132" s="4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"/>
      <c r="X132" s="4"/>
      <c r="Y132" s="4"/>
    </row>
    <row r="133">
      <c r="A133" s="4"/>
      <c r="B133" s="4"/>
      <c r="C133" s="8"/>
      <c r="D133" s="5"/>
      <c r="E133" s="6"/>
      <c r="F133" s="6"/>
      <c r="G133" s="6"/>
      <c r="H133" s="4"/>
      <c r="I133" s="4"/>
      <c r="J133" s="4"/>
      <c r="K133" s="4"/>
      <c r="L133" s="7"/>
      <c r="M133" s="7"/>
      <c r="N133" s="7"/>
      <c r="O133" s="7"/>
      <c r="P133" s="7"/>
      <c r="Q133" s="4"/>
      <c r="R133" s="7"/>
      <c r="S133" s="7"/>
      <c r="T133" s="7"/>
      <c r="U133" s="7"/>
      <c r="V133" s="7"/>
      <c r="W133" s="4"/>
      <c r="X133" s="4"/>
      <c r="Y133" s="4"/>
    </row>
    <row r="134">
      <c r="A134" s="4"/>
      <c r="B134" s="4"/>
      <c r="C134" s="8"/>
      <c r="D134" s="5"/>
      <c r="E134" s="6"/>
      <c r="F134" s="6"/>
      <c r="G134" s="6"/>
      <c r="H134" s="4"/>
      <c r="I134" s="4"/>
      <c r="J134" s="4"/>
      <c r="K134" s="4"/>
      <c r="L134" s="7"/>
      <c r="M134" s="7"/>
      <c r="N134" s="7"/>
      <c r="O134" s="7"/>
      <c r="P134" s="7"/>
      <c r="Q134" s="4"/>
      <c r="R134" s="7"/>
      <c r="S134" s="7"/>
      <c r="T134" s="7"/>
      <c r="U134" s="7"/>
      <c r="V134" s="7"/>
      <c r="W134" s="4"/>
      <c r="X134" s="7"/>
      <c r="Y134" s="7"/>
    </row>
    <row r="135">
      <c r="A135" s="4"/>
      <c r="B135" s="4"/>
      <c r="C135" s="8"/>
      <c r="D135" s="5"/>
      <c r="E135" s="6"/>
      <c r="F135" s="6"/>
      <c r="G135" s="6"/>
      <c r="H135" s="4"/>
      <c r="I135" s="4"/>
      <c r="J135" s="4"/>
      <c r="K135" s="4"/>
      <c r="L135" s="7"/>
      <c r="M135" s="7"/>
      <c r="N135" s="4"/>
      <c r="O135" s="7"/>
      <c r="P135" s="7"/>
      <c r="Q135" s="4"/>
      <c r="R135" s="7"/>
      <c r="S135" s="7"/>
      <c r="T135" s="7"/>
      <c r="U135" s="7"/>
      <c r="V135" s="7"/>
      <c r="W135" s="4"/>
      <c r="X135" s="7"/>
      <c r="Y135" s="7"/>
    </row>
    <row r="136">
      <c r="A136" s="4"/>
      <c r="B136" s="4"/>
      <c r="C136" s="8"/>
      <c r="D136" s="5"/>
      <c r="E136" s="6"/>
      <c r="F136" s="6"/>
      <c r="G136" s="6"/>
      <c r="H136" s="4"/>
      <c r="I136" s="4"/>
      <c r="J136" s="4"/>
      <c r="K136" s="4"/>
      <c r="L136" s="7"/>
      <c r="M136" s="7"/>
      <c r="N136" s="4"/>
      <c r="O136" s="7"/>
      <c r="P136" s="7"/>
      <c r="Q136" s="4"/>
      <c r="R136" s="7"/>
      <c r="S136" s="7"/>
      <c r="T136" s="7"/>
      <c r="U136" s="7"/>
      <c r="V136" s="7"/>
      <c r="W136" s="4"/>
      <c r="X136" s="7"/>
      <c r="Y136" s="7"/>
    </row>
    <row r="137">
      <c r="A137" s="4"/>
      <c r="B137" s="4"/>
      <c r="C137" s="8"/>
      <c r="D137" s="5"/>
      <c r="E137" s="6"/>
      <c r="F137" s="6"/>
      <c r="G137" s="6"/>
      <c r="H137" s="4"/>
      <c r="I137" s="4"/>
      <c r="J137" s="4"/>
      <c r="K137" s="4"/>
      <c r="L137" s="7"/>
      <c r="M137" s="7"/>
      <c r="N137" s="4"/>
      <c r="O137" s="7"/>
      <c r="P137" s="7"/>
      <c r="Q137" s="4"/>
      <c r="R137" s="7"/>
      <c r="S137" s="7"/>
      <c r="T137" s="7"/>
      <c r="U137" s="7"/>
      <c r="V137" s="7"/>
      <c r="W137" s="7"/>
      <c r="X137" s="7"/>
      <c r="Y137" s="7"/>
    </row>
    <row r="138">
      <c r="A138" s="4"/>
      <c r="B138" s="4"/>
      <c r="C138" s="8"/>
      <c r="D138" s="5"/>
      <c r="E138" s="6"/>
      <c r="F138" s="6"/>
      <c r="G138" s="6"/>
      <c r="H138" s="4"/>
      <c r="I138" s="4"/>
      <c r="J138" s="4"/>
      <c r="K138" s="4"/>
      <c r="L138" s="4"/>
      <c r="M138" s="7"/>
      <c r="N138" s="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4"/>
      <c r="B139" s="4"/>
      <c r="C139" s="8"/>
      <c r="D139" s="5"/>
      <c r="E139" s="6"/>
      <c r="F139" s="6"/>
      <c r="G139" s="6"/>
      <c r="H139" s="4"/>
      <c r="I139" s="4"/>
      <c r="J139" s="4"/>
      <c r="K139" s="4"/>
      <c r="L139" s="4"/>
      <c r="M139" s="7"/>
      <c r="N139" s="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4"/>
      <c r="B140" s="4"/>
      <c r="C140" s="8"/>
      <c r="D140" s="5"/>
      <c r="E140" s="6"/>
      <c r="F140" s="6"/>
      <c r="G140" s="6"/>
      <c r="H140" s="4"/>
      <c r="I140" s="4"/>
      <c r="J140" s="4"/>
      <c r="K140" s="4"/>
      <c r="L140" s="4"/>
      <c r="M140" s="7"/>
      <c r="N140" s="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4"/>
      <c r="B141" s="4"/>
      <c r="C141" s="8"/>
      <c r="D141" s="5"/>
      <c r="E141" s="6"/>
      <c r="F141" s="6"/>
      <c r="G141" s="6"/>
      <c r="H141" s="4"/>
      <c r="I141" s="4"/>
      <c r="J141" s="4"/>
      <c r="K141" s="4"/>
      <c r="L141" s="4"/>
      <c r="M141" s="7"/>
      <c r="N141" s="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4"/>
      <c r="B142" s="4"/>
      <c r="C142" s="8"/>
      <c r="D142" s="5"/>
      <c r="E142" s="6"/>
      <c r="F142" s="6"/>
      <c r="G142" s="6"/>
      <c r="H142" s="4"/>
      <c r="I142" s="4"/>
      <c r="J142" s="4"/>
      <c r="K142" s="4"/>
      <c r="L142" s="4"/>
      <c r="M142" s="7"/>
      <c r="N142" s="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4"/>
      <c r="B143" s="4"/>
      <c r="C143" s="8"/>
      <c r="D143" s="5"/>
      <c r="E143" s="6"/>
      <c r="F143" s="6"/>
      <c r="G143" s="6"/>
      <c r="H143" s="4"/>
      <c r="I143" s="4"/>
      <c r="J143" s="4"/>
      <c r="K143" s="4"/>
      <c r="L143" s="4"/>
      <c r="M143" s="7"/>
      <c r="N143" s="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4"/>
      <c r="B144" s="4"/>
      <c r="C144" s="8"/>
      <c r="D144" s="5"/>
      <c r="E144" s="6"/>
      <c r="F144" s="6"/>
      <c r="G144" s="6"/>
      <c r="H144" s="4"/>
      <c r="I144" s="4"/>
      <c r="J144" s="4"/>
      <c r="K144" s="4"/>
      <c r="L144" s="4"/>
      <c r="M144" s="7"/>
      <c r="N144" s="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4"/>
      <c r="B145" s="4"/>
      <c r="C145" s="8"/>
      <c r="D145" s="5"/>
      <c r="E145" s="6"/>
      <c r="F145" s="6"/>
      <c r="G145" s="6"/>
      <c r="H145" s="4"/>
      <c r="I145" s="4"/>
      <c r="J145" s="4"/>
      <c r="K145" s="4"/>
      <c r="L145" s="4"/>
      <c r="M145" s="7"/>
      <c r="N145" s="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4"/>
      <c r="B146" s="4"/>
      <c r="C146" s="4"/>
      <c r="D146" s="5"/>
      <c r="E146" s="6"/>
      <c r="F146" s="6"/>
      <c r="G146" s="6"/>
      <c r="H146" s="4"/>
      <c r="I146" s="4"/>
      <c r="J146" s="4"/>
      <c r="K146" s="4"/>
      <c r="L146" s="7"/>
      <c r="M146" s="7"/>
      <c r="N146" s="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4"/>
      <c r="B147" s="4"/>
      <c r="C147" s="8"/>
      <c r="D147" s="5"/>
      <c r="E147" s="6"/>
      <c r="F147" s="6"/>
      <c r="G147" s="6"/>
      <c r="H147" s="4"/>
      <c r="I147" s="4"/>
      <c r="J147" s="4"/>
      <c r="K147" s="4"/>
      <c r="L147" s="7"/>
      <c r="M147" s="7"/>
      <c r="N147" s="7"/>
      <c r="O147" s="7"/>
      <c r="P147" s="7"/>
      <c r="Q147" s="7"/>
      <c r="R147" s="7"/>
      <c r="S147" s="7"/>
      <c r="T147" s="4"/>
      <c r="U147" s="4"/>
      <c r="V147" s="7"/>
      <c r="W147" s="7"/>
      <c r="X147" s="7"/>
      <c r="Y147" s="7"/>
    </row>
    <row r="148">
      <c r="A148" s="4"/>
      <c r="B148" s="4"/>
      <c r="C148" s="8"/>
      <c r="D148" s="5"/>
      <c r="E148" s="6"/>
      <c r="F148" s="6"/>
      <c r="G148" s="6"/>
      <c r="H148" s="4"/>
      <c r="I148" s="4"/>
      <c r="J148" s="4"/>
      <c r="K148" s="4"/>
      <c r="L148" s="7"/>
      <c r="M148" s="7"/>
      <c r="N148" s="7"/>
      <c r="O148" s="7"/>
      <c r="P148" s="7"/>
      <c r="Q148" s="7"/>
      <c r="R148" s="7"/>
      <c r="S148" s="7"/>
      <c r="T148" s="4"/>
      <c r="U148" s="7"/>
      <c r="V148" s="7"/>
      <c r="W148" s="7"/>
      <c r="X148" s="7"/>
      <c r="Y148" s="7"/>
    </row>
    <row r="149">
      <c r="A149" s="4"/>
      <c r="B149" s="4"/>
      <c r="C149" s="8"/>
      <c r="D149" s="5"/>
      <c r="E149" s="6"/>
      <c r="F149" s="6"/>
      <c r="G149" s="6"/>
      <c r="H149" s="4"/>
      <c r="I149" s="4"/>
      <c r="J149" s="4"/>
      <c r="K149" s="4"/>
      <c r="L149" s="7"/>
      <c r="M149" s="7"/>
      <c r="N149" s="7"/>
      <c r="O149" s="4"/>
      <c r="P149" s="7"/>
      <c r="Q149" s="7"/>
      <c r="R149" s="7"/>
      <c r="S149" s="7"/>
      <c r="T149" s="7"/>
      <c r="U149" s="4"/>
      <c r="V149" s="7"/>
      <c r="W149" s="7"/>
      <c r="X149" s="7"/>
      <c r="Y149" s="7"/>
    </row>
    <row r="150">
      <c r="A150" s="4"/>
      <c r="B150" s="4"/>
      <c r="C150" s="8"/>
      <c r="D150" s="5"/>
      <c r="E150" s="6"/>
      <c r="F150" s="6"/>
      <c r="G150" s="6"/>
      <c r="H150" s="4"/>
      <c r="I150" s="4"/>
      <c r="J150" s="4"/>
      <c r="K150" s="4"/>
      <c r="L150" s="4"/>
      <c r="M150" s="7"/>
      <c r="N150" s="7"/>
      <c r="O150" s="7"/>
      <c r="P150" s="4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4"/>
      <c r="B151" s="4"/>
      <c r="C151" s="8"/>
      <c r="D151" s="5"/>
      <c r="E151" s="6"/>
      <c r="F151" s="6"/>
      <c r="G151" s="6"/>
      <c r="H151" s="4"/>
      <c r="I151" s="4"/>
      <c r="J151" s="4"/>
      <c r="K151" s="4"/>
      <c r="L151" s="7"/>
      <c r="M151" s="7"/>
      <c r="N151" s="7"/>
      <c r="O151" s="7"/>
      <c r="P151" s="7"/>
      <c r="Q151" s="4"/>
      <c r="R151" s="7"/>
      <c r="S151" s="7"/>
      <c r="T151" s="7"/>
      <c r="U151" s="7"/>
      <c r="V151" s="7"/>
      <c r="W151" s="7"/>
      <c r="X151" s="7"/>
      <c r="Y151" s="7"/>
    </row>
    <row r="152">
      <c r="A152" s="4"/>
      <c r="B152" s="4"/>
      <c r="C152" s="8"/>
      <c r="D152" s="5"/>
      <c r="E152" s="6"/>
      <c r="F152" s="6"/>
      <c r="G152" s="6"/>
      <c r="H152" s="4"/>
      <c r="I152" s="4"/>
      <c r="J152" s="4"/>
      <c r="K152" s="4"/>
      <c r="L152" s="7"/>
      <c r="M152" s="7"/>
      <c r="N152" s="4"/>
      <c r="O152" s="7"/>
      <c r="P152" s="4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4"/>
      <c r="B153" s="4"/>
      <c r="C153" s="8"/>
      <c r="D153" s="5"/>
      <c r="E153" s="6"/>
      <c r="F153" s="6"/>
      <c r="G153" s="6"/>
      <c r="H153" s="4"/>
      <c r="I153" s="4"/>
      <c r="J153" s="4"/>
      <c r="K153" s="4"/>
      <c r="L153" s="7"/>
      <c r="M153" s="7"/>
      <c r="N153" s="7"/>
      <c r="O153" s="7"/>
      <c r="P153" s="4"/>
      <c r="Q153" s="7"/>
      <c r="R153" s="7"/>
      <c r="S153" s="7"/>
      <c r="T153" s="4"/>
      <c r="U153" s="7"/>
      <c r="V153" s="7"/>
      <c r="W153" s="7"/>
      <c r="X153" s="7"/>
      <c r="Y153" s="7"/>
    </row>
    <row r="154">
      <c r="A154" s="4"/>
      <c r="B154" s="4"/>
      <c r="C154" s="8"/>
      <c r="D154" s="5"/>
      <c r="E154" s="6"/>
      <c r="F154" s="6"/>
      <c r="G154" s="6"/>
      <c r="H154" s="4"/>
      <c r="I154" s="4"/>
      <c r="J154" s="4"/>
      <c r="K154" s="4"/>
      <c r="L154" s="7"/>
      <c r="M154" s="7"/>
      <c r="N154" s="7"/>
      <c r="O154" s="7"/>
      <c r="P154" s="4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4"/>
      <c r="B155" s="4"/>
      <c r="C155" s="8"/>
      <c r="D155" s="5"/>
      <c r="E155" s="6"/>
      <c r="F155" s="6"/>
      <c r="G155" s="6"/>
      <c r="H155" s="4"/>
      <c r="I155" s="4"/>
      <c r="J155" s="4"/>
      <c r="K155" s="4"/>
      <c r="L155" s="7"/>
      <c r="M155" s="7"/>
      <c r="N155" s="7"/>
      <c r="O155" s="7"/>
      <c r="P155" s="7"/>
      <c r="Q155" s="4"/>
      <c r="R155" s="7"/>
      <c r="S155" s="4"/>
      <c r="T155" s="7"/>
      <c r="U155" s="7"/>
      <c r="V155" s="7"/>
      <c r="W155" s="7"/>
      <c r="X155" s="7"/>
      <c r="Y155" s="7"/>
    </row>
    <row r="156">
      <c r="A156" s="4"/>
      <c r="B156" s="4"/>
      <c r="C156" s="8"/>
      <c r="D156" s="5"/>
      <c r="E156" s="6"/>
      <c r="F156" s="6"/>
      <c r="G156" s="6"/>
      <c r="H156" s="4"/>
      <c r="I156" s="4"/>
      <c r="J156" s="4"/>
      <c r="K156" s="4"/>
      <c r="L156" s="7"/>
      <c r="M156" s="7"/>
      <c r="N156" s="4"/>
      <c r="O156" s="7"/>
      <c r="P156" s="4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4"/>
      <c r="B157" s="4"/>
      <c r="C157" s="8"/>
      <c r="D157" s="5"/>
      <c r="E157" s="6"/>
      <c r="F157" s="6"/>
      <c r="G157" s="6"/>
      <c r="H157" s="4"/>
      <c r="I157" s="4"/>
      <c r="J157" s="4"/>
      <c r="K157" s="4"/>
      <c r="L157" s="4"/>
      <c r="M157" s="7"/>
      <c r="N157" s="7"/>
      <c r="O157" s="7"/>
      <c r="P157" s="4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4"/>
      <c r="B158" s="4"/>
      <c r="C158" s="8"/>
      <c r="D158" s="5"/>
      <c r="E158" s="6"/>
      <c r="F158" s="6"/>
      <c r="G158" s="6"/>
      <c r="H158" s="4"/>
      <c r="I158" s="4"/>
      <c r="J158" s="4"/>
      <c r="K158" s="4"/>
      <c r="L158" s="7"/>
      <c r="M158" s="7"/>
      <c r="N158" s="7"/>
      <c r="O158" s="7"/>
      <c r="P158" s="4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4"/>
      <c r="B159" s="4"/>
      <c r="C159" s="8"/>
      <c r="D159" s="5"/>
      <c r="E159" s="6"/>
      <c r="F159" s="6"/>
      <c r="G159" s="6"/>
      <c r="H159" s="4"/>
      <c r="I159" s="4"/>
      <c r="J159" s="4"/>
      <c r="K159" s="4"/>
      <c r="L159" s="7"/>
      <c r="M159" s="7"/>
      <c r="N159" s="7"/>
      <c r="O159" s="7"/>
      <c r="P159" s="4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4"/>
      <c r="B160" s="4"/>
      <c r="C160" s="8"/>
      <c r="D160" s="5"/>
      <c r="E160" s="6"/>
      <c r="F160" s="6"/>
      <c r="G160" s="6"/>
      <c r="H160" s="4"/>
      <c r="I160" s="4"/>
      <c r="J160" s="4"/>
      <c r="K160" s="4"/>
      <c r="L160" s="4"/>
      <c r="M160" s="7"/>
      <c r="N160" s="7"/>
      <c r="O160" s="7"/>
      <c r="P160" s="4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4"/>
      <c r="B161" s="4"/>
      <c r="C161" s="8"/>
      <c r="D161" s="5"/>
      <c r="E161" s="6"/>
      <c r="F161" s="6"/>
      <c r="G161" s="6"/>
      <c r="H161" s="4"/>
      <c r="I161" s="4"/>
      <c r="J161" s="4"/>
      <c r="K161" s="4"/>
      <c r="L161" s="4"/>
      <c r="M161" s="7"/>
      <c r="N161" s="7"/>
      <c r="O161" s="7"/>
      <c r="P161" s="7"/>
      <c r="Q161" s="4"/>
      <c r="R161" s="7"/>
      <c r="S161" s="7"/>
      <c r="T161" s="7"/>
      <c r="U161" s="7"/>
      <c r="V161" s="7"/>
      <c r="W161" s="7"/>
      <c r="X161" s="7"/>
      <c r="Y161" s="7"/>
    </row>
    <row r="162">
      <c r="A162" s="4"/>
      <c r="B162" s="4"/>
      <c r="C162" s="8"/>
      <c r="D162" s="5"/>
      <c r="E162" s="6"/>
      <c r="F162" s="6"/>
      <c r="G162" s="6"/>
      <c r="H162" s="4"/>
      <c r="I162" s="4"/>
      <c r="J162" s="4"/>
      <c r="K162" s="4"/>
      <c r="L162" s="7"/>
      <c r="M162" s="7"/>
      <c r="N162" s="7"/>
      <c r="O162" s="7"/>
      <c r="P162" s="4"/>
      <c r="Q162" s="7"/>
      <c r="R162" s="4"/>
      <c r="S162" s="7"/>
      <c r="T162" s="7"/>
      <c r="U162" s="7"/>
      <c r="V162" s="7"/>
      <c r="W162" s="7"/>
      <c r="X162" s="7"/>
      <c r="Y162" s="7"/>
    </row>
    <row r="163">
      <c r="A163" s="4"/>
      <c r="B163" s="4"/>
      <c r="C163" s="8"/>
      <c r="D163" s="5"/>
      <c r="E163" s="6"/>
      <c r="F163" s="6"/>
      <c r="G163" s="6"/>
      <c r="H163" s="4"/>
      <c r="I163" s="4"/>
      <c r="J163" s="4"/>
      <c r="K163" s="4"/>
      <c r="L163" s="7"/>
      <c r="M163" s="7"/>
      <c r="N163" s="7"/>
      <c r="O163" s="7"/>
      <c r="P163" s="4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4"/>
      <c r="B164" s="4"/>
      <c r="C164" s="8"/>
      <c r="D164" s="5"/>
      <c r="E164" s="6"/>
      <c r="F164" s="6"/>
      <c r="G164" s="6"/>
      <c r="H164" s="4"/>
      <c r="I164" s="4"/>
      <c r="J164" s="4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"/>
      <c r="X164" s="7"/>
      <c r="Y164" s="7"/>
    </row>
    <row r="165">
      <c r="A165" s="4"/>
      <c r="B165" s="4"/>
      <c r="C165" s="8"/>
      <c r="D165" s="5"/>
      <c r="E165" s="6"/>
      <c r="F165" s="6"/>
      <c r="G165" s="6"/>
      <c r="H165" s="4"/>
      <c r="I165" s="4"/>
      <c r="J165" s="4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"/>
      <c r="X165" s="7"/>
      <c r="Y165" s="7"/>
    </row>
    <row r="166">
      <c r="A166" s="4"/>
      <c r="B166" s="8"/>
      <c r="C166" s="4"/>
      <c r="D166" s="5"/>
      <c r="E166" s="6"/>
      <c r="F166" s="6"/>
      <c r="G166" s="6"/>
      <c r="H166" s="4"/>
      <c r="I166" s="4"/>
      <c r="J166" s="4"/>
      <c r="K166" s="4"/>
      <c r="L166" s="7"/>
      <c r="M166" s="7"/>
      <c r="N166" s="7"/>
      <c r="O166" s="7"/>
      <c r="P166" s="4"/>
      <c r="Q166" s="7"/>
      <c r="R166" s="7"/>
      <c r="S166" s="7"/>
      <c r="T166" s="7"/>
      <c r="U166" s="7"/>
      <c r="V166" s="7"/>
      <c r="W166" s="4"/>
      <c r="X166" s="7"/>
      <c r="Y166" s="7"/>
    </row>
    <row r="167">
      <c r="A167" s="4"/>
      <c r="B167" s="8"/>
      <c r="C167" s="8"/>
      <c r="D167" s="5"/>
      <c r="E167" s="6"/>
      <c r="F167" s="6"/>
      <c r="G167" s="6"/>
      <c r="H167" s="4"/>
      <c r="I167" s="4"/>
      <c r="J167" s="4"/>
      <c r="K167" s="4"/>
      <c r="L167" s="7"/>
      <c r="M167" s="7"/>
      <c r="N167" s="7"/>
      <c r="O167" s="7"/>
      <c r="P167" s="4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4"/>
      <c r="B168" s="8"/>
      <c r="C168" s="8"/>
      <c r="D168" s="5"/>
      <c r="E168" s="6"/>
      <c r="F168" s="6"/>
      <c r="G168" s="6"/>
      <c r="H168" s="4"/>
      <c r="I168" s="4"/>
      <c r="J168" s="4"/>
      <c r="K168" s="4"/>
      <c r="L168" s="7"/>
      <c r="M168" s="7"/>
      <c r="N168" s="7"/>
      <c r="O168" s="7"/>
      <c r="P168" s="4"/>
      <c r="Q168" s="7"/>
      <c r="R168" s="7"/>
      <c r="S168" s="7"/>
      <c r="T168" s="7"/>
      <c r="U168" s="7"/>
      <c r="V168" s="7"/>
      <c r="W168" s="4"/>
      <c r="X168" s="7"/>
      <c r="Y168" s="7"/>
    </row>
    <row r="169">
      <c r="A169" s="4"/>
      <c r="B169" s="8"/>
      <c r="C169" s="8"/>
      <c r="D169" s="5"/>
      <c r="E169" s="6"/>
      <c r="F169" s="6"/>
      <c r="G169" s="6"/>
      <c r="H169" s="4"/>
      <c r="I169" s="4"/>
      <c r="J169" s="4"/>
      <c r="K169" s="4"/>
      <c r="L169" s="7"/>
      <c r="M169" s="7"/>
      <c r="N169" s="7"/>
      <c r="O169" s="7"/>
      <c r="P169" s="4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4"/>
      <c r="B170" s="4"/>
      <c r="C170" s="8"/>
      <c r="D170" s="5"/>
      <c r="E170" s="6"/>
      <c r="F170" s="6"/>
      <c r="G170" s="6"/>
      <c r="H170" s="4"/>
      <c r="I170" s="4"/>
      <c r="J170" s="4"/>
      <c r="K170" s="4"/>
      <c r="L170" s="7"/>
      <c r="M170" s="7"/>
      <c r="N170" s="7"/>
      <c r="O170" s="4"/>
      <c r="P170" s="7"/>
      <c r="Q170" s="4"/>
      <c r="R170" s="7"/>
      <c r="S170" s="7"/>
      <c r="T170" s="7"/>
      <c r="U170" s="7"/>
      <c r="V170" s="7"/>
      <c r="W170" s="7"/>
      <c r="X170" s="7"/>
      <c r="Y170" s="7"/>
    </row>
    <row r="171">
      <c r="A171" s="4"/>
      <c r="B171" s="4"/>
      <c r="C171" s="8"/>
      <c r="D171" s="5"/>
      <c r="E171" s="6"/>
      <c r="F171" s="6"/>
      <c r="G171" s="6"/>
      <c r="H171" s="4"/>
      <c r="I171" s="4"/>
      <c r="J171" s="4"/>
      <c r="K171" s="4"/>
      <c r="L171" s="7"/>
      <c r="M171" s="7"/>
      <c r="N171" s="4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7"/>
    </row>
    <row r="172">
      <c r="A172" s="4"/>
      <c r="B172" s="4"/>
      <c r="C172" s="8"/>
      <c r="D172" s="5"/>
      <c r="E172" s="6"/>
      <c r="F172" s="6"/>
      <c r="G172" s="6"/>
      <c r="H172" s="4"/>
      <c r="I172" s="4"/>
      <c r="J172" s="4"/>
      <c r="K172" s="4"/>
      <c r="L172" s="7"/>
      <c r="M172" s="7"/>
      <c r="N172" s="4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7"/>
    </row>
    <row r="173">
      <c r="A173" s="4"/>
      <c r="B173" s="4"/>
      <c r="C173" s="8"/>
      <c r="D173" s="5"/>
      <c r="E173" s="6"/>
      <c r="F173" s="6"/>
      <c r="G173" s="6"/>
      <c r="H173" s="4"/>
      <c r="I173" s="4"/>
      <c r="J173" s="4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7"/>
    </row>
    <row r="174">
      <c r="A174" s="4"/>
      <c r="B174" s="4"/>
      <c r="C174" s="8"/>
      <c r="D174" s="5"/>
      <c r="E174" s="6"/>
      <c r="F174" s="6"/>
      <c r="G174" s="6"/>
      <c r="H174" s="4"/>
      <c r="I174" s="4"/>
      <c r="J174" s="4"/>
      <c r="K174" s="4"/>
      <c r="L174" s="7"/>
      <c r="M174" s="7"/>
      <c r="N174" s="7"/>
      <c r="O174" s="4"/>
      <c r="P174" s="7"/>
      <c r="Q174" s="7"/>
      <c r="R174" s="7"/>
      <c r="S174" s="7"/>
      <c r="T174" s="7"/>
      <c r="U174" s="7"/>
      <c r="V174" s="7"/>
      <c r="W174" s="7"/>
      <c r="X174" s="4"/>
      <c r="Y174" s="7"/>
    </row>
    <row r="175">
      <c r="A175" s="4"/>
      <c r="B175" s="4"/>
      <c r="C175" s="8"/>
      <c r="D175" s="5"/>
      <c r="E175" s="6"/>
      <c r="F175" s="6"/>
      <c r="G175" s="6"/>
      <c r="H175" s="4"/>
      <c r="I175" s="4"/>
      <c r="J175" s="4"/>
      <c r="K175" s="4"/>
      <c r="L175" s="7"/>
      <c r="M175" s="7"/>
      <c r="N175" s="7"/>
      <c r="O175" s="4"/>
      <c r="P175" s="7"/>
      <c r="Q175" s="7"/>
      <c r="R175" s="7"/>
      <c r="S175" s="7"/>
      <c r="T175" s="7"/>
      <c r="U175" s="7"/>
      <c r="V175" s="7"/>
      <c r="W175" s="7"/>
      <c r="X175" s="4"/>
      <c r="Y175" s="7"/>
    </row>
    <row r="176">
      <c r="A176" s="4"/>
      <c r="B176" s="4"/>
      <c r="C176" s="8"/>
      <c r="D176" s="5"/>
      <c r="E176" s="6"/>
      <c r="F176" s="6"/>
      <c r="G176" s="6"/>
      <c r="H176" s="4"/>
      <c r="I176" s="4"/>
      <c r="J176" s="4"/>
      <c r="K176" s="4"/>
      <c r="L176" s="7"/>
      <c r="M176" s="7"/>
      <c r="N176" s="7"/>
      <c r="O176" s="4"/>
      <c r="P176" s="7"/>
      <c r="Q176" s="7"/>
      <c r="R176" s="7"/>
      <c r="S176" s="7"/>
      <c r="T176" s="7"/>
      <c r="U176" s="7"/>
      <c r="V176" s="7"/>
      <c r="W176" s="7"/>
      <c r="X176" s="4"/>
      <c r="Y176" s="7"/>
    </row>
    <row r="177">
      <c r="A177" s="4"/>
      <c r="B177" s="4"/>
      <c r="C177" s="8"/>
      <c r="D177" s="5"/>
      <c r="E177" s="6"/>
      <c r="F177" s="6"/>
      <c r="G177" s="6"/>
      <c r="H177" s="4"/>
      <c r="I177" s="4"/>
      <c r="J177" s="4"/>
      <c r="K177" s="4"/>
      <c r="L177" s="7"/>
      <c r="M177" s="7"/>
      <c r="N177" s="7"/>
      <c r="O177" s="4"/>
      <c r="P177" s="7"/>
      <c r="Q177" s="7"/>
      <c r="R177" s="7"/>
      <c r="S177" s="7"/>
      <c r="T177" s="7"/>
      <c r="U177" s="7"/>
      <c r="V177" s="7"/>
      <c r="W177" s="7"/>
      <c r="X177" s="4"/>
      <c r="Y177" s="7"/>
    </row>
    <row r="178">
      <c r="A178" s="4"/>
      <c r="B178" s="4"/>
      <c r="C178" s="8"/>
      <c r="D178" s="5"/>
      <c r="E178" s="6"/>
      <c r="F178" s="6"/>
      <c r="G178" s="6"/>
      <c r="H178" s="4"/>
      <c r="I178" s="4"/>
      <c r="J178" s="4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7"/>
    </row>
    <row r="179">
      <c r="A179" s="4"/>
      <c r="B179" s="4"/>
      <c r="C179" s="8"/>
      <c r="D179" s="5"/>
      <c r="E179" s="6"/>
      <c r="F179" s="6"/>
      <c r="G179" s="6"/>
      <c r="H179" s="4"/>
      <c r="I179" s="4"/>
      <c r="J179" s="4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7"/>
    </row>
    <row r="180">
      <c r="A180" s="4"/>
      <c r="B180" s="4"/>
      <c r="C180" s="8"/>
      <c r="D180" s="5"/>
      <c r="E180" s="6"/>
      <c r="F180" s="6"/>
      <c r="G180" s="6"/>
      <c r="H180" s="4"/>
      <c r="I180" s="4"/>
      <c r="J180" s="4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7"/>
    </row>
    <row r="181">
      <c r="A181" s="4"/>
      <c r="B181" s="4"/>
      <c r="C181" s="8"/>
      <c r="D181" s="5"/>
      <c r="E181" s="6"/>
      <c r="F181" s="6"/>
      <c r="G181" s="6"/>
      <c r="H181" s="4"/>
      <c r="I181" s="4"/>
      <c r="J181" s="4"/>
      <c r="K181" s="4"/>
      <c r="L181" s="7"/>
      <c r="M181" s="7"/>
      <c r="N181" s="7"/>
      <c r="O181" s="7"/>
      <c r="P181" s="7"/>
      <c r="Q181" s="4"/>
      <c r="R181" s="7"/>
      <c r="S181" s="7"/>
      <c r="T181" s="7"/>
      <c r="U181" s="7"/>
      <c r="V181" s="7"/>
      <c r="W181" s="4"/>
      <c r="X181" s="7"/>
      <c r="Y181" s="7"/>
    </row>
    <row r="182">
      <c r="A182" s="4"/>
      <c r="B182" s="4"/>
      <c r="C182" s="8"/>
      <c r="D182" s="5"/>
      <c r="E182" s="6"/>
      <c r="F182" s="6"/>
      <c r="G182" s="6"/>
      <c r="H182" s="4"/>
      <c r="I182" s="4"/>
      <c r="J182" s="4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"/>
      <c r="X182" s="7"/>
      <c r="Y182" s="7"/>
    </row>
    <row r="183">
      <c r="A183" s="4"/>
      <c r="B183" s="4"/>
      <c r="C183" s="8"/>
      <c r="D183" s="5"/>
      <c r="E183" s="6"/>
      <c r="F183" s="6"/>
      <c r="G183" s="6"/>
      <c r="H183" s="4"/>
      <c r="I183" s="4"/>
      <c r="J183" s="4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"/>
      <c r="X183" s="7"/>
      <c r="Y183" s="7"/>
    </row>
    <row r="184">
      <c r="A184" s="4"/>
      <c r="B184" s="4"/>
      <c r="C184" s="8"/>
      <c r="D184" s="5"/>
      <c r="E184" s="6"/>
      <c r="F184" s="6"/>
      <c r="G184" s="6"/>
      <c r="H184" s="4"/>
      <c r="I184" s="4"/>
      <c r="J184" s="4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4"/>
      <c r="W184" s="7"/>
      <c r="X184" s="7"/>
      <c r="Y184" s="7"/>
    </row>
    <row r="185">
      <c r="A185" s="4"/>
      <c r="B185" s="4"/>
      <c r="C185" s="8"/>
      <c r="D185" s="5"/>
      <c r="E185" s="6"/>
      <c r="F185" s="6"/>
      <c r="G185" s="6"/>
      <c r="H185" s="4"/>
      <c r="I185" s="4"/>
      <c r="J185" s="4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4"/>
      <c r="W185" s="7"/>
      <c r="X185" s="7"/>
      <c r="Y185" s="7"/>
    </row>
    <row r="186">
      <c r="A186" s="4"/>
      <c r="B186" s="4"/>
      <c r="C186" s="8"/>
      <c r="D186" s="5"/>
      <c r="E186" s="6"/>
      <c r="F186" s="6"/>
      <c r="G186" s="6"/>
      <c r="H186" s="4"/>
      <c r="I186" s="4"/>
      <c r="J186" s="4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4"/>
      <c r="W186" s="7"/>
      <c r="X186" s="7"/>
      <c r="Y186" s="7"/>
    </row>
    <row r="187">
      <c r="A187" s="4"/>
      <c r="B187" s="4"/>
      <c r="C187" s="8"/>
      <c r="D187" s="5"/>
      <c r="E187" s="6"/>
      <c r="F187" s="6"/>
      <c r="G187" s="6"/>
      <c r="H187" s="4"/>
      <c r="I187" s="4"/>
      <c r="J187" s="4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4"/>
      <c r="W187" s="7"/>
      <c r="X187" s="7"/>
      <c r="Y187" s="7"/>
    </row>
    <row r="188">
      <c r="A188" s="4"/>
      <c r="B188" s="4"/>
      <c r="C188" s="8"/>
      <c r="D188" s="5"/>
      <c r="E188" s="6"/>
      <c r="F188" s="6"/>
      <c r="G188" s="6"/>
      <c r="H188" s="4"/>
      <c r="I188" s="4"/>
      <c r="J188" s="4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4"/>
      <c r="W188" s="7"/>
      <c r="X188" s="7"/>
      <c r="Y188" s="7"/>
    </row>
    <row r="189">
      <c r="A189" s="4"/>
      <c r="B189" s="4"/>
      <c r="C189" s="8"/>
      <c r="D189" s="5"/>
      <c r="E189" s="6"/>
      <c r="F189" s="6"/>
      <c r="G189" s="6"/>
      <c r="H189" s="4"/>
      <c r="I189" s="4"/>
      <c r="J189" s="4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4"/>
      <c r="W189" s="7"/>
      <c r="X189" s="7"/>
      <c r="Y189" s="7"/>
    </row>
    <row r="190">
      <c r="A190" s="4"/>
      <c r="B190" s="4"/>
      <c r="C190" s="8"/>
      <c r="D190" s="5"/>
      <c r="E190" s="6"/>
      <c r="F190" s="6"/>
      <c r="G190" s="6"/>
      <c r="H190" s="4"/>
      <c r="I190" s="4"/>
      <c r="J190" s="4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4"/>
      <c r="W190" s="7"/>
      <c r="X190" s="7"/>
      <c r="Y190" s="7"/>
    </row>
    <row r="191">
      <c r="A191" s="4"/>
      <c r="B191" s="4"/>
      <c r="C191" s="8"/>
      <c r="D191" s="5"/>
      <c r="E191" s="6"/>
      <c r="F191" s="6"/>
      <c r="G191" s="6"/>
      <c r="H191" s="4"/>
      <c r="I191" s="4"/>
      <c r="J191" s="4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4"/>
      <c r="W191" s="7"/>
      <c r="X191" s="7"/>
      <c r="Y191" s="7"/>
    </row>
    <row r="192">
      <c r="A192" s="4"/>
      <c r="B192" s="4"/>
      <c r="C192" s="8"/>
      <c r="D192" s="5"/>
      <c r="E192" s="6"/>
      <c r="F192" s="6"/>
      <c r="G192" s="6"/>
      <c r="H192" s="4"/>
      <c r="I192" s="4"/>
      <c r="J192" s="4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4"/>
      <c r="W192" s="7"/>
      <c r="X192" s="7"/>
      <c r="Y192" s="7"/>
    </row>
    <row r="193">
      <c r="A193" s="4"/>
      <c r="B193" s="4"/>
      <c r="C193" s="8"/>
      <c r="D193" s="5"/>
      <c r="E193" s="6"/>
      <c r="F193" s="6"/>
      <c r="G193" s="6"/>
      <c r="H193" s="4"/>
      <c r="I193" s="4"/>
      <c r="J193" s="4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4"/>
      <c r="W193" s="7"/>
      <c r="X193" s="7"/>
      <c r="Y193" s="7"/>
    </row>
    <row r="194">
      <c r="A194" s="4"/>
      <c r="B194" s="4"/>
      <c r="C194" s="8"/>
      <c r="D194" s="5"/>
      <c r="E194" s="6"/>
      <c r="F194" s="6"/>
      <c r="G194" s="6"/>
      <c r="H194" s="4"/>
      <c r="I194" s="4"/>
      <c r="J194" s="4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4"/>
      <c r="W194" s="7"/>
      <c r="X194" s="7"/>
      <c r="Y194" s="7"/>
    </row>
    <row r="195">
      <c r="A195" s="4"/>
      <c r="B195" s="4"/>
      <c r="C195" s="8"/>
      <c r="D195" s="5"/>
      <c r="E195" s="6"/>
      <c r="F195" s="6"/>
      <c r="G195" s="6"/>
      <c r="H195" s="4"/>
      <c r="I195" s="4"/>
      <c r="J195" s="4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4"/>
      <c r="W195" s="7"/>
      <c r="X195" s="7"/>
      <c r="Y195" s="7"/>
    </row>
    <row r="196">
      <c r="A196" s="4"/>
      <c r="B196" s="4"/>
      <c r="C196" s="8"/>
      <c r="D196" s="5"/>
      <c r="E196" s="6"/>
      <c r="F196" s="6"/>
      <c r="G196" s="6"/>
      <c r="H196" s="4"/>
      <c r="I196" s="4"/>
      <c r="J196" s="4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4"/>
      <c r="W196" s="7"/>
      <c r="X196" s="7"/>
      <c r="Y196" s="7"/>
    </row>
    <row r="197">
      <c r="A197" s="4"/>
      <c r="B197" s="4"/>
      <c r="C197" s="8"/>
      <c r="D197" s="5"/>
      <c r="E197" s="6"/>
      <c r="F197" s="6"/>
      <c r="G197" s="6"/>
      <c r="H197" s="4"/>
      <c r="I197" s="4"/>
      <c r="J197" s="4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4"/>
      <c r="W197" s="7"/>
      <c r="X197" s="7"/>
      <c r="Y197" s="7"/>
    </row>
    <row r="198">
      <c r="A198" s="4"/>
      <c r="B198" s="4"/>
      <c r="C198" s="8"/>
      <c r="D198" s="5"/>
      <c r="E198" s="6"/>
      <c r="F198" s="6"/>
      <c r="G198" s="6"/>
      <c r="H198" s="4"/>
      <c r="I198" s="4"/>
      <c r="J198" s="4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4"/>
      <c r="W198" s="7"/>
      <c r="X198" s="7"/>
      <c r="Y198" s="7"/>
    </row>
    <row r="199">
      <c r="A199" s="4"/>
      <c r="B199" s="4"/>
      <c r="C199" s="8"/>
      <c r="D199" s="5"/>
      <c r="E199" s="6"/>
      <c r="F199" s="6"/>
      <c r="G199" s="6"/>
      <c r="H199" s="4"/>
      <c r="I199" s="4"/>
      <c r="J199" s="4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4"/>
      <c r="W199" s="7"/>
      <c r="X199" s="7"/>
      <c r="Y199" s="7"/>
    </row>
    <row r="200">
      <c r="A200" s="4"/>
      <c r="B200" s="4"/>
      <c r="C200" s="8"/>
      <c r="D200" s="5"/>
      <c r="E200" s="6"/>
      <c r="F200" s="6"/>
      <c r="G200" s="6"/>
      <c r="H200" s="4"/>
      <c r="I200" s="4"/>
      <c r="J200" s="4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4"/>
      <c r="W200" s="7"/>
      <c r="X200" s="7"/>
      <c r="Y200" s="7"/>
    </row>
    <row r="201">
      <c r="A201" s="4"/>
      <c r="B201" s="4"/>
      <c r="C201" s="8"/>
      <c r="D201" s="5"/>
      <c r="E201" s="6"/>
      <c r="F201" s="6"/>
      <c r="G201" s="6"/>
      <c r="H201" s="4"/>
      <c r="I201" s="4"/>
      <c r="J201" s="4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4"/>
      <c r="B202" s="4"/>
      <c r="C202" s="8"/>
      <c r="D202" s="5"/>
      <c r="E202" s="6"/>
      <c r="F202" s="6"/>
      <c r="G202" s="6"/>
      <c r="H202" s="4"/>
      <c r="I202" s="4"/>
      <c r="J202" s="4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4"/>
      <c r="B203" s="4"/>
      <c r="C203" s="8"/>
      <c r="D203" s="5"/>
      <c r="E203" s="6"/>
      <c r="F203" s="6"/>
      <c r="G203" s="6"/>
      <c r="H203" s="4"/>
      <c r="I203" s="4"/>
      <c r="J203" s="4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4"/>
      <c r="B204" s="4"/>
      <c r="C204" s="8"/>
      <c r="D204" s="5"/>
      <c r="E204" s="6"/>
      <c r="F204" s="6"/>
      <c r="G204" s="6"/>
      <c r="H204" s="4"/>
      <c r="I204" s="4"/>
      <c r="J204" s="4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4"/>
      <c r="B205" s="4"/>
      <c r="C205" s="8"/>
      <c r="D205" s="5"/>
      <c r="E205" s="6"/>
      <c r="F205" s="6"/>
      <c r="G205" s="6"/>
      <c r="H205" s="4"/>
      <c r="I205" s="4"/>
      <c r="J205" s="4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4"/>
      <c r="B206" s="4"/>
      <c r="C206" s="8"/>
      <c r="D206" s="5"/>
      <c r="E206" s="6"/>
      <c r="F206" s="6"/>
      <c r="G206" s="6"/>
      <c r="H206" s="4"/>
      <c r="I206" s="4"/>
      <c r="J206" s="4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4"/>
      <c r="B207" s="4"/>
      <c r="C207" s="8"/>
      <c r="D207" s="5"/>
      <c r="E207" s="6"/>
      <c r="F207" s="6"/>
      <c r="G207" s="6"/>
      <c r="H207" s="4"/>
      <c r="I207" s="4"/>
      <c r="J207" s="4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4"/>
      <c r="B208" s="4"/>
      <c r="C208" s="8"/>
      <c r="D208" s="5"/>
      <c r="E208" s="6"/>
      <c r="F208" s="6"/>
      <c r="G208" s="6"/>
      <c r="H208" s="4"/>
      <c r="I208" s="4"/>
      <c r="J208" s="4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4"/>
      <c r="B209" s="4"/>
      <c r="C209" s="8"/>
      <c r="D209" s="5"/>
      <c r="E209" s="6"/>
      <c r="F209" s="6"/>
      <c r="G209" s="6"/>
      <c r="H209" s="4"/>
      <c r="I209" s="4"/>
      <c r="J209" s="4"/>
      <c r="K209" s="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4"/>
      <c r="B210" s="4"/>
      <c r="C210" s="8"/>
      <c r="D210" s="5"/>
      <c r="E210" s="6"/>
      <c r="F210" s="6"/>
      <c r="G210" s="6"/>
      <c r="H210" s="4"/>
      <c r="I210" s="4"/>
      <c r="J210" s="4"/>
      <c r="K210" s="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4"/>
      <c r="B211" s="4"/>
      <c r="C211" s="8"/>
      <c r="D211" s="5"/>
      <c r="E211" s="6"/>
      <c r="F211" s="6"/>
      <c r="G211" s="6"/>
      <c r="H211" s="4"/>
      <c r="I211" s="4"/>
      <c r="J211" s="4"/>
      <c r="K211" s="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4"/>
      <c r="B212" s="4"/>
      <c r="C212" s="8"/>
      <c r="D212" s="5"/>
      <c r="E212" s="6"/>
      <c r="F212" s="6"/>
      <c r="G212" s="6"/>
      <c r="H212" s="4"/>
      <c r="I212" s="4"/>
      <c r="J212" s="4"/>
      <c r="K212" s="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4"/>
      <c r="B213" s="4"/>
      <c r="C213" s="8"/>
      <c r="D213" s="5"/>
      <c r="E213" s="6"/>
      <c r="F213" s="6"/>
      <c r="G213" s="6"/>
      <c r="H213" s="4"/>
      <c r="I213" s="4"/>
      <c r="J213" s="4"/>
      <c r="K213" s="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4"/>
      <c r="B214" s="4"/>
      <c r="C214" s="8"/>
      <c r="D214" s="5"/>
      <c r="E214" s="6"/>
      <c r="F214" s="6"/>
      <c r="G214" s="6"/>
      <c r="H214" s="4"/>
      <c r="I214" s="4"/>
      <c r="J214" s="4"/>
      <c r="K214" s="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4"/>
      <c r="B215" s="4"/>
      <c r="C215" s="8"/>
      <c r="D215" s="5"/>
      <c r="E215" s="6"/>
      <c r="F215" s="6"/>
      <c r="G215" s="6"/>
      <c r="H215" s="4"/>
      <c r="I215" s="4"/>
      <c r="J215" s="4"/>
      <c r="K215" s="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4"/>
      <c r="B216" s="4"/>
      <c r="C216" s="8"/>
      <c r="D216" s="5"/>
      <c r="E216" s="6"/>
      <c r="F216" s="6"/>
      <c r="G216" s="6"/>
      <c r="H216" s="4"/>
      <c r="I216" s="4"/>
      <c r="J216" s="4"/>
      <c r="K216" s="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4"/>
      <c r="B217" s="4"/>
      <c r="C217" s="8"/>
      <c r="D217" s="5"/>
      <c r="E217" s="6"/>
      <c r="F217" s="6"/>
      <c r="G217" s="6"/>
      <c r="H217" s="4"/>
      <c r="I217" s="4"/>
      <c r="J217" s="4"/>
      <c r="K217" s="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4"/>
      <c r="B218" s="4"/>
      <c r="C218" s="8"/>
      <c r="D218" s="5"/>
      <c r="E218" s="6"/>
      <c r="F218" s="6"/>
      <c r="G218" s="6"/>
      <c r="H218" s="4"/>
      <c r="I218" s="4"/>
      <c r="J218" s="4"/>
      <c r="K218" s="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4"/>
      <c r="B219" s="4"/>
      <c r="C219" s="8"/>
      <c r="D219" s="5"/>
      <c r="E219" s="6"/>
      <c r="F219" s="6"/>
      <c r="G219" s="6"/>
      <c r="H219" s="4"/>
      <c r="I219" s="4"/>
      <c r="J219" s="4"/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4"/>
      <c r="B220" s="4"/>
      <c r="C220" s="8"/>
      <c r="D220" s="5"/>
      <c r="E220" s="6"/>
      <c r="F220" s="6"/>
      <c r="G220" s="6"/>
      <c r="H220" s="4"/>
      <c r="I220" s="4"/>
      <c r="J220" s="4"/>
      <c r="K220" s="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4"/>
      <c r="B221" s="4"/>
      <c r="C221" s="8"/>
      <c r="D221" s="5"/>
      <c r="E221" s="6"/>
      <c r="F221" s="6"/>
      <c r="G221" s="6"/>
      <c r="H221" s="4"/>
      <c r="I221" s="4"/>
      <c r="J221" s="4"/>
      <c r="K221" s="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4"/>
      <c r="B222" s="4"/>
      <c r="C222" s="8"/>
      <c r="D222" s="5"/>
      <c r="E222" s="6"/>
      <c r="F222" s="6"/>
      <c r="G222" s="6"/>
      <c r="H222" s="4"/>
      <c r="I222" s="4"/>
      <c r="J222" s="4"/>
      <c r="K222" s="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4"/>
      <c r="B223" s="4"/>
      <c r="C223" s="8"/>
      <c r="D223" s="5"/>
      <c r="E223" s="6"/>
      <c r="F223" s="6"/>
      <c r="G223" s="6"/>
      <c r="H223" s="4"/>
      <c r="I223" s="4"/>
      <c r="J223" s="4"/>
      <c r="K223" s="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4"/>
      <c r="B224" s="4"/>
      <c r="C224" s="8"/>
      <c r="D224" s="5"/>
      <c r="E224" s="6"/>
      <c r="F224" s="6"/>
      <c r="G224" s="6"/>
      <c r="H224" s="4"/>
      <c r="I224" s="4"/>
      <c r="J224" s="4"/>
      <c r="K224" s="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4"/>
      <c r="B225" s="4"/>
      <c r="C225" s="8"/>
      <c r="D225" s="5"/>
      <c r="E225" s="6"/>
      <c r="F225" s="6"/>
      <c r="G225" s="6"/>
      <c r="H225" s="4"/>
      <c r="I225" s="4"/>
      <c r="J225" s="4"/>
      <c r="K225" s="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4"/>
      <c r="B226" s="4"/>
      <c r="C226" s="8"/>
      <c r="D226" s="5"/>
      <c r="E226" s="6"/>
      <c r="F226" s="6"/>
      <c r="G226" s="6"/>
      <c r="H226" s="4"/>
      <c r="I226" s="4"/>
      <c r="J226" s="4"/>
      <c r="K226" s="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4"/>
      <c r="B227" s="4"/>
      <c r="C227" s="8"/>
      <c r="D227" s="5"/>
      <c r="E227" s="6"/>
      <c r="F227" s="6"/>
      <c r="G227" s="6"/>
      <c r="H227" s="4"/>
      <c r="I227" s="4"/>
      <c r="J227" s="4"/>
      <c r="K227" s="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4"/>
      <c r="B228" s="4"/>
      <c r="C228" s="8"/>
      <c r="D228" s="5"/>
      <c r="E228" s="6"/>
      <c r="F228" s="6"/>
      <c r="G228" s="6"/>
      <c r="H228" s="4"/>
      <c r="I228" s="4"/>
      <c r="J228" s="4"/>
      <c r="K228" s="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4"/>
      <c r="B229" s="4"/>
      <c r="C229" s="8"/>
      <c r="D229" s="5"/>
      <c r="E229" s="6"/>
      <c r="F229" s="6"/>
      <c r="G229" s="6"/>
      <c r="H229" s="4"/>
      <c r="I229" s="4"/>
      <c r="J229" s="4"/>
      <c r="K229" s="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4"/>
      <c r="B230" s="4"/>
      <c r="C230" s="4"/>
      <c r="D230" s="5"/>
      <c r="E230" s="6"/>
      <c r="F230" s="6"/>
      <c r="G230" s="6"/>
      <c r="H230" s="4"/>
      <c r="I230" s="4"/>
      <c r="J230" s="4"/>
      <c r="K230" s="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4"/>
      <c r="B231" s="4"/>
      <c r="C231" s="4"/>
      <c r="D231" s="5"/>
      <c r="E231" s="6"/>
      <c r="F231" s="6"/>
      <c r="G231" s="6"/>
      <c r="H231" s="4"/>
      <c r="I231" s="4"/>
      <c r="J231" s="4"/>
      <c r="K231" s="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4"/>
      <c r="B232" s="4"/>
      <c r="C232" s="4"/>
      <c r="D232" s="5"/>
      <c r="E232" s="6"/>
      <c r="F232" s="6"/>
      <c r="G232" s="6"/>
      <c r="H232" s="4"/>
      <c r="I232" s="4"/>
      <c r="J232" s="4"/>
      <c r="K232" s="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4"/>
      <c r="B233" s="4"/>
      <c r="C233" s="8"/>
      <c r="D233" s="5"/>
      <c r="E233" s="6"/>
      <c r="F233" s="6"/>
      <c r="G233" s="6"/>
      <c r="H233" s="4"/>
      <c r="I233" s="4"/>
      <c r="J233" s="4"/>
      <c r="K233" s="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4"/>
      <c r="B234" s="4"/>
      <c r="C234" s="8"/>
      <c r="D234" s="5"/>
      <c r="E234" s="6"/>
      <c r="F234" s="6"/>
      <c r="G234" s="6"/>
      <c r="H234" s="4"/>
      <c r="I234" s="4"/>
      <c r="J234" s="4"/>
      <c r="K234" s="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4"/>
      <c r="B235" s="4"/>
      <c r="C235" s="8"/>
      <c r="D235" s="5"/>
      <c r="E235" s="6"/>
      <c r="F235" s="6"/>
      <c r="G235" s="6"/>
      <c r="H235" s="4"/>
      <c r="I235" s="4"/>
      <c r="J235" s="4"/>
      <c r="K235" s="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4"/>
      <c r="B236" s="4"/>
      <c r="C236" s="8"/>
      <c r="D236" s="5"/>
      <c r="E236" s="6"/>
      <c r="F236" s="6"/>
      <c r="G236" s="6"/>
      <c r="H236" s="4"/>
      <c r="I236" s="4"/>
      <c r="J236" s="4"/>
      <c r="K236" s="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4"/>
      <c r="B237" s="4"/>
      <c r="C237" s="8"/>
      <c r="D237" s="5"/>
      <c r="E237" s="6"/>
      <c r="F237" s="6"/>
      <c r="G237" s="6"/>
      <c r="H237" s="4"/>
      <c r="I237" s="4"/>
      <c r="J237" s="4"/>
      <c r="K237" s="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4"/>
      <c r="B238" s="4"/>
      <c r="C238" s="8"/>
      <c r="D238" s="5"/>
      <c r="E238" s="6"/>
      <c r="F238" s="6"/>
      <c r="G238" s="6"/>
      <c r="H238" s="4"/>
      <c r="I238" s="4"/>
      <c r="J238" s="4"/>
      <c r="K238" s="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4"/>
      <c r="B239" s="4"/>
      <c r="C239" s="8"/>
      <c r="D239" s="5"/>
      <c r="E239" s="6"/>
      <c r="F239" s="6"/>
      <c r="G239" s="6"/>
      <c r="H239" s="4"/>
      <c r="I239" s="4"/>
      <c r="J239" s="4"/>
      <c r="K239" s="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4"/>
      <c r="B240" s="4"/>
      <c r="C240" s="8"/>
      <c r="D240" s="9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11"/>
      <c r="D241" s="9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11"/>
      <c r="D242" s="9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11"/>
      <c r="D243" s="9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11"/>
      <c r="D244" s="9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11"/>
      <c r="D245" s="9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11"/>
      <c r="D246" s="9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11"/>
      <c r="D247" s="9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11"/>
      <c r="D248" s="9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11"/>
      <c r="D249" s="9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11"/>
      <c r="D250" s="9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11"/>
      <c r="D251" s="9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11"/>
      <c r="D252" s="9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11"/>
      <c r="D253" s="9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11"/>
      <c r="D254" s="9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11"/>
      <c r="D255" s="9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11"/>
      <c r="D256" s="9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11"/>
      <c r="D257" s="9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11"/>
      <c r="D258" s="9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11"/>
      <c r="D259" s="9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11"/>
      <c r="D260" s="9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11"/>
      <c r="D261" s="9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11"/>
      <c r="D262" s="9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11"/>
      <c r="D263" s="9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11"/>
      <c r="D264" s="9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11"/>
      <c r="D265" s="9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11"/>
      <c r="D266" s="9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11"/>
      <c r="D267" s="9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11"/>
      <c r="D268" s="9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11"/>
      <c r="D269" s="9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11"/>
      <c r="D270" s="9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11"/>
      <c r="D271" s="9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11"/>
      <c r="D272" s="9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11"/>
      <c r="D273" s="9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11"/>
      <c r="D274" s="9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11"/>
      <c r="D275" s="9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11"/>
      <c r="D276" s="9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11"/>
      <c r="D277" s="9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11"/>
      <c r="D278" s="9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11"/>
      <c r="D279" s="9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11"/>
      <c r="D280" s="9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11"/>
      <c r="D281" s="9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11"/>
      <c r="D282" s="9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11"/>
      <c r="D283" s="9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11"/>
      <c r="D284" s="9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11"/>
      <c r="D285" s="9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11"/>
      <c r="D286" s="9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11"/>
      <c r="D287" s="9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11"/>
      <c r="D288" s="9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11"/>
      <c r="D289" s="9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11"/>
      <c r="D290" s="9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11"/>
      <c r="D291" s="9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11"/>
      <c r="D292" s="9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11"/>
      <c r="D293" s="9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11"/>
      <c r="D294" s="9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11"/>
      <c r="D295" s="9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11"/>
      <c r="D296" s="9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11"/>
      <c r="D297" s="9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11"/>
      <c r="D298" s="9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11"/>
      <c r="D299" s="9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11"/>
      <c r="D300" s="9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11"/>
      <c r="D301" s="9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11"/>
      <c r="D302" s="9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11"/>
      <c r="D303" s="9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11"/>
      <c r="D304" s="9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11"/>
      <c r="D305" s="9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11"/>
      <c r="D306" s="9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11"/>
      <c r="D307" s="9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11"/>
      <c r="D308" s="9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11"/>
      <c r="D309" s="9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11"/>
      <c r="D310" s="9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11"/>
      <c r="D311" s="9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11"/>
      <c r="D312" s="9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11"/>
      <c r="D313" s="9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11"/>
      <c r="D314" s="9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11"/>
      <c r="D315" s="9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11"/>
      <c r="D316" s="9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11"/>
      <c r="D317" s="9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11"/>
      <c r="D318" s="9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11"/>
      <c r="D319" s="9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11"/>
      <c r="D320" s="9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11"/>
      <c r="D321" s="9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11"/>
      <c r="D322" s="9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11"/>
      <c r="D323" s="9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11"/>
      <c r="D324" s="9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11"/>
      <c r="D325" s="9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11"/>
      <c r="D326" s="9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11"/>
      <c r="D327" s="9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11"/>
      <c r="D328" s="9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11"/>
      <c r="D329" s="9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11"/>
      <c r="D330" s="9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11"/>
      <c r="D331" s="9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11"/>
      <c r="D332" s="9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11"/>
      <c r="D333" s="9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11"/>
      <c r="D334" s="9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11"/>
      <c r="D335" s="9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11"/>
      <c r="D336" s="9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11"/>
      <c r="D337" s="9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11"/>
      <c r="D338" s="9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11"/>
      <c r="D339" s="9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11"/>
      <c r="D340" s="9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11"/>
      <c r="D341" s="9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11"/>
      <c r="D342" s="9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11"/>
      <c r="D343" s="9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11"/>
      <c r="D344" s="9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11"/>
      <c r="D345" s="9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11"/>
      <c r="D346" s="9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11"/>
      <c r="D347" s="9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11"/>
      <c r="D348" s="9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11"/>
      <c r="D349" s="9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11"/>
      <c r="D350" s="9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11"/>
      <c r="D351" s="9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11"/>
      <c r="D352" s="9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11"/>
      <c r="D353" s="9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11"/>
      <c r="D354" s="9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11"/>
      <c r="D355" s="9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11"/>
      <c r="D356" s="9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11"/>
      <c r="D357" s="9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11"/>
      <c r="D358" s="9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11"/>
      <c r="D359" s="9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11"/>
      <c r="D360" s="9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11"/>
      <c r="D361" s="9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11"/>
      <c r="D362" s="9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11"/>
      <c r="D363" s="9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11"/>
      <c r="D364" s="9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11"/>
      <c r="D365" s="9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11"/>
      <c r="D366" s="9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11"/>
      <c r="D367" s="9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11"/>
      <c r="D368" s="9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11"/>
      <c r="D369" s="9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11"/>
      <c r="D370" s="9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11"/>
      <c r="D371" s="9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11"/>
      <c r="D372" s="9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11"/>
      <c r="D373" s="9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11"/>
      <c r="D374" s="9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11"/>
      <c r="D375" s="9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11"/>
      <c r="D376" s="9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11"/>
      <c r="D377" s="9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11"/>
      <c r="D378" s="9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11"/>
      <c r="D379" s="9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11"/>
      <c r="D380" s="9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11"/>
      <c r="D381" s="9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11"/>
      <c r="D382" s="9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11"/>
      <c r="D383" s="9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11"/>
      <c r="D384" s="9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11"/>
      <c r="D385" s="9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11"/>
      <c r="D386" s="9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11"/>
      <c r="D387" s="9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11"/>
      <c r="D388" s="9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11"/>
      <c r="D389" s="9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11"/>
      <c r="D390" s="9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11"/>
      <c r="D391" s="9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11"/>
      <c r="D392" s="9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11"/>
      <c r="D393" s="9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11"/>
      <c r="D394" s="9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11"/>
      <c r="D395" s="9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11"/>
      <c r="D396" s="9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11"/>
      <c r="D397" s="9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11"/>
      <c r="D398" s="9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11"/>
      <c r="D399" s="9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11"/>
      <c r="D400" s="9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11"/>
      <c r="D401" s="9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11"/>
      <c r="D402" s="9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11"/>
      <c r="D403" s="9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11"/>
      <c r="D404" s="9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11"/>
      <c r="D405" s="9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11"/>
      <c r="D406" s="9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11"/>
      <c r="D407" s="9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11"/>
      <c r="D408" s="9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11"/>
      <c r="D409" s="9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11"/>
      <c r="D410" s="9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11"/>
      <c r="D411" s="9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11"/>
      <c r="D412" s="9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11"/>
      <c r="D413" s="9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11"/>
      <c r="D414" s="9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11"/>
      <c r="D415" s="9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11"/>
      <c r="D416" s="9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11"/>
      <c r="D417" s="9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11"/>
      <c r="D418" s="9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11"/>
      <c r="D419" s="9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11"/>
      <c r="D420" s="9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11"/>
      <c r="D421" s="9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11"/>
      <c r="D422" s="9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11"/>
      <c r="D423" s="9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11"/>
      <c r="D424" s="9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11"/>
      <c r="D425" s="9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11"/>
      <c r="D426" s="9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11"/>
      <c r="D427" s="9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11"/>
      <c r="D428" s="9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11"/>
      <c r="D429" s="9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11"/>
      <c r="D430" s="9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11"/>
      <c r="D431" s="9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11"/>
      <c r="D432" s="9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11"/>
      <c r="D433" s="9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11"/>
      <c r="D434" s="9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11"/>
      <c r="D435" s="9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11"/>
      <c r="D436" s="9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11"/>
      <c r="D437" s="9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11"/>
      <c r="D438" s="9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11"/>
      <c r="D439" s="9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11"/>
      <c r="D440" s="9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11"/>
      <c r="D441" s="9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11"/>
      <c r="D442" s="9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11"/>
      <c r="D443" s="9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11"/>
      <c r="D444" s="9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11"/>
      <c r="D445" s="9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11"/>
      <c r="D446" s="9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11"/>
      <c r="D447" s="9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11"/>
      <c r="D448" s="9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11"/>
      <c r="D449" s="9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11"/>
      <c r="D450" s="9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11"/>
      <c r="D451" s="9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11"/>
      <c r="D452" s="9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11"/>
      <c r="D453" s="9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11"/>
      <c r="D454" s="9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11"/>
      <c r="D455" s="9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11"/>
      <c r="D456" s="9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11"/>
      <c r="D457" s="9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11"/>
      <c r="D458" s="9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11"/>
      <c r="D459" s="9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11"/>
      <c r="D460" s="9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11"/>
      <c r="D461" s="9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11"/>
      <c r="D462" s="9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11"/>
      <c r="D463" s="9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11"/>
      <c r="D464" s="9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11"/>
      <c r="D465" s="9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11"/>
      <c r="D466" s="9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11"/>
      <c r="D467" s="9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11"/>
      <c r="D468" s="9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11"/>
      <c r="D469" s="9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11"/>
      <c r="D470" s="9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11"/>
      <c r="D471" s="9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11"/>
      <c r="D472" s="9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11"/>
      <c r="D473" s="9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11"/>
      <c r="D474" s="9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11"/>
      <c r="D475" s="9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11"/>
      <c r="D476" s="9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11"/>
      <c r="D477" s="9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11"/>
      <c r="D478" s="9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11"/>
      <c r="D479" s="9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11"/>
      <c r="D480" s="9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11"/>
      <c r="D481" s="9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11"/>
      <c r="D482" s="9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11"/>
      <c r="D483" s="9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11"/>
      <c r="D484" s="9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11"/>
      <c r="D485" s="9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11"/>
      <c r="D486" s="9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11"/>
      <c r="D487" s="9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11"/>
      <c r="D488" s="9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11"/>
      <c r="D489" s="9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11"/>
      <c r="D490" s="9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11"/>
      <c r="D491" s="9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11"/>
      <c r="D492" s="9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11"/>
      <c r="D493" s="9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11"/>
      <c r="D494" s="9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11"/>
      <c r="D495" s="9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11"/>
      <c r="D496" s="9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11"/>
      <c r="D497" s="9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11"/>
      <c r="D498" s="9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11"/>
      <c r="D499" s="9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11"/>
      <c r="D500" s="9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11"/>
      <c r="D501" s="9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11"/>
      <c r="D502" s="9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11"/>
      <c r="D503" s="9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11"/>
      <c r="D504" s="9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11"/>
      <c r="D505" s="9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11"/>
      <c r="D506" s="9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11"/>
      <c r="D507" s="9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11"/>
      <c r="D508" s="9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11"/>
      <c r="D509" s="9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11"/>
      <c r="D510" s="9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11"/>
      <c r="D511" s="9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11"/>
      <c r="D512" s="9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11"/>
      <c r="D513" s="9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11"/>
      <c r="D514" s="9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11"/>
      <c r="D515" s="9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11"/>
      <c r="D516" s="9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11"/>
      <c r="D517" s="9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11"/>
      <c r="D518" s="9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11"/>
      <c r="D519" s="9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11"/>
      <c r="D520" s="9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11"/>
      <c r="D521" s="9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11"/>
      <c r="D522" s="9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11"/>
      <c r="D523" s="9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11"/>
      <c r="D524" s="9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11"/>
      <c r="D525" s="9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11"/>
      <c r="D526" s="9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11"/>
      <c r="D527" s="9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11"/>
      <c r="D528" s="9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11"/>
      <c r="D529" s="9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11"/>
      <c r="D530" s="9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11"/>
      <c r="D531" s="9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11"/>
      <c r="D532" s="9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11"/>
      <c r="D533" s="9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11"/>
      <c r="D534" s="9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11"/>
      <c r="D535" s="9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11"/>
      <c r="D536" s="9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11"/>
      <c r="D537" s="9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11"/>
      <c r="D538" s="9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11"/>
      <c r="D539" s="9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11"/>
      <c r="D540" s="9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11"/>
      <c r="D541" s="9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11"/>
      <c r="D542" s="9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11"/>
      <c r="D543" s="9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11"/>
      <c r="D544" s="9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11"/>
      <c r="D545" s="9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11"/>
      <c r="D546" s="9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11"/>
      <c r="D547" s="9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11"/>
      <c r="D548" s="9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11"/>
      <c r="D549" s="9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11"/>
      <c r="D550" s="9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11"/>
      <c r="D551" s="9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11"/>
      <c r="D552" s="9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11"/>
      <c r="D553" s="9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11"/>
      <c r="D554" s="9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11"/>
      <c r="D555" s="9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11"/>
      <c r="D556" s="9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11"/>
      <c r="D557" s="9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11"/>
      <c r="D558" s="9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11"/>
      <c r="D559" s="9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11"/>
      <c r="D560" s="9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11"/>
      <c r="D561" s="9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11"/>
      <c r="D562" s="9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11"/>
      <c r="D563" s="9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11"/>
      <c r="D564" s="9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11"/>
      <c r="D565" s="9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11"/>
      <c r="D566" s="9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11"/>
      <c r="D567" s="9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11"/>
      <c r="D568" s="9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11"/>
      <c r="D569" s="9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11"/>
      <c r="D570" s="9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11"/>
      <c r="D571" s="9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11"/>
      <c r="D572" s="9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11"/>
      <c r="D573" s="9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11"/>
      <c r="D574" s="9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11"/>
      <c r="D575" s="9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11"/>
      <c r="D576" s="9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11"/>
      <c r="D577" s="9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11"/>
      <c r="D578" s="9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11"/>
      <c r="D579" s="9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11"/>
      <c r="D580" s="9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11"/>
      <c r="D581" s="9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11"/>
      <c r="D582" s="9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11"/>
      <c r="D583" s="9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11"/>
      <c r="D584" s="9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11"/>
      <c r="D585" s="9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11"/>
      <c r="D586" s="9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11"/>
      <c r="D587" s="9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11"/>
      <c r="D588" s="9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11"/>
      <c r="D589" s="9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11"/>
      <c r="D590" s="9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11"/>
      <c r="D591" s="9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11"/>
      <c r="D592" s="9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11"/>
      <c r="D593" s="9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11"/>
      <c r="D594" s="9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11"/>
      <c r="D595" s="9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11"/>
      <c r="D596" s="9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11"/>
      <c r="D597" s="9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11"/>
      <c r="D598" s="9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11"/>
      <c r="D599" s="9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11"/>
      <c r="D600" s="9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11"/>
      <c r="D601" s="9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11"/>
      <c r="D602" s="9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11"/>
      <c r="D603" s="9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11"/>
      <c r="D604" s="9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11"/>
      <c r="D605" s="9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11"/>
      <c r="D606" s="9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11"/>
      <c r="D607" s="9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11"/>
      <c r="D608" s="9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11"/>
      <c r="D609" s="9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11"/>
      <c r="D610" s="9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11"/>
      <c r="D611" s="9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11"/>
      <c r="D612" s="9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11"/>
      <c r="D613" s="9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11"/>
      <c r="D614" s="9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11"/>
      <c r="D615" s="9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11"/>
      <c r="D616" s="9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11"/>
      <c r="D617" s="9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11"/>
      <c r="D618" s="9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11"/>
      <c r="D619" s="9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11"/>
      <c r="D620" s="9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11"/>
      <c r="D621" s="9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11"/>
      <c r="D622" s="9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11"/>
      <c r="D623" s="9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11"/>
      <c r="D624" s="9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11"/>
      <c r="D625" s="9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11"/>
      <c r="D626" s="9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11"/>
      <c r="D627" s="9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11"/>
      <c r="D628" s="9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11"/>
      <c r="D629" s="9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11"/>
      <c r="D630" s="9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11"/>
      <c r="D631" s="9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11"/>
      <c r="D632" s="9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11"/>
      <c r="D633" s="9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11"/>
      <c r="D634" s="9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11"/>
      <c r="D635" s="9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11"/>
      <c r="D636" s="9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11"/>
      <c r="D637" s="9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11"/>
      <c r="D638" s="9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11"/>
      <c r="D639" s="9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11"/>
      <c r="D640" s="9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11"/>
      <c r="D641" s="9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11"/>
      <c r="D642" s="9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11"/>
      <c r="D643" s="9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11"/>
      <c r="D644" s="9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11"/>
      <c r="D645" s="9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11"/>
      <c r="D646" s="9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11"/>
      <c r="D647" s="9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11"/>
      <c r="D648" s="9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11"/>
      <c r="D649" s="9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11"/>
      <c r="D650" s="9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11"/>
      <c r="D651" s="9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11"/>
      <c r="D652" s="9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11"/>
      <c r="D653" s="9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11"/>
      <c r="D654" s="9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11"/>
      <c r="D655" s="9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11"/>
      <c r="D656" s="9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11"/>
      <c r="D657" s="9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11"/>
      <c r="D658" s="9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11"/>
      <c r="D659" s="9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11"/>
      <c r="D660" s="9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11"/>
      <c r="D661" s="9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11"/>
      <c r="D662" s="9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11"/>
      <c r="D663" s="9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11"/>
      <c r="D664" s="9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11"/>
      <c r="D665" s="9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11"/>
      <c r="D666" s="9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11"/>
      <c r="D667" s="9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11"/>
      <c r="D668" s="9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11"/>
      <c r="D669" s="9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11"/>
      <c r="D670" s="9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11"/>
      <c r="D671" s="9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11"/>
      <c r="D672" s="9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11"/>
      <c r="D673" s="9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11"/>
      <c r="D674" s="9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11"/>
      <c r="D675" s="9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11"/>
      <c r="D676" s="9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11"/>
      <c r="D677" s="9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11"/>
      <c r="D678" s="9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11"/>
      <c r="D679" s="9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11"/>
      <c r="D680" s="9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11"/>
      <c r="D681" s="9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11"/>
      <c r="D682" s="9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11"/>
      <c r="D683" s="9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11"/>
      <c r="D684" s="9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11"/>
      <c r="D685" s="9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11"/>
      <c r="D686" s="9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11"/>
      <c r="D687" s="9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11"/>
      <c r="D688" s="9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11"/>
      <c r="D689" s="9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11"/>
      <c r="D690" s="9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11"/>
      <c r="D691" s="9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11"/>
      <c r="D692" s="9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11"/>
      <c r="D693" s="9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11"/>
      <c r="D694" s="9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11"/>
      <c r="D695" s="9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11"/>
      <c r="D696" s="9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11"/>
      <c r="D697" s="9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11"/>
      <c r="D698" s="9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11"/>
      <c r="D699" s="9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11"/>
      <c r="D700" s="9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11"/>
      <c r="D701" s="9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11"/>
      <c r="D702" s="9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11"/>
      <c r="D703" s="9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11"/>
      <c r="D704" s="9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11"/>
      <c r="D705" s="9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11"/>
      <c r="D706" s="9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11"/>
      <c r="D707" s="9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11"/>
      <c r="D708" s="9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11"/>
      <c r="D709" s="9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11"/>
      <c r="D710" s="9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11"/>
      <c r="D711" s="9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11"/>
      <c r="D712" s="9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11"/>
      <c r="D713" s="9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11"/>
      <c r="D714" s="9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11"/>
      <c r="D715" s="9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11"/>
      <c r="D716" s="9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11"/>
      <c r="D717" s="9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11"/>
      <c r="D718" s="9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11"/>
      <c r="D719" s="9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11"/>
      <c r="D720" s="9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11"/>
      <c r="D721" s="9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11"/>
      <c r="D722" s="9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11"/>
      <c r="D723" s="9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11"/>
      <c r="D724" s="9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11"/>
      <c r="D725" s="9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11"/>
      <c r="D726" s="9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11"/>
      <c r="D727" s="9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11"/>
      <c r="D728" s="9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11"/>
      <c r="D729" s="9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11"/>
      <c r="D730" s="9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11"/>
      <c r="D731" s="9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11"/>
      <c r="D732" s="9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11"/>
      <c r="D733" s="9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11"/>
      <c r="D734" s="9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11"/>
      <c r="D735" s="9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11"/>
      <c r="D736" s="9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11"/>
      <c r="D737" s="9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11"/>
      <c r="D738" s="9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11"/>
      <c r="D739" s="9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11"/>
      <c r="D740" s="9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11"/>
      <c r="D741" s="9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11"/>
      <c r="D742" s="9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11"/>
      <c r="D743" s="9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11"/>
      <c r="D744" s="9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11"/>
      <c r="D745" s="9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11"/>
      <c r="D746" s="9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11"/>
      <c r="D747" s="9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11"/>
      <c r="D748" s="9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11"/>
      <c r="D749" s="9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11"/>
      <c r="D750" s="9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11"/>
      <c r="D751" s="9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11"/>
      <c r="D752" s="9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11"/>
      <c r="D753" s="9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11"/>
      <c r="D754" s="9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11"/>
      <c r="D755" s="9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11"/>
      <c r="D756" s="9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11"/>
      <c r="D757" s="9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11"/>
      <c r="D758" s="9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11"/>
      <c r="D759" s="9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11"/>
      <c r="D760" s="9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11"/>
      <c r="D761" s="9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11"/>
      <c r="D762" s="9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11"/>
      <c r="D763" s="9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11"/>
      <c r="D764" s="9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11"/>
      <c r="D765" s="9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11"/>
      <c r="D766" s="9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11"/>
      <c r="D767" s="9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11"/>
      <c r="D768" s="9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11"/>
      <c r="D769" s="9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11"/>
      <c r="D770" s="9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11"/>
      <c r="D771" s="9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11"/>
      <c r="D772" s="9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11"/>
      <c r="D773" s="9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11"/>
      <c r="D774" s="9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11"/>
      <c r="D775" s="9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11"/>
      <c r="D776" s="9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11"/>
      <c r="D777" s="9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11"/>
      <c r="D778" s="9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11"/>
      <c r="D779" s="9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11"/>
      <c r="D780" s="9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11"/>
      <c r="D781" s="9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11"/>
      <c r="D782" s="9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11"/>
      <c r="D783" s="9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11"/>
      <c r="D784" s="9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11"/>
      <c r="D785" s="9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11"/>
      <c r="D786" s="9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11"/>
      <c r="D787" s="9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11"/>
      <c r="D788" s="9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11"/>
      <c r="D789" s="9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11"/>
      <c r="D790" s="9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11"/>
      <c r="D791" s="9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11"/>
      <c r="D792" s="9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11"/>
      <c r="D793" s="9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11"/>
      <c r="D794" s="9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11"/>
      <c r="D795" s="9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11"/>
      <c r="D796" s="9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11"/>
      <c r="D797" s="9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11"/>
      <c r="D798" s="9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11"/>
      <c r="D799" s="9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11"/>
      <c r="D800" s="9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11"/>
      <c r="D801" s="9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11"/>
      <c r="D802" s="9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11"/>
      <c r="D803" s="9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11"/>
      <c r="D804" s="9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11"/>
      <c r="D805" s="9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11"/>
      <c r="D806" s="9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11"/>
      <c r="D807" s="9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11"/>
      <c r="D808" s="9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11"/>
      <c r="D809" s="9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11"/>
      <c r="D810" s="9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11"/>
      <c r="D811" s="9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11"/>
      <c r="D812" s="9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11"/>
      <c r="D813" s="9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11"/>
      <c r="D814" s="9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11"/>
      <c r="D815" s="9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11"/>
      <c r="D816" s="9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11"/>
      <c r="D817" s="9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11"/>
      <c r="D818" s="9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11"/>
      <c r="D819" s="9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11"/>
      <c r="D820" s="9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11"/>
      <c r="D821" s="9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11"/>
      <c r="D822" s="9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11"/>
      <c r="D823" s="9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11"/>
      <c r="D824" s="9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11"/>
      <c r="D825" s="9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11"/>
      <c r="D826" s="9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11"/>
      <c r="D827" s="9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11"/>
      <c r="D828" s="9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11"/>
      <c r="D829" s="9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11"/>
      <c r="D830" s="9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11"/>
      <c r="D831" s="9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11"/>
      <c r="D832" s="9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11"/>
      <c r="D833" s="9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11"/>
      <c r="D834" s="9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11"/>
      <c r="D835" s="9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11"/>
      <c r="D836" s="9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11"/>
      <c r="D837" s="9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11"/>
      <c r="D838" s="9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11"/>
      <c r="D839" s="9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11"/>
      <c r="D840" s="9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11"/>
      <c r="D841" s="9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11"/>
      <c r="D842" s="9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11"/>
      <c r="D843" s="9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11"/>
      <c r="D844" s="9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11"/>
      <c r="D845" s="9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11"/>
      <c r="D846" s="9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11"/>
      <c r="D847" s="9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11"/>
      <c r="D848" s="9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11"/>
      <c r="D849" s="9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11"/>
      <c r="D850" s="9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11"/>
      <c r="D851" s="9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11"/>
      <c r="D852" s="9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11"/>
      <c r="D853" s="9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11"/>
      <c r="D854" s="9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11"/>
      <c r="D855" s="9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11"/>
      <c r="D856" s="9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11"/>
      <c r="D857" s="9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11"/>
      <c r="D858" s="9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11"/>
      <c r="D859" s="9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11"/>
      <c r="D860" s="9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11"/>
      <c r="D861" s="9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11"/>
      <c r="D862" s="9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11"/>
      <c r="D863" s="9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11"/>
      <c r="D864" s="9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11"/>
      <c r="D865" s="9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11"/>
      <c r="D866" s="9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11"/>
      <c r="D867" s="9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11"/>
      <c r="D868" s="9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11"/>
      <c r="D869" s="9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11"/>
      <c r="D870" s="9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11"/>
      <c r="D871" s="9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11"/>
      <c r="D872" s="9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11"/>
      <c r="D873" s="9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11"/>
      <c r="D874" s="9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11"/>
      <c r="D875" s="9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11"/>
      <c r="D876" s="9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11"/>
      <c r="D877" s="9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11"/>
      <c r="D878" s="9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11"/>
      <c r="D879" s="9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11"/>
      <c r="D880" s="9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11"/>
      <c r="D881" s="9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11"/>
      <c r="D882" s="9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11"/>
      <c r="D883" s="9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11"/>
      <c r="D884" s="9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11"/>
      <c r="D885" s="9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11"/>
      <c r="D886" s="9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11"/>
      <c r="D887" s="9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11"/>
      <c r="D888" s="9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11"/>
      <c r="D889" s="9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11"/>
      <c r="D890" s="9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11"/>
      <c r="D891" s="9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11"/>
      <c r="D892" s="9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11"/>
      <c r="D893" s="9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11"/>
      <c r="D894" s="9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11"/>
      <c r="D895" s="9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11"/>
      <c r="D896" s="9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11"/>
      <c r="D897" s="9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11"/>
      <c r="D898" s="9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11"/>
      <c r="D899" s="9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11"/>
      <c r="D900" s="9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11"/>
      <c r="D901" s="9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11"/>
      <c r="D902" s="9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11"/>
      <c r="D903" s="9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11"/>
      <c r="D904" s="9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11"/>
      <c r="D905" s="9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11"/>
      <c r="D906" s="9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11"/>
      <c r="D907" s="9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11"/>
      <c r="D908" s="9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11"/>
      <c r="D909" s="9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11"/>
      <c r="D910" s="9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11"/>
      <c r="D911" s="9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11"/>
      <c r="D912" s="9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11"/>
      <c r="D913" s="9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11"/>
      <c r="D914" s="9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11"/>
      <c r="D915" s="9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11"/>
      <c r="D916" s="9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11"/>
      <c r="D917" s="9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11"/>
      <c r="D918" s="9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11"/>
      <c r="D919" s="9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11"/>
      <c r="D920" s="9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11"/>
      <c r="D921" s="9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11"/>
      <c r="D922" s="9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11"/>
      <c r="D923" s="9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11"/>
      <c r="D924" s="9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11"/>
      <c r="D925" s="9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11"/>
      <c r="D926" s="9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11"/>
      <c r="D927" s="9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11"/>
      <c r="D928" s="9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11"/>
      <c r="D929" s="9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11"/>
      <c r="D930" s="9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11"/>
      <c r="D931" s="9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11"/>
      <c r="D932" s="9"/>
      <c r="E932" s="10"/>
      <c r="F932" s="10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11"/>
      <c r="D933" s="9"/>
      <c r="E933" s="10"/>
      <c r="F933" s="10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11"/>
      <c r="D934" s="9"/>
      <c r="E934" s="10"/>
      <c r="F934" s="10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11"/>
      <c r="D935" s="9"/>
      <c r="E935" s="10"/>
      <c r="F935" s="10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11"/>
      <c r="D936" s="9"/>
      <c r="E936" s="10"/>
      <c r="F936" s="10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11"/>
      <c r="D937" s="9"/>
      <c r="E937" s="10"/>
      <c r="F937" s="10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11"/>
      <c r="D938" s="9"/>
      <c r="E938" s="10"/>
      <c r="F938" s="10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11"/>
      <c r="D939" s="9"/>
      <c r="E939" s="10"/>
      <c r="F939" s="10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11"/>
      <c r="D940" s="9"/>
      <c r="E940" s="10"/>
      <c r="F940" s="10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11"/>
      <c r="D941" s="9"/>
      <c r="E941" s="10"/>
      <c r="F941" s="10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11"/>
      <c r="D942" s="9"/>
      <c r="E942" s="10"/>
      <c r="F942" s="10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11"/>
      <c r="D943" s="9"/>
      <c r="E943" s="10"/>
      <c r="F943" s="10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11"/>
      <c r="D944" s="9"/>
      <c r="E944" s="10"/>
      <c r="F944" s="10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11"/>
      <c r="D945" s="9"/>
      <c r="E945" s="10"/>
      <c r="F945" s="10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11"/>
      <c r="D946" s="9"/>
      <c r="E946" s="10"/>
      <c r="F946" s="10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11"/>
      <c r="D947" s="9"/>
      <c r="E947" s="10"/>
      <c r="F947" s="10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11"/>
      <c r="D948" s="9"/>
      <c r="E948" s="10"/>
      <c r="F948" s="10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11"/>
      <c r="D949" s="9"/>
      <c r="E949" s="10"/>
      <c r="F949" s="10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11"/>
      <c r="D950" s="9"/>
      <c r="E950" s="10"/>
      <c r="F950" s="10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11"/>
      <c r="D951" s="9"/>
      <c r="E951" s="10"/>
      <c r="F951" s="10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11"/>
      <c r="D952" s="9"/>
      <c r="E952" s="10"/>
      <c r="F952" s="10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11"/>
      <c r="D953" s="9"/>
      <c r="E953" s="10"/>
      <c r="F953" s="10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11"/>
      <c r="D954" s="9"/>
      <c r="E954" s="10"/>
      <c r="F954" s="10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11"/>
      <c r="D955" s="9"/>
      <c r="E955" s="10"/>
      <c r="F955" s="10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11"/>
      <c r="D956" s="9"/>
      <c r="E956" s="10"/>
      <c r="F956" s="10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11"/>
      <c r="D957" s="9"/>
      <c r="E957" s="10"/>
      <c r="F957" s="10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11"/>
      <c r="D958" s="9"/>
      <c r="E958" s="10"/>
      <c r="F958" s="10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11"/>
      <c r="D959" s="9"/>
      <c r="E959" s="10"/>
      <c r="F959" s="10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11"/>
      <c r="D960" s="9"/>
      <c r="E960" s="10"/>
      <c r="F960" s="10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11"/>
      <c r="D961" s="9"/>
      <c r="E961" s="10"/>
      <c r="F961" s="10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11"/>
      <c r="D962" s="9"/>
      <c r="E962" s="10"/>
      <c r="F962" s="10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11"/>
      <c r="D963" s="9"/>
      <c r="E963" s="10"/>
      <c r="F963" s="10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11"/>
      <c r="D964" s="9"/>
      <c r="E964" s="10"/>
      <c r="F964" s="10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11"/>
      <c r="D965" s="9"/>
      <c r="E965" s="10"/>
      <c r="F965" s="10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11"/>
      <c r="D966" s="9"/>
      <c r="E966" s="10"/>
      <c r="F966" s="10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11"/>
      <c r="D967" s="9"/>
      <c r="E967" s="10"/>
      <c r="F967" s="10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11"/>
      <c r="D968" s="9"/>
      <c r="E968" s="10"/>
      <c r="F968" s="10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11"/>
      <c r="D969" s="9"/>
      <c r="E969" s="10"/>
      <c r="F969" s="10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11"/>
      <c r="D970" s="9"/>
      <c r="E970" s="10"/>
      <c r="F970" s="10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11"/>
      <c r="D971" s="9"/>
      <c r="E971" s="10"/>
      <c r="F971" s="10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11"/>
      <c r="D972" s="9"/>
      <c r="E972" s="10"/>
      <c r="F972" s="10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11"/>
      <c r="D973" s="9"/>
      <c r="E973" s="10"/>
      <c r="F973" s="10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11"/>
      <c r="D974" s="9"/>
      <c r="E974" s="10"/>
      <c r="F974" s="10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11"/>
      <c r="D975" s="9"/>
      <c r="E975" s="10"/>
      <c r="F975" s="10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11"/>
      <c r="D976" s="9"/>
      <c r="E976" s="10"/>
      <c r="F976" s="10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11"/>
      <c r="D977" s="9"/>
      <c r="E977" s="10"/>
      <c r="F977" s="10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11"/>
      <c r="D978" s="9"/>
      <c r="E978" s="10"/>
      <c r="F978" s="10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11"/>
      <c r="D979" s="9"/>
      <c r="E979" s="10"/>
      <c r="F979" s="10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11"/>
      <c r="D980" s="9"/>
      <c r="E980" s="10"/>
      <c r="F980" s="10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11"/>
      <c r="D981" s="9"/>
      <c r="E981" s="10"/>
      <c r="F981" s="10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11"/>
      <c r="D982" s="9"/>
      <c r="E982" s="10"/>
      <c r="F982" s="10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11"/>
      <c r="D983" s="9"/>
      <c r="E983" s="10"/>
      <c r="F983" s="10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11"/>
      <c r="D984" s="9"/>
      <c r="E984" s="10"/>
      <c r="F984" s="10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11"/>
      <c r="D985" s="9"/>
      <c r="E985" s="10"/>
      <c r="F985" s="10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11"/>
      <c r="D986" s="9"/>
      <c r="E986" s="10"/>
      <c r="F986" s="10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11"/>
      <c r="D987" s="9"/>
      <c r="E987" s="10"/>
      <c r="F987" s="10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11"/>
      <c r="D988" s="9"/>
      <c r="E988" s="10"/>
      <c r="F988" s="10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11"/>
      <c r="D989" s="9"/>
      <c r="E989" s="10"/>
      <c r="F989" s="10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11"/>
      <c r="D990" s="9"/>
      <c r="E990" s="10"/>
      <c r="F990" s="10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11"/>
      <c r="D991" s="9"/>
      <c r="E991" s="10"/>
      <c r="F991" s="10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11"/>
      <c r="D992" s="9"/>
      <c r="E992" s="10"/>
      <c r="F992" s="10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11"/>
      <c r="D993" s="9"/>
      <c r="E993" s="10"/>
      <c r="F993" s="10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11"/>
      <c r="D994" s="9"/>
      <c r="E994" s="10"/>
      <c r="F994" s="10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11"/>
      <c r="D995" s="9"/>
      <c r="E995" s="10"/>
      <c r="F995" s="10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11"/>
      <c r="D996" s="9"/>
      <c r="E996" s="10"/>
      <c r="F996" s="10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11"/>
      <c r="D997" s="9"/>
      <c r="E997" s="10"/>
      <c r="F997" s="10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11"/>
      <c r="D998" s="9"/>
      <c r="E998" s="10"/>
      <c r="F998" s="10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11"/>
      <c r="D999" s="9"/>
      <c r="E999" s="10"/>
      <c r="F999" s="10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11"/>
      <c r="D1000" s="9"/>
      <c r="E1000" s="10"/>
      <c r="F1000" s="10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11"/>
      <c r="D1001" s="9"/>
      <c r="E1001" s="10"/>
      <c r="F1001" s="10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8.25"/>
    <col customWidth="1" min="3" max="3" width="28.88"/>
    <col customWidth="1" hidden="1" min="4" max="4" width="7.75"/>
    <col customWidth="1" min="5" max="7" width="11.88"/>
    <col customWidth="1" hidden="1" min="8" max="8" width="8.38"/>
    <col customWidth="1" min="9" max="11" width="8.38"/>
    <col customWidth="1" hidden="1" min="12" max="12" width="9.63"/>
    <col customWidth="1" hidden="1" min="13" max="13" width="7.5"/>
    <col customWidth="1" hidden="1" min="14" max="14" width="12.63"/>
    <col customWidth="1" hidden="1" min="15" max="15" width="6.88"/>
    <col customWidth="1" hidden="1" min="16" max="16" width="12.13"/>
    <col customWidth="1" hidden="1" min="17" max="17" width="10.63"/>
    <col customWidth="1" hidden="1" min="18" max="18" width="5.5"/>
    <col customWidth="1" hidden="1" min="19" max="19" width="7.38"/>
    <col customWidth="1" hidden="1" min="20" max="20" width="6.13"/>
    <col customWidth="1" hidden="1" min="21" max="21" width="6.63"/>
    <col customWidth="1" hidden="1" min="22" max="22" width="3.5"/>
    <col customWidth="1" hidden="1" min="23" max="23" width="7.13"/>
    <col customWidth="1" hidden="1" min="24" max="24" width="7.0"/>
    <col customWidth="1" hidden="1" min="25" max="25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tr">
        <f>IFERROR(__xludf.DUMMYFUNCTION("FILTER(Master!A:Z, Master!R:R = ""X"")"),"Adventuring Gear")</f>
        <v>Adventuring Gear</v>
      </c>
      <c r="B2" s="4" t="str">
        <f>IFERROR(__xludf.DUMMYFUNCTION("""COMPUTED_VALUE"""),"-")</f>
        <v>-</v>
      </c>
      <c r="C2" s="4" t="str">
        <f>IFERROR(__xludf.DUMMYFUNCTION("""COMPUTED_VALUE"""),"Basket")</f>
        <v>Basket</v>
      </c>
      <c r="D2" s="5">
        <f>IFERROR(__xludf.DUMMYFUNCTION("""COMPUTED_VALUE"""),2.0)</f>
        <v>2</v>
      </c>
      <c r="E2" s="6">
        <f>IFERROR(__xludf.DUMMYFUNCTION("""COMPUTED_VALUE"""),0.4)</f>
        <v>0.4</v>
      </c>
      <c r="F2" s="6">
        <f>IFERROR(__xludf.DUMMYFUNCTION("""COMPUTED_VALUE"""),0.30000000000000004)</f>
        <v>0.3</v>
      </c>
      <c r="G2" s="6">
        <f>IFERROR(__xludf.DUMMYFUNCTION("""COMPUTED_VALUE"""),0.6000000000000001)</f>
        <v>0.6</v>
      </c>
      <c r="H2" s="4" t="str">
        <f>IFERROR(__xludf.DUMMYFUNCTION("""COMPUTED_VALUE"""),"PHB 2024")</f>
        <v>PHB 2024</v>
      </c>
      <c r="I2" s="4" t="str">
        <f>IFERROR(__xludf.DUMMYFUNCTION("""COMPUTED_VALUE"""),"x")</f>
        <v>x</v>
      </c>
      <c r="J2" s="4" t="str">
        <f>IFERROR(__xludf.DUMMYFUNCTION("""COMPUTED_VALUE"""),"x")</f>
        <v>x</v>
      </c>
      <c r="K2" s="4" t="str">
        <f>IFERROR(__xludf.DUMMYFUNCTION("""COMPUTED_VALUE"""),"x")</f>
        <v>x</v>
      </c>
      <c r="L2" s="7"/>
      <c r="M2" s="7"/>
      <c r="N2" s="7"/>
      <c r="O2" s="7"/>
      <c r="P2" s="7"/>
      <c r="Q2" s="7"/>
      <c r="R2" s="7" t="str">
        <f>IFERROR(__xludf.DUMMYFUNCTION("""COMPUTED_VALUE"""),"x")</f>
        <v>x</v>
      </c>
      <c r="S2" s="7"/>
      <c r="T2" s="4"/>
      <c r="U2" s="7"/>
      <c r="V2" s="7"/>
      <c r="W2" s="7"/>
      <c r="X2" s="7"/>
      <c r="Y2" s="7"/>
    </row>
    <row r="3">
      <c r="A3" s="4" t="str">
        <f>IFERROR(__xludf.DUMMYFUNCTION("""COMPUTED_VALUE"""),"Adventuring Gear")</f>
        <v>Adventuring Gear</v>
      </c>
      <c r="B3" s="4" t="str">
        <f>IFERROR(__xludf.DUMMYFUNCTION("""COMPUTED_VALUE"""),"-")</f>
        <v>-</v>
      </c>
      <c r="C3" s="8" t="str">
        <f>IFERROR(__xludf.DUMMYFUNCTION("""COMPUTED_VALUE"""),"Clothes, Fine")</f>
        <v>Clothes, Fine</v>
      </c>
      <c r="D3" s="5">
        <f>IFERROR(__xludf.DUMMYFUNCTION("""COMPUTED_VALUE"""),6.0)</f>
        <v>6</v>
      </c>
      <c r="E3" s="6">
        <f>IFERROR(__xludf.DUMMYFUNCTION("""COMPUTED_VALUE"""),15.0)</f>
        <v>15</v>
      </c>
      <c r="F3" s="6">
        <f>IFERROR(__xludf.DUMMYFUNCTION("""COMPUTED_VALUE"""),11.25)</f>
        <v>11.25</v>
      </c>
      <c r="G3" s="6">
        <f>IFERROR(__xludf.DUMMYFUNCTION("""COMPUTED_VALUE"""),22.5)</f>
        <v>22.5</v>
      </c>
      <c r="H3" s="4" t="str">
        <f>IFERROR(__xludf.DUMMYFUNCTION("""COMPUTED_VALUE"""),"PHB 2024")</f>
        <v>PHB 2024</v>
      </c>
      <c r="I3" s="4"/>
      <c r="J3" s="4" t="str">
        <f>IFERROR(__xludf.DUMMYFUNCTION("""COMPUTED_VALUE"""),"x")</f>
        <v>x</v>
      </c>
      <c r="K3" s="4" t="str">
        <f>IFERROR(__xludf.DUMMYFUNCTION("""COMPUTED_VALUE"""),"x")</f>
        <v>x</v>
      </c>
      <c r="L3" s="7"/>
      <c r="M3" s="7"/>
      <c r="N3" s="7"/>
      <c r="O3" s="7"/>
      <c r="P3" s="7" t="str">
        <f>IFERROR(__xludf.DUMMYFUNCTION("""COMPUTED_VALUE"""),"x")</f>
        <v>x</v>
      </c>
      <c r="Q3" s="7"/>
      <c r="R3" s="7" t="str">
        <f>IFERROR(__xludf.DUMMYFUNCTION("""COMPUTED_VALUE"""),"x")</f>
        <v>x</v>
      </c>
      <c r="S3" s="7"/>
      <c r="T3" s="4"/>
      <c r="U3" s="7"/>
      <c r="V3" s="7"/>
      <c r="W3" s="7"/>
      <c r="X3" s="7"/>
      <c r="Y3" s="7"/>
    </row>
    <row r="4">
      <c r="A4" s="4" t="str">
        <f>IFERROR(__xludf.DUMMYFUNCTION("""COMPUTED_VALUE"""),"Adventuring Gear")</f>
        <v>Adventuring Gear</v>
      </c>
      <c r="B4" s="4" t="str">
        <f>IFERROR(__xludf.DUMMYFUNCTION("""COMPUTED_VALUE"""),"-")</f>
        <v>-</v>
      </c>
      <c r="C4" s="8" t="str">
        <f>IFERROR(__xludf.DUMMYFUNCTION("""COMPUTED_VALUE"""),"Clothes, Traveler's")</f>
        <v>Clothes, Traveler's</v>
      </c>
      <c r="D4" s="5">
        <f>IFERROR(__xludf.DUMMYFUNCTION("""COMPUTED_VALUE"""),4.0)</f>
        <v>4</v>
      </c>
      <c r="E4" s="6">
        <f>IFERROR(__xludf.DUMMYFUNCTION("""COMPUTED_VALUE"""),2.0)</f>
        <v>2</v>
      </c>
      <c r="F4" s="6">
        <f>IFERROR(__xludf.DUMMYFUNCTION("""COMPUTED_VALUE"""),1.5)</f>
        <v>1.5</v>
      </c>
      <c r="G4" s="6">
        <f>IFERROR(__xludf.DUMMYFUNCTION("""COMPUTED_VALUE"""),3.0)</f>
        <v>3</v>
      </c>
      <c r="H4" s="4" t="str">
        <f>IFERROR(__xludf.DUMMYFUNCTION("""COMPUTED_VALUE"""),"PHB 2024")</f>
        <v>PHB 2024</v>
      </c>
      <c r="I4" s="4" t="str">
        <f>IFERROR(__xludf.DUMMYFUNCTION("""COMPUTED_VALUE"""),"x")</f>
        <v>x</v>
      </c>
      <c r="J4" s="4" t="str">
        <f>IFERROR(__xludf.DUMMYFUNCTION("""COMPUTED_VALUE"""),"x")</f>
        <v>x</v>
      </c>
      <c r="K4" s="4" t="str">
        <f>IFERROR(__xludf.DUMMYFUNCTION("""COMPUTED_VALUE"""),"x")</f>
        <v>x</v>
      </c>
      <c r="L4" s="7"/>
      <c r="M4" s="4"/>
      <c r="N4" s="7"/>
      <c r="O4" s="7"/>
      <c r="P4" s="7"/>
      <c r="Q4" s="4" t="str">
        <f>IFERROR(__xludf.DUMMYFUNCTION("""COMPUTED_VALUE"""),"x")</f>
        <v>x</v>
      </c>
      <c r="R4" s="7" t="str">
        <f>IFERROR(__xludf.DUMMYFUNCTION("""COMPUTED_VALUE"""),"x")</f>
        <v>x</v>
      </c>
      <c r="S4" s="7"/>
      <c r="T4" s="7"/>
      <c r="U4" s="7"/>
      <c r="V4" s="7"/>
      <c r="W4" s="7"/>
      <c r="X4" s="7"/>
      <c r="Y4" s="7"/>
    </row>
    <row r="5">
      <c r="A5" s="4" t="str">
        <f>IFERROR(__xludf.DUMMYFUNCTION("""COMPUTED_VALUE"""),"Adventuring Gear")</f>
        <v>Adventuring Gear</v>
      </c>
      <c r="B5" s="4" t="str">
        <f>IFERROR(__xludf.DUMMYFUNCTION("""COMPUTED_VALUE"""),"-")</f>
        <v>-</v>
      </c>
      <c r="C5" s="8" t="str">
        <f>IFERROR(__xludf.DUMMYFUNCTION("""COMPUTED_VALUE"""),"Component Pouch")</f>
        <v>Component Pouch</v>
      </c>
      <c r="D5" s="5">
        <f>IFERROR(__xludf.DUMMYFUNCTION("""COMPUTED_VALUE"""),2.0)</f>
        <v>2</v>
      </c>
      <c r="E5" s="6">
        <f>IFERROR(__xludf.DUMMYFUNCTION("""COMPUTED_VALUE"""),25.0)</f>
        <v>25</v>
      </c>
      <c r="F5" s="6">
        <f>IFERROR(__xludf.DUMMYFUNCTION("""COMPUTED_VALUE"""),18.75)</f>
        <v>18.75</v>
      </c>
      <c r="G5" s="6">
        <f>IFERROR(__xludf.DUMMYFUNCTION("""COMPUTED_VALUE"""),37.5)</f>
        <v>37.5</v>
      </c>
      <c r="H5" s="4" t="str">
        <f>IFERROR(__xludf.DUMMYFUNCTION("""COMPUTED_VALUE"""),"PHB 2024")</f>
        <v>PHB 2024</v>
      </c>
      <c r="I5" s="4" t="str">
        <f>IFERROR(__xludf.DUMMYFUNCTION("""COMPUTED_VALUE"""),"x")</f>
        <v>x</v>
      </c>
      <c r="J5" s="4" t="str">
        <f>IFERROR(__xludf.DUMMYFUNCTION("""COMPUTED_VALUE"""),"x")</f>
        <v>x</v>
      </c>
      <c r="K5" s="4" t="str">
        <f>IFERROR(__xludf.DUMMYFUNCTION("""COMPUTED_VALUE"""),"x")</f>
        <v>x</v>
      </c>
      <c r="L5" s="7"/>
      <c r="M5" s="4"/>
      <c r="N5" s="7"/>
      <c r="O5" s="7"/>
      <c r="P5" s="7"/>
      <c r="Q5" s="4"/>
      <c r="R5" s="7" t="str">
        <f>IFERROR(__xludf.DUMMYFUNCTION("""COMPUTED_VALUE"""),"x")</f>
        <v>x</v>
      </c>
      <c r="S5" s="7"/>
      <c r="T5" s="7" t="str">
        <f>IFERROR(__xludf.DUMMYFUNCTION("""COMPUTED_VALUE"""),"x")</f>
        <v>x</v>
      </c>
      <c r="U5" s="7" t="str">
        <f>IFERROR(__xludf.DUMMYFUNCTION("""COMPUTED_VALUE"""),"x")</f>
        <v>x</v>
      </c>
      <c r="V5" s="7"/>
      <c r="W5" s="7"/>
      <c r="X5" s="7"/>
      <c r="Y5" s="7"/>
    </row>
    <row r="6">
      <c r="A6" s="4" t="str">
        <f>IFERROR(__xludf.DUMMYFUNCTION("""COMPUTED_VALUE"""),"Adventuring Gear")</f>
        <v>Adventuring Gear</v>
      </c>
      <c r="B6" s="4" t="str">
        <f>IFERROR(__xludf.DUMMYFUNCTION("""COMPUTED_VALUE"""),"-")</f>
        <v>-</v>
      </c>
      <c r="C6" s="8" t="str">
        <f>IFERROR(__xludf.DUMMYFUNCTION("""COMPUTED_VALUE"""),"Costume")</f>
        <v>Costume</v>
      </c>
      <c r="D6" s="5">
        <f>IFERROR(__xludf.DUMMYFUNCTION("""COMPUTED_VALUE"""),4.0)</f>
        <v>4</v>
      </c>
      <c r="E6" s="6">
        <f>IFERROR(__xludf.DUMMYFUNCTION("""COMPUTED_VALUE"""),5.0)</f>
        <v>5</v>
      </c>
      <c r="F6" s="6">
        <f>IFERROR(__xludf.DUMMYFUNCTION("""COMPUTED_VALUE"""),3.75)</f>
        <v>3.75</v>
      </c>
      <c r="G6" s="6">
        <f>IFERROR(__xludf.DUMMYFUNCTION("""COMPUTED_VALUE"""),7.5)</f>
        <v>7.5</v>
      </c>
      <c r="H6" s="4" t="str">
        <f>IFERROR(__xludf.DUMMYFUNCTION("""COMPUTED_VALUE"""),"PHB 2024")</f>
        <v>PHB 2024</v>
      </c>
      <c r="I6" s="4"/>
      <c r="J6" s="4"/>
      <c r="K6" s="4" t="str">
        <f>IFERROR(__xludf.DUMMYFUNCTION("""COMPUTED_VALUE"""),"x")</f>
        <v>x</v>
      </c>
      <c r="L6" s="7"/>
      <c r="M6" s="7"/>
      <c r="N6" s="7"/>
      <c r="O6" s="7"/>
      <c r="P6" s="7"/>
      <c r="Q6" s="7"/>
      <c r="R6" s="7" t="str">
        <f>IFERROR(__xludf.DUMMYFUNCTION("""COMPUTED_VALUE"""),"x")</f>
        <v>x</v>
      </c>
      <c r="S6" s="7"/>
      <c r="T6" s="7"/>
      <c r="U6" s="7"/>
      <c r="V6" s="7"/>
      <c r="W6" s="4" t="str">
        <f>IFERROR(__xludf.DUMMYFUNCTION("""COMPUTED_VALUE"""),"x")</f>
        <v>x</v>
      </c>
      <c r="X6" s="4"/>
      <c r="Y6" s="4"/>
    </row>
    <row r="7">
      <c r="A7" s="4" t="str">
        <f>IFERROR(__xludf.DUMMYFUNCTION("""COMPUTED_VALUE"""),"Adventuring Gear")</f>
        <v>Adventuring Gear</v>
      </c>
      <c r="B7" s="4" t="str">
        <f>IFERROR(__xludf.DUMMYFUNCTION("""COMPUTED_VALUE"""),"-")</f>
        <v>-</v>
      </c>
      <c r="C7" s="8" t="str">
        <f>IFERROR(__xludf.DUMMYFUNCTION("""COMPUTED_VALUE"""),"Pouch")</f>
        <v>Pouch</v>
      </c>
      <c r="D7" s="5">
        <f>IFERROR(__xludf.DUMMYFUNCTION("""COMPUTED_VALUE"""),1.0)</f>
        <v>1</v>
      </c>
      <c r="E7" s="6">
        <f>IFERROR(__xludf.DUMMYFUNCTION("""COMPUTED_VALUE"""),0.5)</f>
        <v>0.5</v>
      </c>
      <c r="F7" s="6">
        <f>IFERROR(__xludf.DUMMYFUNCTION("""COMPUTED_VALUE"""),0.375)</f>
        <v>0.375</v>
      </c>
      <c r="G7" s="6">
        <f>IFERROR(__xludf.DUMMYFUNCTION("""COMPUTED_VALUE"""),0.75)</f>
        <v>0.75</v>
      </c>
      <c r="H7" s="4" t="str">
        <f>IFERROR(__xludf.DUMMYFUNCTION("""COMPUTED_VALUE"""),"PHB 2024")</f>
        <v>PHB 2024</v>
      </c>
      <c r="I7" s="4" t="str">
        <f>IFERROR(__xludf.DUMMYFUNCTION("""COMPUTED_VALUE"""),"x")</f>
        <v>x</v>
      </c>
      <c r="J7" s="4" t="str">
        <f>IFERROR(__xludf.DUMMYFUNCTION("""COMPUTED_VALUE"""),"x")</f>
        <v>x</v>
      </c>
      <c r="K7" s="4" t="str">
        <f>IFERROR(__xludf.DUMMYFUNCTION("""COMPUTED_VALUE"""),"x")</f>
        <v>x</v>
      </c>
      <c r="L7" s="7"/>
      <c r="M7" s="7"/>
      <c r="N7" s="7"/>
      <c r="O7" s="7"/>
      <c r="P7" s="7" t="str">
        <f>IFERROR(__xludf.DUMMYFUNCTION("""COMPUTED_VALUE"""),"x")</f>
        <v>x</v>
      </c>
      <c r="Q7" s="4" t="str">
        <f>IFERROR(__xludf.DUMMYFUNCTION("""COMPUTED_VALUE"""),"x")</f>
        <v>x</v>
      </c>
      <c r="R7" s="7" t="str">
        <f>IFERROR(__xludf.DUMMYFUNCTION("""COMPUTED_VALUE"""),"x")</f>
        <v>x</v>
      </c>
      <c r="S7" s="7"/>
      <c r="T7" s="7" t="str">
        <f>IFERROR(__xludf.DUMMYFUNCTION("""COMPUTED_VALUE"""),"x")</f>
        <v>x</v>
      </c>
      <c r="U7" s="7" t="str">
        <f>IFERROR(__xludf.DUMMYFUNCTION("""COMPUTED_VALUE"""),"x")</f>
        <v>x</v>
      </c>
      <c r="V7" s="7"/>
      <c r="W7" s="7"/>
      <c r="X7" s="7"/>
      <c r="Y7" s="7" t="str">
        <f>IFERROR(__xludf.DUMMYFUNCTION("""COMPUTED_VALUE"""),"x")</f>
        <v>x</v>
      </c>
    </row>
    <row r="8">
      <c r="A8" s="4" t="str">
        <f>IFERROR(__xludf.DUMMYFUNCTION("""COMPUTED_VALUE"""),"Adventuring Gear")</f>
        <v>Adventuring Gear</v>
      </c>
      <c r="B8" s="4" t="str">
        <f>IFERROR(__xludf.DUMMYFUNCTION("""COMPUTED_VALUE"""),"-")</f>
        <v>-</v>
      </c>
      <c r="C8" s="8" t="str">
        <f>IFERROR(__xludf.DUMMYFUNCTION("""COMPUTED_VALUE"""),"Rations")</f>
        <v>Rations</v>
      </c>
      <c r="D8" s="5">
        <f>IFERROR(__xludf.DUMMYFUNCTION("""COMPUTED_VALUE"""),2.0)</f>
        <v>2</v>
      </c>
      <c r="E8" s="6">
        <f>IFERROR(__xludf.DUMMYFUNCTION("""COMPUTED_VALUE"""),0.5)</f>
        <v>0.5</v>
      </c>
      <c r="F8" s="6">
        <f>IFERROR(__xludf.DUMMYFUNCTION("""COMPUTED_VALUE"""),0.375)</f>
        <v>0.375</v>
      </c>
      <c r="G8" s="6">
        <f>IFERROR(__xludf.DUMMYFUNCTION("""COMPUTED_VALUE"""),0.75)</f>
        <v>0.75</v>
      </c>
      <c r="H8" s="4" t="str">
        <f>IFERROR(__xludf.DUMMYFUNCTION("""COMPUTED_VALUE"""),"PHB 2024")</f>
        <v>PHB 2024</v>
      </c>
      <c r="I8" s="4" t="str">
        <f>IFERROR(__xludf.DUMMYFUNCTION("""COMPUTED_VALUE"""),"x")</f>
        <v>x</v>
      </c>
      <c r="J8" s="4" t="str">
        <f>IFERROR(__xludf.DUMMYFUNCTION("""COMPUTED_VALUE"""),"x")</f>
        <v>x</v>
      </c>
      <c r="K8" s="4" t="str">
        <f>IFERROR(__xludf.DUMMYFUNCTION("""COMPUTED_VALUE"""),"x")</f>
        <v>x</v>
      </c>
      <c r="L8" s="7"/>
      <c r="M8" s="7"/>
      <c r="N8" s="7"/>
      <c r="O8" s="7" t="str">
        <f>IFERROR(__xludf.DUMMYFUNCTION("""COMPUTED_VALUE"""),"x")</f>
        <v>x</v>
      </c>
      <c r="P8" s="7"/>
      <c r="Q8" s="4" t="str">
        <f>IFERROR(__xludf.DUMMYFUNCTION("""COMPUTED_VALUE"""),"x")</f>
        <v>x</v>
      </c>
      <c r="R8" s="7" t="str">
        <f>IFERROR(__xludf.DUMMYFUNCTION("""COMPUTED_VALUE"""),"x")</f>
        <v>x</v>
      </c>
      <c r="S8" s="7"/>
      <c r="T8" s="7"/>
      <c r="U8" s="7" t="str">
        <f>IFERROR(__xludf.DUMMYFUNCTION("""COMPUTED_VALUE"""),"x")</f>
        <v>x</v>
      </c>
      <c r="V8" s="7"/>
      <c r="W8" s="7"/>
      <c r="X8" s="7"/>
      <c r="Y8" s="7"/>
    </row>
    <row r="9">
      <c r="A9" s="4" t="str">
        <f>IFERROR(__xludf.DUMMYFUNCTION("""COMPUTED_VALUE"""),"Adventuring Gear")</f>
        <v>Adventuring Gear</v>
      </c>
      <c r="B9" s="4" t="str">
        <f>IFERROR(__xludf.DUMMYFUNCTION("""COMPUTED_VALUE"""),"-")</f>
        <v>-</v>
      </c>
      <c r="C9" s="8" t="str">
        <f>IFERROR(__xludf.DUMMYFUNCTION("""COMPUTED_VALUE"""),"Sack")</f>
        <v>Sack</v>
      </c>
      <c r="D9" s="5">
        <f>IFERROR(__xludf.DUMMYFUNCTION("""COMPUTED_VALUE"""),0.5)</f>
        <v>0.5</v>
      </c>
      <c r="E9" s="6">
        <f>IFERROR(__xludf.DUMMYFUNCTION("""COMPUTED_VALUE"""),0.01)</f>
        <v>0.01</v>
      </c>
      <c r="F9" s="6">
        <f>IFERROR(__xludf.DUMMYFUNCTION("""COMPUTED_VALUE"""),0.0075)</f>
        <v>0.0075</v>
      </c>
      <c r="G9" s="6">
        <f>IFERROR(__xludf.DUMMYFUNCTION("""COMPUTED_VALUE"""),0.015)</f>
        <v>0.015</v>
      </c>
      <c r="H9" s="4" t="str">
        <f>IFERROR(__xludf.DUMMYFUNCTION("""COMPUTED_VALUE"""),"PHB 2024")</f>
        <v>PHB 2024</v>
      </c>
      <c r="I9" s="4" t="str">
        <f>IFERROR(__xludf.DUMMYFUNCTION("""COMPUTED_VALUE"""),"x")</f>
        <v>x</v>
      </c>
      <c r="J9" s="4" t="str">
        <f>IFERROR(__xludf.DUMMYFUNCTION("""COMPUTED_VALUE"""),"x")</f>
        <v>x</v>
      </c>
      <c r="K9" s="4" t="str">
        <f>IFERROR(__xludf.DUMMYFUNCTION("""COMPUTED_VALUE"""),"x")</f>
        <v>x</v>
      </c>
      <c r="L9" s="7"/>
      <c r="M9" s="7"/>
      <c r="N9" s="7"/>
      <c r="O9" s="7"/>
      <c r="P9" s="7" t="str">
        <f>IFERROR(__xludf.DUMMYFUNCTION("""COMPUTED_VALUE"""),"x")</f>
        <v>x</v>
      </c>
      <c r="Q9" s="7" t="str">
        <f>IFERROR(__xludf.DUMMYFUNCTION("""COMPUTED_VALUE"""),"x")</f>
        <v>x</v>
      </c>
      <c r="R9" s="7" t="str">
        <f>IFERROR(__xludf.DUMMYFUNCTION("""COMPUTED_VALUE"""),"x")</f>
        <v>x</v>
      </c>
      <c r="S9" s="7"/>
      <c r="T9" s="4"/>
      <c r="U9" s="7"/>
      <c r="V9" s="7"/>
      <c r="W9" s="7"/>
      <c r="X9" s="7"/>
      <c r="Y9" s="7"/>
    </row>
    <row r="10">
      <c r="A10" s="4" t="str">
        <f>IFERROR(__xludf.DUMMYFUNCTION("""COMPUTED_VALUE"""),"Adventuring Gear")</f>
        <v>Adventuring Gear</v>
      </c>
      <c r="B10" s="4" t="str">
        <f>IFERROR(__xludf.DUMMYFUNCTION("""COMPUTED_VALUE"""),"-")</f>
        <v>-</v>
      </c>
      <c r="C10" s="8" t="str">
        <f>IFERROR(__xludf.DUMMYFUNCTION("""COMPUTED_VALUE"""),"Tent")</f>
        <v>Tent</v>
      </c>
      <c r="D10" s="5">
        <f>IFERROR(__xludf.DUMMYFUNCTION("""COMPUTED_VALUE"""),20.0)</f>
        <v>20</v>
      </c>
      <c r="E10" s="6">
        <f>IFERROR(__xludf.DUMMYFUNCTION("""COMPUTED_VALUE"""),2.0)</f>
        <v>2</v>
      </c>
      <c r="F10" s="6">
        <f>IFERROR(__xludf.DUMMYFUNCTION("""COMPUTED_VALUE"""),1.5)</f>
        <v>1.5</v>
      </c>
      <c r="G10" s="6">
        <f>IFERROR(__xludf.DUMMYFUNCTION("""COMPUTED_VALUE"""),3.0)</f>
        <v>3</v>
      </c>
      <c r="H10" s="4" t="str">
        <f>IFERROR(__xludf.DUMMYFUNCTION("""COMPUTED_VALUE"""),"PHB 2024")</f>
        <v>PHB 2024</v>
      </c>
      <c r="I10" s="4"/>
      <c r="J10" s="4" t="str">
        <f>IFERROR(__xludf.DUMMYFUNCTION("""COMPUTED_VALUE"""),"x")</f>
        <v>x</v>
      </c>
      <c r="K10" s="4" t="str">
        <f>IFERROR(__xludf.DUMMYFUNCTION("""COMPUTED_VALUE"""),"x")</f>
        <v>x</v>
      </c>
      <c r="L10" s="7"/>
      <c r="M10" s="7"/>
      <c r="N10" s="7"/>
      <c r="O10" s="7"/>
      <c r="P10" s="7"/>
      <c r="Q10" s="7" t="str">
        <f>IFERROR(__xludf.DUMMYFUNCTION("""COMPUTED_VALUE"""),"x")</f>
        <v>x</v>
      </c>
      <c r="R10" s="7" t="str">
        <f>IFERROR(__xludf.DUMMYFUNCTION("""COMPUTED_VALUE"""),"x")</f>
        <v>x</v>
      </c>
      <c r="S10" s="4"/>
      <c r="T10" s="7"/>
      <c r="U10" s="4"/>
      <c r="V10" s="7"/>
      <c r="W10" s="7"/>
      <c r="X10" s="7"/>
      <c r="Y10" s="7"/>
    </row>
    <row r="11">
      <c r="A11" s="4" t="str">
        <f>IFERROR(__xludf.DUMMYFUNCTION("""COMPUTED_VALUE"""),"Tools")</f>
        <v>Tools</v>
      </c>
      <c r="B11" s="4" t="str">
        <f>IFERROR(__xludf.DUMMYFUNCTION("""COMPUTED_VALUE"""),"Artisan's Tools")</f>
        <v>Artisan's Tools</v>
      </c>
      <c r="C11" s="8" t="str">
        <f>IFERROR(__xludf.DUMMYFUNCTION("""COMPUTED_VALUE"""),"Weaver's Tools")</f>
        <v>Weaver's Tools</v>
      </c>
      <c r="D11" s="5">
        <f>IFERROR(__xludf.DUMMYFUNCTION("""COMPUTED_VALUE"""),5.0)</f>
        <v>5</v>
      </c>
      <c r="E11" s="6">
        <f>IFERROR(__xludf.DUMMYFUNCTION("""COMPUTED_VALUE"""),1.0)</f>
        <v>1</v>
      </c>
      <c r="F11" s="6">
        <f>IFERROR(__xludf.DUMMYFUNCTION("""COMPUTED_VALUE"""),0.75)</f>
        <v>0.75</v>
      </c>
      <c r="G11" s="6">
        <f>IFERROR(__xludf.DUMMYFUNCTION("""COMPUTED_VALUE"""),1.5)</f>
        <v>1.5</v>
      </c>
      <c r="H11" s="4" t="str">
        <f>IFERROR(__xludf.DUMMYFUNCTION("""COMPUTED_VALUE"""),"PHB 2024")</f>
        <v>PHB 2024</v>
      </c>
      <c r="I11" s="4" t="str">
        <f>IFERROR(__xludf.DUMMYFUNCTION("""COMPUTED_VALUE"""),"x")</f>
        <v>x</v>
      </c>
      <c r="J11" s="4" t="str">
        <f>IFERROR(__xludf.DUMMYFUNCTION("""COMPUTED_VALUE"""),"x")</f>
        <v>x</v>
      </c>
      <c r="K11" s="4" t="str">
        <f>IFERROR(__xludf.DUMMYFUNCTION("""COMPUTED_VALUE"""),"x")</f>
        <v>x</v>
      </c>
      <c r="L11" s="7"/>
      <c r="M11" s="7"/>
      <c r="N11" s="7"/>
      <c r="O11" s="7"/>
      <c r="P11" s="7" t="str">
        <f>IFERROR(__xludf.DUMMYFUNCTION("""COMPUTED_VALUE"""),"x")</f>
        <v>x</v>
      </c>
      <c r="Q11" s="7"/>
      <c r="R11" s="7" t="str">
        <f>IFERROR(__xludf.DUMMYFUNCTION("""COMPUTED_VALUE"""),"x")</f>
        <v>x</v>
      </c>
      <c r="S11" s="4"/>
      <c r="T11" s="7"/>
      <c r="U11" s="4"/>
      <c r="V11" s="7"/>
      <c r="W11" s="7"/>
      <c r="X11" s="7"/>
      <c r="Y11" s="7"/>
    </row>
    <row r="12">
      <c r="A12" s="4"/>
      <c r="B12" s="4"/>
      <c r="C12" s="4"/>
      <c r="D12" s="5"/>
      <c r="E12" s="6"/>
      <c r="F12" s="6"/>
      <c r="G12" s="6"/>
      <c r="H12" s="4"/>
      <c r="I12" s="4"/>
      <c r="J12" s="4"/>
      <c r="K12" s="4"/>
      <c r="L12" s="7"/>
      <c r="M12" s="7"/>
      <c r="N12" s="7"/>
      <c r="O12" s="7"/>
      <c r="P12" s="7"/>
      <c r="Q12" s="7"/>
      <c r="R12" s="7"/>
      <c r="S12" s="7"/>
      <c r="T12" s="7"/>
      <c r="U12" s="4"/>
      <c r="V12" s="7"/>
      <c r="W12" s="7"/>
      <c r="X12" s="7"/>
      <c r="Y12" s="7"/>
    </row>
    <row r="13">
      <c r="A13" s="4"/>
      <c r="B13" s="4"/>
      <c r="C13" s="4"/>
      <c r="D13" s="5"/>
      <c r="E13" s="6"/>
      <c r="F13" s="6"/>
      <c r="G13" s="6"/>
      <c r="H13" s="4"/>
      <c r="I13" s="4"/>
      <c r="J13" s="4"/>
      <c r="K13" s="4"/>
      <c r="L13" s="7"/>
      <c r="M13" s="7"/>
      <c r="N13" s="7"/>
      <c r="O13" s="7"/>
      <c r="P13" s="7"/>
      <c r="Q13" s="7"/>
      <c r="R13" s="7"/>
      <c r="S13" s="7"/>
      <c r="T13" s="7"/>
      <c r="U13" s="4"/>
      <c r="V13" s="7"/>
      <c r="W13" s="7"/>
      <c r="X13" s="7"/>
      <c r="Y13" s="7"/>
    </row>
    <row r="14">
      <c r="A14" s="4"/>
      <c r="B14" s="4"/>
      <c r="C14" s="4"/>
      <c r="D14" s="5"/>
      <c r="E14" s="6"/>
      <c r="F14" s="6"/>
      <c r="G14" s="6"/>
      <c r="H14" s="4"/>
      <c r="I14" s="4"/>
      <c r="J14" s="4"/>
      <c r="K14" s="4"/>
      <c r="L14" s="7"/>
      <c r="M14" s="7"/>
      <c r="N14" s="7"/>
      <c r="O14" s="7"/>
      <c r="P14" s="7"/>
      <c r="Q14" s="7"/>
      <c r="R14" s="7"/>
      <c r="S14" s="7"/>
      <c r="T14" s="7"/>
      <c r="U14" s="4"/>
      <c r="V14" s="7"/>
      <c r="W14" s="7"/>
      <c r="X14" s="7"/>
      <c r="Y14" s="7"/>
    </row>
    <row r="15">
      <c r="A15" s="4"/>
      <c r="B15" s="4"/>
      <c r="C15" s="4"/>
      <c r="D15" s="5"/>
      <c r="E15" s="6"/>
      <c r="F15" s="6"/>
      <c r="G15" s="6"/>
      <c r="H15" s="4"/>
      <c r="I15" s="4"/>
      <c r="J15" s="4"/>
      <c r="K15" s="4"/>
      <c r="L15" s="7"/>
      <c r="M15" s="7"/>
      <c r="N15" s="7"/>
      <c r="O15" s="7"/>
      <c r="P15" s="7"/>
      <c r="Q15" s="4"/>
      <c r="R15" s="7"/>
      <c r="S15" s="7"/>
      <c r="T15" s="7"/>
      <c r="U15" s="7"/>
      <c r="V15" s="7"/>
      <c r="W15" s="7"/>
      <c r="X15" s="7"/>
      <c r="Y15" s="7"/>
    </row>
    <row r="16">
      <c r="A16" s="4"/>
      <c r="B16" s="4"/>
      <c r="C16" s="4"/>
      <c r="D16" s="5"/>
      <c r="E16" s="6"/>
      <c r="F16" s="6"/>
      <c r="G16" s="6"/>
      <c r="H16" s="4"/>
      <c r="I16" s="4"/>
      <c r="J16" s="4"/>
      <c r="K16" s="4"/>
      <c r="L16" s="4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4"/>
      <c r="B17" s="4"/>
      <c r="C17" s="4"/>
      <c r="D17" s="5"/>
      <c r="E17" s="6"/>
      <c r="F17" s="6"/>
      <c r="G17" s="6"/>
      <c r="H17" s="4"/>
      <c r="I17" s="4"/>
      <c r="J17" s="4"/>
      <c r="K17" s="4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</row>
    <row r="18">
      <c r="A18" s="4"/>
      <c r="B18" s="4"/>
      <c r="C18" s="4"/>
      <c r="D18" s="5"/>
      <c r="E18" s="6"/>
      <c r="F18" s="6"/>
      <c r="G18" s="6"/>
      <c r="H18" s="4"/>
      <c r="I18" s="4"/>
      <c r="J18" s="4"/>
      <c r="K18" s="4"/>
      <c r="L18" s="7"/>
      <c r="M18" s="7"/>
      <c r="N18" s="7"/>
      <c r="O18" s="7"/>
      <c r="P18" s="7"/>
      <c r="Q18" s="7"/>
      <c r="R18" s="4"/>
      <c r="S18" s="7"/>
      <c r="T18" s="7"/>
      <c r="U18" s="7"/>
      <c r="V18" s="7"/>
      <c r="W18" s="7"/>
      <c r="X18" s="7"/>
      <c r="Y18" s="7"/>
    </row>
    <row r="19">
      <c r="A19" s="4"/>
      <c r="B19" s="4"/>
      <c r="C19" s="4"/>
      <c r="D19" s="5"/>
      <c r="E19" s="6"/>
      <c r="F19" s="6"/>
      <c r="G19" s="6"/>
      <c r="H19" s="4"/>
      <c r="I19" s="4"/>
      <c r="J19" s="4"/>
      <c r="K19" s="4"/>
      <c r="L19" s="7"/>
      <c r="M19" s="7"/>
      <c r="N19" s="7"/>
      <c r="O19" s="7"/>
      <c r="P19" s="7"/>
      <c r="Q19" s="4"/>
      <c r="R19" s="7"/>
      <c r="S19" s="7"/>
      <c r="T19" s="7"/>
      <c r="U19" s="7"/>
      <c r="V19" s="7"/>
      <c r="W19" s="7"/>
      <c r="X19" s="7"/>
      <c r="Y19" s="7"/>
    </row>
    <row r="20">
      <c r="A20" s="4"/>
      <c r="B20" s="4"/>
      <c r="C20" s="4"/>
      <c r="D20" s="5"/>
      <c r="E20" s="6"/>
      <c r="F20" s="6"/>
      <c r="G20" s="6"/>
      <c r="H20" s="4"/>
      <c r="I20" s="4"/>
      <c r="J20" s="4"/>
      <c r="K20" s="4"/>
      <c r="L20" s="4"/>
      <c r="M20" s="7"/>
      <c r="N20" s="7"/>
      <c r="O20" s="4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4"/>
      <c r="B21" s="4"/>
      <c r="C21" s="4"/>
      <c r="D21" s="5"/>
      <c r="E21" s="6"/>
      <c r="F21" s="6"/>
      <c r="G21" s="6"/>
      <c r="H21" s="4"/>
      <c r="I21" s="4"/>
      <c r="J21" s="4"/>
      <c r="K21" s="4"/>
      <c r="L21" s="7"/>
      <c r="M21" s="7"/>
      <c r="N21" s="7"/>
      <c r="O21" s="4"/>
      <c r="P21" s="4"/>
      <c r="Q21" s="4"/>
      <c r="R21" s="7"/>
      <c r="S21" s="7"/>
      <c r="T21" s="7"/>
      <c r="U21" s="7"/>
      <c r="V21" s="7"/>
      <c r="W21" s="7"/>
      <c r="X21" s="7"/>
      <c r="Y21" s="7"/>
    </row>
    <row r="22">
      <c r="A22" s="4"/>
      <c r="B22" s="4"/>
      <c r="C22" s="4"/>
      <c r="D22" s="5"/>
      <c r="E22" s="6"/>
      <c r="F22" s="6"/>
      <c r="G22" s="6"/>
      <c r="H22" s="4"/>
      <c r="I22" s="4"/>
      <c r="J22" s="4"/>
      <c r="K22" s="4"/>
      <c r="L22" s="4"/>
      <c r="M22" s="7"/>
      <c r="N22" s="7"/>
      <c r="O22" s="7"/>
      <c r="P22" s="7"/>
      <c r="Q22" s="4"/>
      <c r="R22" s="7"/>
      <c r="S22" s="7"/>
      <c r="T22" s="7"/>
      <c r="U22" s="7"/>
      <c r="V22" s="7"/>
      <c r="W22" s="7"/>
      <c r="X22" s="7"/>
      <c r="Y22" s="7"/>
    </row>
    <row r="23">
      <c r="A23" s="4"/>
      <c r="B23" s="4"/>
      <c r="C23" s="4"/>
      <c r="D23" s="5"/>
      <c r="E23" s="6"/>
      <c r="F23" s="6"/>
      <c r="G23" s="6"/>
      <c r="H23" s="4"/>
      <c r="I23" s="4"/>
      <c r="J23" s="4"/>
      <c r="K23" s="4"/>
      <c r="L23" s="7"/>
      <c r="M23" s="7"/>
      <c r="N23" s="7"/>
      <c r="O23" s="4"/>
      <c r="P23" s="7"/>
      <c r="Q23" s="7"/>
      <c r="R23" s="7"/>
      <c r="S23" s="7"/>
      <c r="T23" s="7"/>
      <c r="U23" s="4"/>
      <c r="V23" s="7"/>
      <c r="W23" s="7"/>
      <c r="X23" s="7"/>
      <c r="Y23" s="7"/>
    </row>
    <row r="24">
      <c r="A24" s="4"/>
      <c r="B24" s="4"/>
      <c r="C24" s="4"/>
      <c r="D24" s="5"/>
      <c r="E24" s="6"/>
      <c r="F24" s="6"/>
      <c r="G24" s="6"/>
      <c r="H24" s="4"/>
      <c r="I24" s="4"/>
      <c r="J24" s="4"/>
      <c r="K24" s="4"/>
      <c r="L24" s="7"/>
      <c r="M24" s="7"/>
      <c r="N24" s="7"/>
      <c r="O24" s="7"/>
      <c r="P24" s="4"/>
      <c r="Q24" s="4"/>
      <c r="R24" s="7"/>
      <c r="S24" s="7"/>
      <c r="T24" s="7"/>
      <c r="U24" s="4"/>
      <c r="V24" s="7"/>
      <c r="W24" s="7"/>
      <c r="X24" s="7"/>
      <c r="Y24" s="7"/>
    </row>
    <row r="25">
      <c r="A25" s="4"/>
      <c r="B25" s="4"/>
      <c r="C25" s="4"/>
      <c r="D25" s="5"/>
      <c r="E25" s="6"/>
      <c r="F25" s="6"/>
      <c r="G25" s="6"/>
      <c r="H25" s="4"/>
      <c r="I25" s="4"/>
      <c r="J25" s="4"/>
      <c r="K25" s="4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</row>
    <row r="26">
      <c r="A26" s="4"/>
      <c r="B26" s="4"/>
      <c r="C26" s="4"/>
      <c r="D26" s="5"/>
      <c r="E26" s="6"/>
      <c r="F26" s="6"/>
      <c r="G26" s="6"/>
      <c r="H26" s="4"/>
      <c r="I26" s="4"/>
      <c r="J26" s="4"/>
      <c r="K26" s="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4"/>
      <c r="X26" s="7"/>
      <c r="Y26" s="7"/>
    </row>
    <row r="27">
      <c r="A27" s="4"/>
      <c r="B27" s="4"/>
      <c r="C27" s="4"/>
      <c r="D27" s="5"/>
      <c r="E27" s="6"/>
      <c r="F27" s="6"/>
      <c r="G27" s="6"/>
      <c r="H27" s="4"/>
      <c r="I27" s="4"/>
      <c r="J27" s="4"/>
      <c r="K27" s="4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4"/>
      <c r="X27" s="7"/>
      <c r="Y27" s="7"/>
    </row>
    <row r="28">
      <c r="A28" s="4"/>
      <c r="B28" s="4"/>
      <c r="C28" s="4"/>
      <c r="D28" s="5"/>
      <c r="E28" s="6"/>
      <c r="F28" s="6"/>
      <c r="G28" s="6"/>
      <c r="H28" s="4"/>
      <c r="I28" s="4"/>
      <c r="J28" s="4"/>
      <c r="K28" s="4"/>
      <c r="L28" s="7"/>
      <c r="M28" s="7"/>
      <c r="N28" s="7"/>
      <c r="O28" s="4"/>
      <c r="P28" s="4"/>
      <c r="Q28" s="4"/>
      <c r="R28" s="7"/>
      <c r="S28" s="7"/>
      <c r="T28" s="7"/>
      <c r="U28" s="4"/>
      <c r="V28" s="7"/>
      <c r="W28" s="7"/>
      <c r="X28" s="7"/>
      <c r="Y28" s="7"/>
    </row>
    <row r="29">
      <c r="A29" s="4"/>
      <c r="B29" s="4"/>
      <c r="C29" s="4"/>
      <c r="D29" s="5"/>
      <c r="E29" s="6"/>
      <c r="F29" s="6"/>
      <c r="G29" s="6"/>
      <c r="H29" s="4"/>
      <c r="I29" s="4"/>
      <c r="J29" s="4"/>
      <c r="K29" s="4"/>
      <c r="L29" s="7"/>
      <c r="M29" s="4"/>
      <c r="N29" s="7"/>
      <c r="O29" s="7"/>
      <c r="P29" s="7"/>
      <c r="Q29" s="4"/>
      <c r="R29" s="7"/>
      <c r="S29" s="7"/>
      <c r="T29" s="7"/>
      <c r="U29" s="7"/>
      <c r="V29" s="7"/>
      <c r="W29" s="7"/>
      <c r="X29" s="7"/>
      <c r="Y29" s="7"/>
    </row>
    <row r="30">
      <c r="A30" s="4"/>
      <c r="B30" s="4"/>
      <c r="C30" s="8"/>
      <c r="D30" s="5"/>
      <c r="E30" s="6"/>
      <c r="F30" s="6"/>
      <c r="G30" s="6"/>
      <c r="H30" s="4"/>
      <c r="I30" s="4"/>
      <c r="J30" s="4"/>
      <c r="K30" s="4"/>
      <c r="L30" s="7"/>
      <c r="M30" s="7"/>
      <c r="N30" s="7"/>
      <c r="O30" s="4"/>
      <c r="P30" s="7"/>
      <c r="Q30" s="4"/>
      <c r="R30" s="7"/>
      <c r="S30" s="7"/>
      <c r="T30" s="7"/>
      <c r="U30" s="4"/>
      <c r="V30" s="7"/>
      <c r="W30" s="7"/>
      <c r="X30" s="7"/>
      <c r="Y30" s="7"/>
    </row>
    <row r="31">
      <c r="A31" s="4"/>
      <c r="B31" s="4"/>
      <c r="C31" s="8"/>
      <c r="D31" s="5"/>
      <c r="E31" s="6"/>
      <c r="F31" s="6"/>
      <c r="G31" s="6"/>
      <c r="H31" s="4"/>
      <c r="I31" s="4"/>
      <c r="J31" s="4"/>
      <c r="K31" s="4"/>
      <c r="L31" s="4"/>
      <c r="M31" s="7"/>
      <c r="N31" s="7"/>
      <c r="O31" s="7"/>
      <c r="P31" s="7"/>
      <c r="Q31" s="4"/>
      <c r="R31" s="7"/>
      <c r="S31" s="7"/>
      <c r="T31" s="7"/>
      <c r="U31" s="7"/>
      <c r="V31" s="7"/>
      <c r="W31" s="7"/>
      <c r="X31" s="7"/>
      <c r="Y31" s="7"/>
    </row>
    <row r="32">
      <c r="A32" s="4"/>
      <c r="B32" s="4"/>
      <c r="C32" s="8"/>
      <c r="D32" s="5"/>
      <c r="E32" s="6"/>
      <c r="F32" s="6"/>
      <c r="G32" s="6"/>
      <c r="H32" s="4"/>
      <c r="I32" s="4"/>
      <c r="J32" s="4"/>
      <c r="K32" s="4"/>
      <c r="L32" s="7"/>
      <c r="M32" s="7"/>
      <c r="N32" s="7"/>
      <c r="O32" s="7"/>
      <c r="P32" s="4"/>
      <c r="Q32" s="4"/>
      <c r="R32" s="7"/>
      <c r="S32" s="7"/>
      <c r="T32" s="7"/>
      <c r="U32" s="7"/>
      <c r="V32" s="7"/>
      <c r="W32" s="7"/>
      <c r="X32" s="7"/>
      <c r="Y32" s="7"/>
    </row>
    <row r="33">
      <c r="A33" s="4"/>
      <c r="B33" s="4"/>
      <c r="C33" s="8"/>
      <c r="D33" s="5"/>
      <c r="E33" s="6"/>
      <c r="F33" s="6"/>
      <c r="G33" s="6"/>
      <c r="H33" s="4"/>
      <c r="I33" s="4"/>
      <c r="J33" s="4"/>
      <c r="K33" s="4"/>
      <c r="L33" s="7"/>
      <c r="M33" s="7"/>
      <c r="N33" s="7"/>
      <c r="O33" s="7"/>
      <c r="P33" s="7"/>
      <c r="Q33" s="4"/>
      <c r="R33" s="7"/>
      <c r="S33" s="7"/>
      <c r="T33" s="7"/>
      <c r="U33" s="7"/>
      <c r="V33" s="7"/>
      <c r="W33" s="7"/>
      <c r="X33" s="7"/>
      <c r="Y33" s="7"/>
    </row>
    <row r="34">
      <c r="A34" s="4"/>
      <c r="B34" s="4"/>
      <c r="C34" s="8"/>
      <c r="D34" s="5"/>
      <c r="E34" s="6"/>
      <c r="F34" s="6"/>
      <c r="G34" s="6"/>
      <c r="H34" s="4"/>
      <c r="I34" s="4"/>
      <c r="J34" s="4"/>
      <c r="K34" s="4"/>
      <c r="L34" s="7"/>
      <c r="M34" s="7"/>
      <c r="N34" s="7"/>
      <c r="O34" s="7"/>
      <c r="P34" s="4"/>
      <c r="Q34" s="7"/>
      <c r="R34" s="4"/>
      <c r="S34" s="7"/>
      <c r="T34" s="7"/>
      <c r="U34" s="7"/>
      <c r="V34" s="7"/>
      <c r="W34" s="7"/>
      <c r="X34" s="7"/>
      <c r="Y34" s="7"/>
    </row>
    <row r="35">
      <c r="A35" s="4"/>
      <c r="B35" s="4"/>
      <c r="C35" s="8"/>
      <c r="D35" s="5"/>
      <c r="E35" s="6"/>
      <c r="F35" s="6"/>
      <c r="G35" s="6"/>
      <c r="H35" s="4"/>
      <c r="I35" s="4"/>
      <c r="J35" s="4"/>
      <c r="K35" s="4"/>
      <c r="L35" s="7"/>
      <c r="M35" s="7"/>
      <c r="N35" s="7"/>
      <c r="O35" s="7"/>
      <c r="P35" s="7"/>
      <c r="Q35" s="4"/>
      <c r="R35" s="4"/>
      <c r="S35" s="7"/>
      <c r="T35" s="7"/>
      <c r="U35" s="7"/>
      <c r="V35" s="7"/>
      <c r="W35" s="7"/>
      <c r="X35" s="7"/>
      <c r="Y35" s="7"/>
    </row>
    <row r="36">
      <c r="A36" s="4"/>
      <c r="B36" s="4"/>
      <c r="C36" s="8"/>
      <c r="D36" s="5"/>
      <c r="E36" s="6"/>
      <c r="F36" s="6"/>
      <c r="G36" s="6"/>
      <c r="H36" s="4"/>
      <c r="I36" s="4"/>
      <c r="J36" s="4"/>
      <c r="K36" s="4"/>
      <c r="L36" s="7"/>
      <c r="M36" s="7"/>
      <c r="N36" s="7"/>
      <c r="O36" s="7"/>
      <c r="P36" s="7"/>
      <c r="Q36" s="7"/>
      <c r="R36" s="4"/>
      <c r="S36" s="7"/>
      <c r="T36" s="4"/>
      <c r="U36" s="4"/>
      <c r="V36" s="7"/>
      <c r="W36" s="7"/>
      <c r="X36" s="7"/>
      <c r="Y36" s="7"/>
    </row>
    <row r="37">
      <c r="A37" s="4"/>
      <c r="B37" s="4"/>
      <c r="C37" s="8"/>
      <c r="D37" s="5"/>
      <c r="E37" s="6"/>
      <c r="F37" s="6"/>
      <c r="G37" s="6"/>
      <c r="H37" s="4"/>
      <c r="I37" s="4"/>
      <c r="J37" s="4"/>
      <c r="K37" s="4"/>
      <c r="L37" s="7"/>
      <c r="M37" s="7"/>
      <c r="N37" s="7"/>
      <c r="O37" s="7"/>
      <c r="P37" s="7"/>
      <c r="Q37" s="7"/>
      <c r="R37" s="4"/>
      <c r="S37" s="7"/>
      <c r="T37" s="7"/>
      <c r="U37" s="7"/>
      <c r="V37" s="7"/>
      <c r="W37" s="4"/>
      <c r="X37" s="7"/>
      <c r="Y37" s="7"/>
    </row>
    <row r="38">
      <c r="A38" s="4"/>
      <c r="B38" s="4"/>
      <c r="C38" s="8"/>
      <c r="D38" s="5"/>
      <c r="E38" s="6"/>
      <c r="F38" s="6"/>
      <c r="G38" s="6"/>
      <c r="H38" s="4"/>
      <c r="I38" s="4"/>
      <c r="J38" s="4"/>
      <c r="K38" s="4"/>
      <c r="L38" s="4"/>
      <c r="M38" s="7"/>
      <c r="N38" s="7"/>
      <c r="O38" s="7"/>
      <c r="P38" s="7"/>
      <c r="Q38" s="4"/>
      <c r="R38" s="7"/>
      <c r="S38" s="7"/>
      <c r="T38" s="7"/>
      <c r="U38" s="7"/>
      <c r="V38" s="7"/>
      <c r="W38" s="4"/>
      <c r="X38" s="7"/>
      <c r="Y38" s="7"/>
    </row>
    <row r="39">
      <c r="A39" s="4"/>
      <c r="B39" s="4"/>
      <c r="C39" s="8"/>
      <c r="D39" s="5"/>
      <c r="E39" s="6"/>
      <c r="F39" s="6"/>
      <c r="G39" s="6"/>
      <c r="H39" s="4"/>
      <c r="I39" s="4"/>
      <c r="J39" s="4"/>
      <c r="K39" s="4"/>
      <c r="L39" s="7"/>
      <c r="M39" s="7"/>
      <c r="N39" s="7"/>
      <c r="O39" s="4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4"/>
      <c r="B40" s="8"/>
      <c r="C40" s="4"/>
      <c r="D40" s="5"/>
      <c r="E40" s="6"/>
      <c r="F40" s="6"/>
      <c r="G40" s="6"/>
      <c r="H40" s="4"/>
      <c r="I40" s="4"/>
      <c r="J40" s="4"/>
      <c r="K40" s="4"/>
      <c r="L40" s="7"/>
      <c r="M40" s="7"/>
      <c r="N40" s="7"/>
      <c r="O40" s="7"/>
      <c r="P40" s="7"/>
      <c r="Q40" s="7"/>
      <c r="R40" s="7"/>
      <c r="S40" s="7"/>
      <c r="T40" s="7"/>
      <c r="U40" s="4"/>
      <c r="V40" s="7"/>
      <c r="W40" s="7"/>
      <c r="X40" s="7"/>
      <c r="Y40" s="7"/>
    </row>
    <row r="41">
      <c r="A41" s="4"/>
      <c r="B41" s="8"/>
      <c r="C41" s="8"/>
      <c r="D41" s="5"/>
      <c r="E41" s="6"/>
      <c r="F41" s="6"/>
      <c r="G41" s="6"/>
      <c r="H41" s="4"/>
      <c r="I41" s="4"/>
      <c r="J41" s="4"/>
      <c r="K41" s="4"/>
      <c r="L41" s="7"/>
      <c r="M41" s="7"/>
      <c r="N41" s="7"/>
      <c r="O41" s="7"/>
      <c r="P41" s="7"/>
      <c r="Q41" s="7"/>
      <c r="R41" s="7"/>
      <c r="S41" s="7"/>
      <c r="T41" s="7"/>
      <c r="U41" s="4"/>
      <c r="V41" s="7"/>
      <c r="W41" s="7"/>
      <c r="X41" s="7"/>
      <c r="Y41" s="7"/>
    </row>
    <row r="42">
      <c r="A42" s="4"/>
      <c r="B42" s="8"/>
      <c r="C42" s="8"/>
      <c r="D42" s="5"/>
      <c r="E42" s="6"/>
      <c r="F42" s="6"/>
      <c r="G42" s="6"/>
      <c r="H42" s="4"/>
      <c r="I42" s="4"/>
      <c r="J42" s="4"/>
      <c r="K42" s="4"/>
      <c r="L42" s="7"/>
      <c r="M42" s="7"/>
      <c r="N42" s="7"/>
      <c r="O42" s="7"/>
      <c r="P42" s="7"/>
      <c r="Q42" s="7"/>
      <c r="R42" s="7"/>
      <c r="S42" s="7"/>
      <c r="T42" s="7"/>
      <c r="U42" s="4"/>
      <c r="V42" s="7"/>
      <c r="W42" s="7"/>
      <c r="X42" s="7"/>
      <c r="Y42" s="7"/>
    </row>
    <row r="43">
      <c r="A43" s="4"/>
      <c r="B43" s="4"/>
      <c r="C43" s="8"/>
      <c r="D43" s="5"/>
      <c r="E43" s="6"/>
      <c r="F43" s="6"/>
      <c r="G43" s="6"/>
      <c r="H43" s="4"/>
      <c r="I43" s="4"/>
      <c r="J43" s="4"/>
      <c r="K43" s="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4"/>
      <c r="B44" s="4"/>
      <c r="C44" s="8"/>
      <c r="D44" s="5"/>
      <c r="E44" s="6"/>
      <c r="F44" s="6"/>
      <c r="G44" s="6"/>
      <c r="H44" s="4"/>
      <c r="I44" s="4"/>
      <c r="J44" s="4"/>
      <c r="K44" s="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4"/>
      <c r="B45" s="4"/>
      <c r="C45" s="8"/>
      <c r="D45" s="5"/>
      <c r="E45" s="6"/>
      <c r="F45" s="6"/>
      <c r="G45" s="6"/>
      <c r="H45" s="4"/>
      <c r="I45" s="4"/>
      <c r="J45" s="4"/>
      <c r="K45" s="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4"/>
      <c r="B46" s="4"/>
      <c r="C46" s="8"/>
      <c r="D46" s="5"/>
      <c r="E46" s="6"/>
      <c r="F46" s="6"/>
      <c r="G46" s="6"/>
      <c r="H46" s="4"/>
      <c r="I46" s="4"/>
      <c r="J46" s="4"/>
      <c r="K46" s="4"/>
      <c r="L46" s="7"/>
      <c r="M46" s="7"/>
      <c r="N46" s="7"/>
      <c r="O46" s="4"/>
      <c r="P46" s="4"/>
      <c r="Q46" s="4"/>
      <c r="R46" s="7"/>
      <c r="S46" s="7"/>
      <c r="T46" s="4"/>
      <c r="U46" s="7"/>
      <c r="V46" s="7"/>
      <c r="W46" s="7"/>
      <c r="X46" s="7"/>
      <c r="Y46" s="7"/>
    </row>
    <row r="47">
      <c r="A47" s="4"/>
      <c r="B47" s="4"/>
      <c r="C47" s="8"/>
      <c r="D47" s="5"/>
      <c r="E47" s="6"/>
      <c r="F47" s="6"/>
      <c r="G47" s="6"/>
      <c r="H47" s="4"/>
      <c r="I47" s="4"/>
      <c r="J47" s="4"/>
      <c r="K47" s="4"/>
      <c r="L47" s="4"/>
      <c r="M47" s="7"/>
      <c r="N47" s="7"/>
      <c r="O47" s="7"/>
      <c r="P47" s="7"/>
      <c r="Q47" s="4"/>
      <c r="R47" s="7"/>
      <c r="S47" s="7"/>
      <c r="T47" s="7"/>
      <c r="U47" s="7"/>
      <c r="V47" s="7"/>
      <c r="W47" s="4"/>
      <c r="X47" s="7"/>
      <c r="Y47" s="7"/>
    </row>
    <row r="48">
      <c r="A48" s="4"/>
      <c r="B48" s="4"/>
      <c r="C48" s="8"/>
      <c r="D48" s="5"/>
      <c r="E48" s="6"/>
      <c r="F48" s="6"/>
      <c r="G48" s="6"/>
      <c r="H48" s="4"/>
      <c r="I48" s="4"/>
      <c r="J48" s="4"/>
      <c r="K48" s="4"/>
      <c r="L48" s="7"/>
      <c r="M48" s="7"/>
      <c r="N48" s="7"/>
      <c r="O48" s="4"/>
      <c r="P48" s="7"/>
      <c r="Q48" s="4"/>
      <c r="R48" s="7"/>
      <c r="S48" s="7"/>
      <c r="T48" s="7"/>
      <c r="U48" s="7"/>
      <c r="V48" s="7"/>
      <c r="W48" s="7"/>
      <c r="X48" s="7"/>
      <c r="Y48" s="7"/>
    </row>
    <row r="49">
      <c r="A49" s="4"/>
      <c r="B49" s="4"/>
      <c r="C49" s="8"/>
      <c r="D49" s="5"/>
      <c r="E49" s="6"/>
      <c r="F49" s="6"/>
      <c r="G49" s="6"/>
      <c r="H49" s="4"/>
      <c r="I49" s="4"/>
      <c r="J49" s="4"/>
      <c r="K49" s="4"/>
      <c r="L49" s="7"/>
      <c r="M49" s="7"/>
      <c r="N49" s="7"/>
      <c r="O49" s="4"/>
      <c r="P49" s="7"/>
      <c r="Q49" s="7"/>
      <c r="R49" s="7"/>
      <c r="S49" s="4"/>
      <c r="T49" s="7"/>
      <c r="U49" s="7"/>
      <c r="V49" s="7"/>
      <c r="W49" s="7"/>
      <c r="X49" s="7"/>
      <c r="Y49" s="7"/>
    </row>
    <row r="50">
      <c r="A50" s="4"/>
      <c r="B50" s="4"/>
      <c r="C50" s="8"/>
      <c r="D50" s="5"/>
      <c r="E50" s="6"/>
      <c r="F50" s="6"/>
      <c r="G50" s="6"/>
      <c r="H50" s="4"/>
      <c r="I50" s="4"/>
      <c r="J50" s="4"/>
      <c r="K50" s="4"/>
      <c r="L50" s="7"/>
      <c r="M50" s="7"/>
      <c r="N50" s="7"/>
      <c r="O50" s="4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4"/>
      <c r="B51" s="4"/>
      <c r="C51" s="8"/>
      <c r="D51" s="5"/>
      <c r="E51" s="6"/>
      <c r="F51" s="6"/>
      <c r="G51" s="6"/>
      <c r="H51" s="4"/>
      <c r="I51" s="4"/>
      <c r="J51" s="4"/>
      <c r="K51" s="4"/>
      <c r="L51" s="7"/>
      <c r="M51" s="7"/>
      <c r="N51" s="7"/>
      <c r="O51" s="4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4"/>
      <c r="B52" s="4"/>
      <c r="C52" s="8"/>
      <c r="D52" s="5"/>
      <c r="E52" s="6"/>
      <c r="F52" s="6"/>
      <c r="G52" s="6"/>
      <c r="H52" s="4"/>
      <c r="I52" s="4"/>
      <c r="J52" s="4"/>
      <c r="K52" s="4"/>
      <c r="L52" s="7"/>
      <c r="M52" s="7"/>
      <c r="N52" s="7"/>
      <c r="O52" s="4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4"/>
      <c r="B53" s="4"/>
      <c r="C53" s="8"/>
      <c r="D53" s="5"/>
      <c r="E53" s="6"/>
      <c r="F53" s="6"/>
      <c r="G53" s="6"/>
      <c r="H53" s="4"/>
      <c r="I53" s="4"/>
      <c r="J53" s="4"/>
      <c r="K53" s="4"/>
      <c r="L53" s="4"/>
      <c r="M53" s="7"/>
      <c r="N53" s="7"/>
      <c r="O53" s="7"/>
      <c r="P53" s="7"/>
      <c r="Q53" s="4"/>
      <c r="R53" s="7"/>
      <c r="S53" s="7"/>
      <c r="T53" s="7"/>
      <c r="U53" s="7"/>
      <c r="V53" s="7"/>
      <c r="W53" s="7"/>
      <c r="X53" s="7"/>
      <c r="Y53" s="7"/>
    </row>
    <row r="54">
      <c r="A54" s="4"/>
      <c r="B54" s="4"/>
      <c r="C54" s="8"/>
      <c r="D54" s="5"/>
      <c r="E54" s="6"/>
      <c r="F54" s="6"/>
      <c r="G54" s="6"/>
      <c r="H54" s="4"/>
      <c r="I54" s="4"/>
      <c r="J54" s="4"/>
      <c r="K54" s="4"/>
      <c r="L54" s="7"/>
      <c r="M54" s="7"/>
      <c r="N54" s="7"/>
      <c r="O54" s="4"/>
      <c r="P54" s="4"/>
      <c r="Q54" s="4"/>
      <c r="R54" s="7"/>
      <c r="S54" s="7"/>
      <c r="T54" s="7"/>
      <c r="U54" s="4"/>
      <c r="V54" s="7"/>
      <c r="W54" s="4"/>
      <c r="X54" s="7"/>
      <c r="Y54" s="7"/>
    </row>
    <row r="55">
      <c r="A55" s="4"/>
      <c r="B55" s="4"/>
      <c r="C55" s="8"/>
      <c r="D55" s="5"/>
      <c r="E55" s="6"/>
      <c r="F55" s="6"/>
      <c r="G55" s="6"/>
      <c r="H55" s="4"/>
      <c r="I55" s="4"/>
      <c r="J55" s="4"/>
      <c r="K55" s="4"/>
      <c r="L55" s="7"/>
      <c r="M55" s="7"/>
      <c r="N55" s="7"/>
      <c r="O55" s="4"/>
      <c r="P55" s="4"/>
      <c r="Q55" s="4"/>
      <c r="R55" s="7"/>
      <c r="S55" s="7"/>
      <c r="T55" s="7"/>
      <c r="U55" s="4"/>
      <c r="V55" s="7"/>
      <c r="W55" s="4"/>
      <c r="X55" s="7"/>
      <c r="Y55" s="7"/>
    </row>
    <row r="56">
      <c r="A56" s="4"/>
      <c r="B56" s="4"/>
      <c r="C56" s="8"/>
      <c r="D56" s="5"/>
      <c r="E56" s="6"/>
      <c r="F56" s="6"/>
      <c r="G56" s="6"/>
      <c r="H56" s="4"/>
      <c r="I56" s="4"/>
      <c r="J56" s="4"/>
      <c r="K56" s="4"/>
      <c r="L56" s="7"/>
      <c r="M56" s="7"/>
      <c r="N56" s="7"/>
      <c r="O56" s="7"/>
      <c r="P56" s="4"/>
      <c r="Q56" s="4"/>
      <c r="R56" s="7"/>
      <c r="S56" s="7"/>
      <c r="T56" s="7"/>
      <c r="U56" s="7"/>
      <c r="V56" s="7"/>
      <c r="W56" s="7"/>
      <c r="X56" s="7"/>
      <c r="Y56" s="7"/>
    </row>
    <row r="57">
      <c r="A57" s="4"/>
      <c r="B57" s="4"/>
      <c r="C57" s="8"/>
      <c r="D57" s="5"/>
      <c r="E57" s="6"/>
      <c r="F57" s="6"/>
      <c r="G57" s="6"/>
      <c r="H57" s="4"/>
      <c r="I57" s="4"/>
      <c r="J57" s="4"/>
      <c r="K57" s="4"/>
      <c r="L57" s="7"/>
      <c r="M57" s="7"/>
      <c r="N57" s="7"/>
      <c r="O57" s="7"/>
      <c r="P57" s="4"/>
      <c r="Q57" s="4"/>
      <c r="R57" s="7"/>
      <c r="S57" s="7"/>
      <c r="T57" s="7"/>
      <c r="U57" s="7"/>
      <c r="V57" s="7"/>
      <c r="W57" s="7"/>
      <c r="X57" s="7"/>
      <c r="Y57" s="7"/>
    </row>
    <row r="58">
      <c r="A58" s="4"/>
      <c r="B58" s="4"/>
      <c r="C58" s="8"/>
      <c r="D58" s="5"/>
      <c r="E58" s="6"/>
      <c r="F58" s="6"/>
      <c r="G58" s="6"/>
      <c r="H58" s="4"/>
      <c r="I58" s="4"/>
      <c r="J58" s="4"/>
      <c r="K58" s="4"/>
      <c r="L58" s="4"/>
      <c r="M58" s="7"/>
      <c r="N58" s="7"/>
      <c r="O58" s="4"/>
      <c r="P58" s="4"/>
      <c r="Q58" s="7"/>
      <c r="R58" s="7"/>
      <c r="S58" s="7"/>
      <c r="T58" s="7"/>
      <c r="U58" s="7"/>
      <c r="V58" s="7"/>
      <c r="W58" s="7"/>
      <c r="X58" s="7"/>
      <c r="Y58" s="7"/>
    </row>
    <row r="59">
      <c r="A59" s="4"/>
      <c r="B59" s="4"/>
      <c r="C59" s="8"/>
      <c r="D59" s="5"/>
      <c r="E59" s="6"/>
      <c r="F59" s="6"/>
      <c r="G59" s="6"/>
      <c r="H59" s="4"/>
      <c r="I59" s="4"/>
      <c r="J59" s="4"/>
      <c r="K59" s="4"/>
      <c r="L59" s="4"/>
      <c r="M59" s="7"/>
      <c r="N59" s="7"/>
      <c r="O59" s="7"/>
      <c r="P59" s="7"/>
      <c r="Q59" s="4"/>
      <c r="R59" s="7"/>
      <c r="S59" s="7"/>
      <c r="T59" s="7"/>
      <c r="U59" s="7"/>
      <c r="V59" s="7"/>
      <c r="W59" s="4"/>
      <c r="X59" s="7"/>
      <c r="Y59" s="7"/>
    </row>
    <row r="60">
      <c r="A60" s="4"/>
      <c r="B60" s="4"/>
      <c r="C60" s="8"/>
      <c r="D60" s="5"/>
      <c r="E60" s="6"/>
      <c r="F60" s="6"/>
      <c r="G60" s="6"/>
      <c r="H60" s="4"/>
      <c r="I60" s="4"/>
      <c r="J60" s="4"/>
      <c r="K60" s="4"/>
      <c r="L60" s="4"/>
      <c r="M60" s="7"/>
      <c r="N60" s="7"/>
      <c r="O60" s="4"/>
      <c r="P60" s="4"/>
      <c r="Q60" s="4"/>
      <c r="R60" s="7"/>
      <c r="S60" s="7"/>
      <c r="T60" s="7"/>
      <c r="U60" s="7"/>
      <c r="V60" s="7"/>
      <c r="W60" s="7"/>
      <c r="X60" s="7"/>
      <c r="Y60" s="7"/>
    </row>
    <row r="61">
      <c r="A61" s="4"/>
      <c r="B61" s="4"/>
      <c r="C61" s="8"/>
      <c r="D61" s="5"/>
      <c r="E61" s="6"/>
      <c r="F61" s="6"/>
      <c r="G61" s="6"/>
      <c r="H61" s="4"/>
      <c r="I61" s="4"/>
      <c r="J61" s="4"/>
      <c r="K61" s="4"/>
      <c r="L61" s="4"/>
      <c r="M61" s="7"/>
      <c r="N61" s="7"/>
      <c r="O61" s="7"/>
      <c r="P61" s="4"/>
      <c r="Q61" s="4"/>
      <c r="R61" s="7"/>
      <c r="S61" s="7"/>
      <c r="T61" s="7"/>
      <c r="U61" s="7"/>
      <c r="V61" s="7"/>
      <c r="W61" s="4"/>
      <c r="X61" s="7"/>
      <c r="Y61" s="7"/>
    </row>
    <row r="62">
      <c r="A62" s="4"/>
      <c r="B62" s="4"/>
      <c r="C62" s="8"/>
      <c r="D62" s="5"/>
      <c r="E62" s="6"/>
      <c r="F62" s="6"/>
      <c r="G62" s="6"/>
      <c r="H62" s="4"/>
      <c r="I62" s="4"/>
      <c r="J62" s="4"/>
      <c r="K62" s="4"/>
      <c r="L62" s="7"/>
      <c r="M62" s="7"/>
      <c r="N62" s="7"/>
      <c r="O62" s="4"/>
      <c r="P62" s="7"/>
      <c r="Q62" s="7"/>
      <c r="R62" s="7"/>
      <c r="S62" s="4"/>
      <c r="T62" s="7"/>
      <c r="U62" s="7"/>
      <c r="V62" s="7"/>
      <c r="W62" s="7"/>
      <c r="X62" s="7"/>
      <c r="Y62" s="7"/>
    </row>
    <row r="63">
      <c r="A63" s="4"/>
      <c r="B63" s="4"/>
      <c r="C63" s="8"/>
      <c r="D63" s="5"/>
      <c r="E63" s="6"/>
      <c r="F63" s="6"/>
      <c r="G63" s="6"/>
      <c r="H63" s="4"/>
      <c r="I63" s="4"/>
      <c r="J63" s="4"/>
      <c r="K63" s="4"/>
      <c r="L63" s="4"/>
      <c r="M63" s="7"/>
      <c r="N63" s="7"/>
      <c r="O63" s="7"/>
      <c r="P63" s="7"/>
      <c r="Q63" s="7"/>
      <c r="R63" s="7"/>
      <c r="S63" s="7"/>
      <c r="T63" s="7"/>
      <c r="U63" s="7"/>
      <c r="V63" s="7"/>
      <c r="W63" s="4"/>
      <c r="X63" s="7"/>
      <c r="Y63" s="7"/>
    </row>
    <row r="64">
      <c r="A64" s="4"/>
      <c r="B64" s="4"/>
      <c r="C64" s="8"/>
      <c r="D64" s="5"/>
      <c r="E64" s="6"/>
      <c r="F64" s="6"/>
      <c r="G64" s="6"/>
      <c r="H64" s="4"/>
      <c r="I64" s="4"/>
      <c r="J64" s="4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4"/>
      <c r="B65" s="4"/>
      <c r="C65" s="8"/>
      <c r="D65" s="5"/>
      <c r="E65" s="6"/>
      <c r="F65" s="6"/>
      <c r="G65" s="6"/>
      <c r="H65" s="4"/>
      <c r="I65" s="4"/>
      <c r="J65" s="4"/>
      <c r="K65" s="4"/>
      <c r="L65" s="4"/>
      <c r="M65" s="7"/>
      <c r="N65" s="7"/>
      <c r="O65" s="7"/>
      <c r="P65" s="4"/>
      <c r="Q65" s="4"/>
      <c r="R65" s="7"/>
      <c r="S65" s="7"/>
      <c r="T65" s="7"/>
      <c r="U65" s="7"/>
      <c r="V65" s="7"/>
      <c r="W65" s="7"/>
      <c r="X65" s="7"/>
      <c r="Y65" s="7"/>
    </row>
    <row r="66">
      <c r="A66" s="4"/>
      <c r="B66" s="4"/>
      <c r="C66" s="8"/>
      <c r="D66" s="5"/>
      <c r="E66" s="6"/>
      <c r="F66" s="6"/>
      <c r="G66" s="6"/>
      <c r="H66" s="4"/>
      <c r="I66" s="4"/>
      <c r="J66" s="4"/>
      <c r="K66" s="4"/>
      <c r="L66" s="7"/>
      <c r="M66" s="7"/>
      <c r="N66" s="7"/>
      <c r="O66" s="7"/>
      <c r="P66" s="4"/>
      <c r="Q66" s="7"/>
      <c r="R66" s="7"/>
      <c r="S66" s="7"/>
      <c r="T66" s="7"/>
      <c r="U66" s="7"/>
      <c r="V66" s="7"/>
      <c r="W66" s="7"/>
      <c r="X66" s="7"/>
      <c r="Y66" s="7"/>
    </row>
    <row r="67">
      <c r="A67" s="4"/>
      <c r="B67" s="4"/>
      <c r="C67" s="8"/>
      <c r="D67" s="5"/>
      <c r="E67" s="6"/>
      <c r="F67" s="6"/>
      <c r="G67" s="6"/>
      <c r="H67" s="4"/>
      <c r="I67" s="4"/>
      <c r="J67" s="4"/>
      <c r="K67" s="4"/>
      <c r="L67" s="7"/>
      <c r="M67" s="7"/>
      <c r="N67" s="7"/>
      <c r="O67" s="4"/>
      <c r="P67" s="7"/>
      <c r="Q67" s="7"/>
      <c r="R67" s="7"/>
      <c r="S67" s="7"/>
      <c r="T67" s="4"/>
      <c r="U67" s="7"/>
      <c r="V67" s="7"/>
      <c r="W67" s="4"/>
      <c r="X67" s="7"/>
      <c r="Y67" s="7"/>
    </row>
    <row r="68">
      <c r="A68" s="4"/>
      <c r="B68" s="4"/>
      <c r="C68" s="8"/>
      <c r="D68" s="5"/>
      <c r="E68" s="6"/>
      <c r="F68" s="6"/>
      <c r="G68" s="6"/>
      <c r="H68" s="4"/>
      <c r="I68" s="4"/>
      <c r="J68" s="4"/>
      <c r="K68" s="4"/>
      <c r="L68" s="7"/>
      <c r="M68" s="7"/>
      <c r="N68" s="7"/>
      <c r="O68" s="4"/>
      <c r="P68" s="4"/>
      <c r="Q68" s="4"/>
      <c r="R68" s="7"/>
      <c r="S68" s="7"/>
      <c r="T68" s="7"/>
      <c r="U68" s="4"/>
      <c r="V68" s="7"/>
      <c r="W68" s="7"/>
      <c r="X68" s="7"/>
      <c r="Y68" s="7"/>
    </row>
    <row r="69">
      <c r="A69" s="4"/>
      <c r="B69" s="4"/>
      <c r="C69" s="8"/>
      <c r="D69" s="5"/>
      <c r="E69" s="6"/>
      <c r="F69" s="6"/>
      <c r="G69" s="6"/>
      <c r="H69" s="4"/>
      <c r="I69" s="4"/>
      <c r="J69" s="4"/>
      <c r="K69" s="4"/>
      <c r="L69" s="7"/>
      <c r="M69" s="7"/>
      <c r="N69" s="7"/>
      <c r="O69" s="4"/>
      <c r="P69" s="4"/>
      <c r="Q69" s="4"/>
      <c r="R69" s="7"/>
      <c r="S69" s="7"/>
      <c r="T69" s="7"/>
      <c r="U69" s="4"/>
      <c r="V69" s="7"/>
      <c r="W69" s="7"/>
      <c r="X69" s="7"/>
      <c r="Y69" s="7"/>
    </row>
    <row r="70">
      <c r="A70" s="4"/>
      <c r="B70" s="4"/>
      <c r="C70" s="8"/>
      <c r="D70" s="5"/>
      <c r="E70" s="6"/>
      <c r="F70" s="6"/>
      <c r="G70" s="6"/>
      <c r="H70" s="4"/>
      <c r="I70" s="4"/>
      <c r="J70" s="4"/>
      <c r="K70" s="4"/>
      <c r="L70" s="7"/>
      <c r="M70" s="7"/>
      <c r="N70" s="7"/>
      <c r="O70" s="4"/>
      <c r="P70" s="7"/>
      <c r="Q70" s="7"/>
      <c r="R70" s="7"/>
      <c r="S70" s="7"/>
      <c r="T70" s="4"/>
      <c r="U70" s="7"/>
      <c r="V70" s="7"/>
      <c r="W70" s="7"/>
      <c r="X70" s="7"/>
      <c r="Y70" s="7"/>
    </row>
    <row r="71">
      <c r="A71" s="4"/>
      <c r="B71" s="4"/>
      <c r="C71" s="8"/>
      <c r="D71" s="5"/>
      <c r="E71" s="6"/>
      <c r="F71" s="6"/>
      <c r="G71" s="6"/>
      <c r="H71" s="4"/>
      <c r="I71" s="4"/>
      <c r="J71" s="4"/>
      <c r="K71" s="4"/>
      <c r="L71" s="7"/>
      <c r="M71" s="7"/>
      <c r="N71" s="7"/>
      <c r="O71" s="7"/>
      <c r="P71" s="7"/>
      <c r="Q71" s="7"/>
      <c r="R71" s="7"/>
      <c r="S71" s="7"/>
      <c r="T71" s="4"/>
      <c r="U71" s="7"/>
      <c r="V71" s="7"/>
      <c r="W71" s="4"/>
      <c r="X71" s="7"/>
      <c r="Y71" s="7"/>
    </row>
    <row r="72">
      <c r="A72" s="4"/>
      <c r="B72" s="4"/>
      <c r="C72" s="8"/>
      <c r="D72" s="5"/>
      <c r="E72" s="6"/>
      <c r="F72" s="6"/>
      <c r="G72" s="6"/>
      <c r="H72" s="4"/>
      <c r="I72" s="4"/>
      <c r="J72" s="4"/>
      <c r="K72" s="4"/>
      <c r="L72" s="7"/>
      <c r="M72" s="7"/>
      <c r="N72" s="7"/>
      <c r="O72" s="7"/>
      <c r="P72" s="7"/>
      <c r="Q72" s="4"/>
      <c r="R72" s="7"/>
      <c r="S72" s="7"/>
      <c r="T72" s="7"/>
      <c r="U72" s="7"/>
      <c r="V72" s="7"/>
      <c r="W72" s="7"/>
      <c r="X72" s="7"/>
      <c r="Y72" s="7"/>
    </row>
    <row r="73">
      <c r="A73" s="4"/>
      <c r="B73" s="4"/>
      <c r="C73" s="8"/>
      <c r="D73" s="5"/>
      <c r="E73" s="6"/>
      <c r="F73" s="6"/>
      <c r="G73" s="6"/>
      <c r="H73" s="4"/>
      <c r="I73" s="4"/>
      <c r="J73" s="4"/>
      <c r="K73" s="4"/>
      <c r="L73" s="4"/>
      <c r="M73" s="7"/>
      <c r="N73" s="7"/>
      <c r="O73" s="7"/>
      <c r="P73" s="4"/>
      <c r="Q73" s="4"/>
      <c r="R73" s="7"/>
      <c r="S73" s="7"/>
      <c r="T73" s="7"/>
      <c r="U73" s="7"/>
      <c r="V73" s="7"/>
      <c r="W73" s="7"/>
      <c r="X73" s="7"/>
      <c r="Y73" s="7"/>
    </row>
    <row r="74">
      <c r="A74" s="4"/>
      <c r="B74" s="4"/>
      <c r="C74" s="8"/>
      <c r="D74" s="5"/>
      <c r="E74" s="6"/>
      <c r="F74" s="6"/>
      <c r="G74" s="6"/>
      <c r="H74" s="4"/>
      <c r="I74" s="4"/>
      <c r="J74" s="4"/>
      <c r="K74" s="4"/>
      <c r="L74" s="7"/>
      <c r="M74" s="7"/>
      <c r="N74" s="7"/>
      <c r="O74" s="4"/>
      <c r="P74" s="7"/>
      <c r="Q74" s="7"/>
      <c r="R74" s="7"/>
      <c r="S74" s="7"/>
      <c r="T74" s="4"/>
      <c r="U74" s="7"/>
      <c r="V74" s="7"/>
      <c r="W74" s="7"/>
      <c r="X74" s="7"/>
      <c r="Y74" s="7"/>
    </row>
    <row r="75">
      <c r="A75" s="4"/>
      <c r="B75" s="4"/>
      <c r="C75" s="8"/>
      <c r="D75" s="5"/>
      <c r="E75" s="6"/>
      <c r="F75" s="6"/>
      <c r="G75" s="6"/>
      <c r="H75" s="4"/>
      <c r="I75" s="4"/>
      <c r="J75" s="4"/>
      <c r="K75" s="4"/>
      <c r="L75" s="7"/>
      <c r="M75" s="7"/>
      <c r="N75" s="7"/>
      <c r="O75" s="7"/>
      <c r="P75" s="4"/>
      <c r="Q75" s="4"/>
      <c r="R75" s="4"/>
      <c r="S75" s="7"/>
      <c r="T75" s="4"/>
      <c r="U75" s="4"/>
      <c r="V75" s="7"/>
      <c r="W75" s="4"/>
      <c r="X75" s="4"/>
      <c r="Y75" s="4"/>
    </row>
    <row r="76">
      <c r="A76" s="4"/>
      <c r="B76" s="4"/>
      <c r="C76" s="8"/>
      <c r="D76" s="5"/>
      <c r="E76" s="6"/>
      <c r="F76" s="6"/>
      <c r="G76" s="6"/>
      <c r="H76" s="4"/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4"/>
      <c r="B77" s="4"/>
      <c r="C77" s="8"/>
      <c r="D77" s="5"/>
      <c r="E77" s="6"/>
      <c r="F77" s="6"/>
      <c r="G77" s="6"/>
      <c r="H77" s="4"/>
      <c r="I77" s="4"/>
      <c r="J77" s="4"/>
      <c r="K77" s="4"/>
      <c r="L77" s="7"/>
      <c r="M77" s="4"/>
      <c r="N77" s="7"/>
      <c r="O77" s="7"/>
      <c r="P77" s="7"/>
      <c r="Q77" s="4"/>
      <c r="R77" s="7"/>
      <c r="S77" s="7"/>
      <c r="T77" s="7"/>
      <c r="U77" s="7"/>
      <c r="V77" s="7"/>
      <c r="W77" s="7"/>
      <c r="X77" s="7"/>
      <c r="Y77" s="7"/>
    </row>
    <row r="78">
      <c r="A78" s="4"/>
      <c r="B78" s="4"/>
      <c r="C78" s="8"/>
      <c r="D78" s="5"/>
      <c r="E78" s="6"/>
      <c r="F78" s="6"/>
      <c r="G78" s="6"/>
      <c r="H78" s="4"/>
      <c r="I78" s="4"/>
      <c r="J78" s="4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"/>
      <c r="X78" s="7"/>
      <c r="Y78" s="7"/>
    </row>
    <row r="79">
      <c r="A79" s="4"/>
      <c r="B79" s="4"/>
      <c r="C79" s="8"/>
      <c r="D79" s="5"/>
      <c r="E79" s="6"/>
      <c r="F79" s="6"/>
      <c r="G79" s="6"/>
      <c r="H79" s="4"/>
      <c r="I79" s="4"/>
      <c r="J79" s="4"/>
      <c r="K79" s="4"/>
      <c r="L79" s="7"/>
      <c r="M79" s="7"/>
      <c r="N79" s="7"/>
      <c r="O79" s="4"/>
      <c r="P79" s="7"/>
      <c r="Q79" s="4"/>
      <c r="R79" s="4"/>
      <c r="S79" s="7"/>
      <c r="T79" s="7"/>
      <c r="U79" s="4"/>
      <c r="V79" s="7"/>
      <c r="W79" s="7"/>
      <c r="X79" s="7"/>
      <c r="Y79" s="7"/>
    </row>
    <row r="80">
      <c r="A80" s="4"/>
      <c r="B80" s="4"/>
      <c r="C80" s="8"/>
      <c r="D80" s="5"/>
      <c r="E80" s="6"/>
      <c r="F80" s="6"/>
      <c r="G80" s="6"/>
      <c r="H80" s="4"/>
      <c r="I80" s="4"/>
      <c r="J80" s="4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4"/>
      <c r="B81" s="4"/>
      <c r="C81" s="8"/>
      <c r="D81" s="5"/>
      <c r="E81" s="6"/>
      <c r="F81" s="6"/>
      <c r="G81" s="6"/>
      <c r="H81" s="4"/>
      <c r="I81" s="4"/>
      <c r="J81" s="4"/>
      <c r="K81" s="4"/>
      <c r="L81" s="7"/>
      <c r="M81" s="7"/>
      <c r="N81" s="7"/>
      <c r="O81" s="7"/>
      <c r="P81" s="4"/>
      <c r="Q81" s="4"/>
      <c r="R81" s="7"/>
      <c r="S81" s="7"/>
      <c r="T81" s="7"/>
      <c r="U81" s="7"/>
      <c r="V81" s="7"/>
      <c r="W81" s="4"/>
      <c r="X81" s="7"/>
      <c r="Y81" s="7"/>
    </row>
    <row r="82">
      <c r="A82" s="4"/>
      <c r="B82" s="4"/>
      <c r="C82" s="8"/>
      <c r="D82" s="5"/>
      <c r="E82" s="6"/>
      <c r="F82" s="6"/>
      <c r="G82" s="6"/>
      <c r="H82" s="4"/>
      <c r="I82" s="4"/>
      <c r="J82" s="4"/>
      <c r="K82" s="4"/>
      <c r="L82" s="7"/>
      <c r="M82" s="7"/>
      <c r="N82" s="7"/>
      <c r="O82" s="7"/>
      <c r="P82" s="4"/>
      <c r="Q82" s="4"/>
      <c r="R82" s="4"/>
      <c r="S82" s="7"/>
      <c r="T82" s="7"/>
      <c r="U82" s="7"/>
      <c r="V82" s="7"/>
      <c r="W82" s="7"/>
      <c r="X82" s="7"/>
      <c r="Y82" s="7"/>
    </row>
    <row r="83">
      <c r="A83" s="4"/>
      <c r="B83" s="4"/>
      <c r="C83" s="8"/>
      <c r="D83" s="5"/>
      <c r="E83" s="6"/>
      <c r="F83" s="6"/>
      <c r="G83" s="6"/>
      <c r="H83" s="4"/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4"/>
      <c r="B84" s="4"/>
      <c r="C84" s="8"/>
      <c r="D84" s="5"/>
      <c r="E84" s="6"/>
      <c r="F84" s="6"/>
      <c r="G84" s="6"/>
      <c r="H84" s="4"/>
      <c r="I84" s="4"/>
      <c r="J84" s="4"/>
      <c r="K84" s="4"/>
      <c r="L84" s="7"/>
      <c r="M84" s="7"/>
      <c r="N84" s="7"/>
      <c r="O84" s="7"/>
      <c r="P84" s="4"/>
      <c r="Q84" s="4"/>
      <c r="R84" s="7"/>
      <c r="S84" s="7"/>
      <c r="T84" s="7"/>
      <c r="U84" s="7"/>
      <c r="V84" s="7"/>
      <c r="W84" s="7"/>
      <c r="X84" s="7"/>
      <c r="Y84" s="7"/>
    </row>
    <row r="85">
      <c r="A85" s="4"/>
      <c r="B85" s="4"/>
      <c r="C85" s="8"/>
      <c r="D85" s="5"/>
      <c r="E85" s="6"/>
      <c r="F85" s="6"/>
      <c r="G85" s="6"/>
      <c r="H85" s="4"/>
      <c r="I85" s="4"/>
      <c r="J85" s="4"/>
      <c r="K85" s="4"/>
      <c r="L85" s="7"/>
      <c r="M85" s="7"/>
      <c r="N85" s="7"/>
      <c r="O85" s="7"/>
      <c r="P85" s="7"/>
      <c r="Q85" s="4"/>
      <c r="R85" s="7"/>
      <c r="S85" s="7"/>
      <c r="T85" s="7"/>
      <c r="U85" s="7"/>
      <c r="V85" s="7"/>
      <c r="W85" s="7"/>
      <c r="X85" s="7"/>
      <c r="Y85" s="7"/>
    </row>
    <row r="86">
      <c r="A86" s="4"/>
      <c r="B86" s="4"/>
      <c r="C86" s="8"/>
      <c r="D86" s="5"/>
      <c r="E86" s="6"/>
      <c r="F86" s="6"/>
      <c r="G86" s="6"/>
      <c r="H86" s="4"/>
      <c r="I86" s="4"/>
      <c r="J86" s="4"/>
      <c r="K86" s="4"/>
      <c r="L86" s="7"/>
      <c r="M86" s="7"/>
      <c r="N86" s="7"/>
      <c r="O86" s="7"/>
      <c r="P86" s="7"/>
      <c r="Q86" s="7"/>
      <c r="R86" s="7"/>
      <c r="S86" s="7"/>
      <c r="T86" s="7"/>
      <c r="U86" s="4"/>
      <c r="V86" s="7"/>
      <c r="W86" s="7"/>
      <c r="X86" s="7"/>
      <c r="Y86" s="7"/>
    </row>
    <row r="87">
      <c r="A87" s="4"/>
      <c r="B87" s="4"/>
      <c r="C87" s="8"/>
      <c r="D87" s="5"/>
      <c r="E87" s="6"/>
      <c r="F87" s="6"/>
      <c r="G87" s="6"/>
      <c r="H87" s="4"/>
      <c r="I87" s="4"/>
      <c r="J87" s="4"/>
      <c r="K87" s="4"/>
      <c r="L87" s="7"/>
      <c r="M87" s="7"/>
      <c r="N87" s="7"/>
      <c r="O87" s="7"/>
      <c r="P87" s="7"/>
      <c r="Q87" s="7"/>
      <c r="R87" s="7"/>
      <c r="S87" s="7"/>
      <c r="T87" s="7"/>
      <c r="U87" s="4"/>
      <c r="V87" s="7"/>
      <c r="W87" s="7"/>
      <c r="X87" s="7"/>
      <c r="Y87" s="7"/>
    </row>
    <row r="88">
      <c r="A88" s="4"/>
      <c r="B88" s="4"/>
      <c r="C88" s="8"/>
      <c r="D88" s="5"/>
      <c r="E88" s="6"/>
      <c r="F88" s="6"/>
      <c r="G88" s="6"/>
      <c r="H88" s="4"/>
      <c r="I88" s="4"/>
      <c r="J88" s="4"/>
      <c r="K88" s="4"/>
      <c r="L88" s="4"/>
      <c r="M88" s="7"/>
      <c r="N88" s="7"/>
      <c r="O88" s="7"/>
      <c r="P88" s="7"/>
      <c r="Q88" s="7"/>
      <c r="R88" s="7"/>
      <c r="S88" s="7"/>
      <c r="T88" s="7"/>
      <c r="U88" s="7"/>
      <c r="V88" s="7"/>
      <c r="W88" s="4"/>
      <c r="X88" s="7"/>
      <c r="Y88" s="7"/>
    </row>
    <row r="89">
      <c r="A89" s="4"/>
      <c r="B89" s="4"/>
      <c r="C89" s="8"/>
      <c r="D89" s="5"/>
      <c r="E89" s="6"/>
      <c r="F89" s="6"/>
      <c r="G89" s="6"/>
      <c r="H89" s="4"/>
      <c r="I89" s="4"/>
      <c r="J89" s="4"/>
      <c r="K89" s="4"/>
      <c r="L89" s="7"/>
      <c r="M89" s="7"/>
      <c r="N89" s="7"/>
      <c r="O89" s="7"/>
      <c r="P89" s="7"/>
      <c r="Q89" s="4"/>
      <c r="R89" s="7"/>
      <c r="S89" s="7"/>
      <c r="T89" s="7"/>
      <c r="U89" s="7"/>
      <c r="V89" s="7"/>
      <c r="W89" s="7"/>
      <c r="X89" s="7"/>
      <c r="Y89" s="7"/>
    </row>
    <row r="90">
      <c r="A90" s="4"/>
      <c r="B90" s="4"/>
      <c r="C90" s="8"/>
      <c r="D90" s="5"/>
      <c r="E90" s="6"/>
      <c r="F90" s="6"/>
      <c r="G90" s="6"/>
      <c r="H90" s="4"/>
      <c r="I90" s="4"/>
      <c r="J90" s="4"/>
      <c r="K90" s="4"/>
      <c r="L90" s="7"/>
      <c r="M90" s="7"/>
      <c r="N90" s="7"/>
      <c r="O90" s="7"/>
      <c r="P90" s="4"/>
      <c r="Q90" s="7"/>
      <c r="R90" s="7"/>
      <c r="S90" s="7"/>
      <c r="T90" s="7"/>
      <c r="U90" s="7"/>
      <c r="V90" s="7"/>
      <c r="W90" s="7"/>
      <c r="X90" s="7"/>
      <c r="Y90" s="7"/>
    </row>
    <row r="91">
      <c r="A91" s="4"/>
      <c r="B91" s="4"/>
      <c r="C91" s="8"/>
      <c r="D91" s="5"/>
      <c r="E91" s="6"/>
      <c r="F91" s="6"/>
      <c r="G91" s="6"/>
      <c r="H91" s="4"/>
      <c r="I91" s="4"/>
      <c r="J91" s="4"/>
      <c r="K91" s="4"/>
      <c r="L91" s="7"/>
      <c r="M91" s="7"/>
      <c r="N91" s="7"/>
      <c r="O91" s="7"/>
      <c r="P91" s="7"/>
      <c r="Q91" s="4"/>
      <c r="R91" s="4"/>
      <c r="S91" s="7"/>
      <c r="T91" s="7"/>
      <c r="U91" s="7"/>
      <c r="V91" s="7"/>
      <c r="W91" s="7"/>
      <c r="X91" s="7"/>
      <c r="Y91" s="7"/>
    </row>
    <row r="92">
      <c r="A92" s="4"/>
      <c r="B92" s="4"/>
      <c r="C92" s="8"/>
      <c r="D92" s="5"/>
      <c r="E92" s="6"/>
      <c r="F92" s="6"/>
      <c r="G92" s="6"/>
      <c r="H92" s="4"/>
      <c r="I92" s="4"/>
      <c r="J92" s="4"/>
      <c r="K92" s="4"/>
      <c r="L92" s="7"/>
      <c r="M92" s="7"/>
      <c r="N92" s="7"/>
      <c r="O92" s="7"/>
      <c r="P92" s="7"/>
      <c r="Q92" s="4"/>
      <c r="R92" s="7"/>
      <c r="S92" s="7"/>
      <c r="T92" s="7"/>
      <c r="U92" s="7"/>
      <c r="V92" s="7"/>
      <c r="W92" s="7"/>
      <c r="X92" s="7"/>
      <c r="Y92" s="7"/>
    </row>
    <row r="93">
      <c r="A93" s="4"/>
      <c r="B93" s="4"/>
      <c r="C93" s="8"/>
      <c r="D93" s="5"/>
      <c r="E93" s="6"/>
      <c r="F93" s="6"/>
      <c r="G93" s="6"/>
      <c r="H93" s="4"/>
      <c r="I93" s="4"/>
      <c r="J93" s="4"/>
      <c r="K93" s="4"/>
      <c r="L93" s="7"/>
      <c r="M93" s="7"/>
      <c r="N93" s="7"/>
      <c r="O93" s="4"/>
      <c r="P93" s="7"/>
      <c r="Q93" s="4"/>
      <c r="R93" s="7"/>
      <c r="S93" s="7"/>
      <c r="T93" s="7"/>
      <c r="U93" s="7"/>
      <c r="V93" s="7"/>
      <c r="W93" s="7"/>
      <c r="X93" s="7"/>
      <c r="Y93" s="7"/>
    </row>
    <row r="94">
      <c r="A94" s="4"/>
      <c r="B94" s="4"/>
      <c r="C94" s="8"/>
      <c r="D94" s="5"/>
      <c r="E94" s="6"/>
      <c r="F94" s="6"/>
      <c r="G94" s="6"/>
      <c r="H94" s="4"/>
      <c r="I94" s="4"/>
      <c r="J94" s="4"/>
      <c r="K94" s="4"/>
      <c r="L94" s="7"/>
      <c r="M94" s="7"/>
      <c r="N94" s="7"/>
      <c r="O94" s="4"/>
      <c r="P94" s="4"/>
      <c r="Q94" s="4"/>
      <c r="R94" s="7"/>
      <c r="S94" s="7"/>
      <c r="T94" s="4"/>
      <c r="U94" s="4"/>
      <c r="V94" s="7"/>
      <c r="W94" s="4"/>
      <c r="X94" s="7"/>
      <c r="Y94" s="7"/>
    </row>
    <row r="95">
      <c r="A95" s="4"/>
      <c r="B95" s="4"/>
      <c r="C95" s="8"/>
      <c r="D95" s="5"/>
      <c r="E95" s="6"/>
      <c r="F95" s="6"/>
      <c r="G95" s="6"/>
      <c r="H95" s="4"/>
      <c r="I95" s="4"/>
      <c r="J95" s="4"/>
      <c r="K95" s="4"/>
      <c r="L95" s="7"/>
      <c r="M95" s="7"/>
      <c r="N95" s="4"/>
      <c r="O95" s="4"/>
      <c r="P95" s="7"/>
      <c r="Q95" s="4"/>
      <c r="R95" s="7"/>
      <c r="S95" s="7"/>
      <c r="T95" s="7"/>
      <c r="U95" s="7"/>
      <c r="V95" s="7"/>
      <c r="W95" s="7"/>
      <c r="X95" s="7"/>
      <c r="Y95" s="7"/>
    </row>
    <row r="96">
      <c r="A96" s="4"/>
      <c r="B96" s="4"/>
      <c r="C96" s="8"/>
      <c r="D96" s="5"/>
      <c r="E96" s="6"/>
      <c r="F96" s="6"/>
      <c r="G96" s="6"/>
      <c r="H96" s="4"/>
      <c r="I96" s="4"/>
      <c r="J96" s="4"/>
      <c r="K96" s="4"/>
      <c r="L96" s="7"/>
      <c r="M96" s="7"/>
      <c r="N96" s="7"/>
      <c r="O96" s="7"/>
      <c r="P96" s="7"/>
      <c r="Q96" s="4"/>
      <c r="R96" s="7"/>
      <c r="S96" s="7"/>
      <c r="T96" s="7"/>
      <c r="U96" s="7"/>
      <c r="V96" s="7"/>
      <c r="W96" s="7"/>
      <c r="X96" s="7"/>
      <c r="Y96" s="7"/>
    </row>
    <row r="97">
      <c r="A97" s="4"/>
      <c r="B97" s="4"/>
      <c r="C97" s="8"/>
      <c r="D97" s="5"/>
      <c r="E97" s="6"/>
      <c r="F97" s="6"/>
      <c r="G97" s="6"/>
      <c r="H97" s="4"/>
      <c r="I97" s="4"/>
      <c r="J97" s="4"/>
      <c r="K97" s="4"/>
      <c r="L97" s="4"/>
      <c r="M97" s="7"/>
      <c r="N97" s="7"/>
      <c r="O97" s="7"/>
      <c r="P97" s="7"/>
      <c r="Q97" s="4"/>
      <c r="R97" s="7"/>
      <c r="S97" s="7"/>
      <c r="T97" s="7"/>
      <c r="U97" s="7"/>
      <c r="V97" s="7"/>
      <c r="W97" s="4"/>
      <c r="X97" s="7"/>
      <c r="Y97" s="7"/>
    </row>
    <row r="98">
      <c r="A98" s="4"/>
      <c r="B98" s="4"/>
      <c r="C98" s="8"/>
      <c r="D98" s="5"/>
      <c r="E98" s="6"/>
      <c r="F98" s="6"/>
      <c r="G98" s="6"/>
      <c r="H98" s="4"/>
      <c r="I98" s="4"/>
      <c r="J98" s="4"/>
      <c r="K98" s="4"/>
      <c r="L98" s="7"/>
      <c r="M98" s="7"/>
      <c r="N98" s="7"/>
      <c r="O98" s="7"/>
      <c r="P98" s="7"/>
      <c r="Q98" s="4"/>
      <c r="R98" s="7"/>
      <c r="S98" s="7"/>
      <c r="T98" s="7"/>
      <c r="U98" s="7"/>
      <c r="V98" s="7"/>
      <c r="W98" s="7"/>
      <c r="X98" s="7"/>
      <c r="Y98" s="7"/>
    </row>
    <row r="99">
      <c r="A99" s="4"/>
      <c r="B99" s="4"/>
      <c r="C99" s="8"/>
      <c r="D99" s="5"/>
      <c r="E99" s="6"/>
      <c r="F99" s="6"/>
      <c r="G99" s="6"/>
      <c r="H99" s="4"/>
      <c r="I99" s="4"/>
      <c r="J99" s="4"/>
      <c r="K99" s="4"/>
      <c r="L99" s="4"/>
      <c r="M99" s="7"/>
      <c r="N99" s="7"/>
      <c r="O99" s="7"/>
      <c r="P99" s="7"/>
      <c r="Q99" s="4"/>
      <c r="R99" s="7"/>
      <c r="S99" s="7"/>
      <c r="T99" s="7"/>
      <c r="U99" s="7"/>
      <c r="V99" s="7"/>
      <c r="W99" s="7"/>
      <c r="X99" s="7"/>
      <c r="Y99" s="7"/>
    </row>
    <row r="100">
      <c r="A100" s="4"/>
      <c r="B100" s="4"/>
      <c r="C100" s="8"/>
      <c r="D100" s="5"/>
      <c r="E100" s="6"/>
      <c r="F100" s="6"/>
      <c r="G100" s="6"/>
      <c r="H100" s="4"/>
      <c r="I100" s="4"/>
      <c r="J100" s="4"/>
      <c r="K100" s="4"/>
      <c r="L100" s="4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4"/>
      <c r="B101" s="4"/>
      <c r="C101" s="8"/>
      <c r="D101" s="5"/>
      <c r="E101" s="6"/>
      <c r="F101" s="6"/>
      <c r="G101" s="6"/>
      <c r="H101" s="4"/>
      <c r="I101" s="4"/>
      <c r="J101" s="4"/>
      <c r="K101" s="4"/>
      <c r="L101" s="4"/>
      <c r="M101" s="7"/>
      <c r="N101" s="7"/>
      <c r="O101" s="7"/>
      <c r="P101" s="7"/>
      <c r="Q101" s="4"/>
      <c r="R101" s="7"/>
      <c r="S101" s="7"/>
      <c r="T101" s="7"/>
      <c r="U101" s="7"/>
      <c r="V101" s="7"/>
      <c r="W101" s="7"/>
      <c r="X101" s="7"/>
      <c r="Y101" s="7"/>
    </row>
    <row r="102">
      <c r="A102" s="4"/>
      <c r="B102" s="4"/>
      <c r="C102" s="8"/>
      <c r="D102" s="5"/>
      <c r="E102" s="6"/>
      <c r="F102" s="6"/>
      <c r="G102" s="6"/>
      <c r="H102" s="4"/>
      <c r="I102" s="4"/>
      <c r="J102" s="4"/>
      <c r="K102" s="4"/>
      <c r="L102" s="4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4"/>
      <c r="B103" s="4"/>
      <c r="C103" s="8"/>
      <c r="D103" s="5"/>
      <c r="E103" s="6"/>
      <c r="F103" s="6"/>
      <c r="G103" s="6"/>
      <c r="H103" s="4"/>
      <c r="I103" s="4"/>
      <c r="J103" s="4"/>
      <c r="K103" s="4"/>
      <c r="L103" s="7"/>
      <c r="M103" s="7"/>
      <c r="N103" s="7"/>
      <c r="O103" s="7"/>
      <c r="P103" s="7"/>
      <c r="Q103" s="4"/>
      <c r="R103" s="7"/>
      <c r="S103" s="7"/>
      <c r="T103" s="7"/>
      <c r="U103" s="4"/>
      <c r="V103" s="7"/>
      <c r="W103" s="7"/>
      <c r="X103" s="7"/>
      <c r="Y103" s="7"/>
    </row>
    <row r="104">
      <c r="A104" s="4"/>
      <c r="B104" s="4"/>
      <c r="C104" s="8"/>
      <c r="D104" s="5"/>
      <c r="E104" s="6"/>
      <c r="F104" s="6"/>
      <c r="G104" s="6"/>
      <c r="H104" s="4"/>
      <c r="I104" s="4"/>
      <c r="J104" s="4"/>
      <c r="K104" s="4"/>
      <c r="L104" s="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4"/>
      <c r="B105" s="4"/>
      <c r="C105" s="8"/>
      <c r="D105" s="5"/>
      <c r="E105" s="6"/>
      <c r="F105" s="6"/>
      <c r="G105" s="6"/>
      <c r="H105" s="4"/>
      <c r="I105" s="4"/>
      <c r="J105" s="4"/>
      <c r="K105" s="4"/>
      <c r="L105" s="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4"/>
      <c r="B106" s="4"/>
      <c r="C106" s="8"/>
      <c r="D106" s="5"/>
      <c r="E106" s="6"/>
      <c r="F106" s="6"/>
      <c r="G106" s="6"/>
      <c r="H106" s="4"/>
      <c r="I106" s="4"/>
      <c r="J106" s="4"/>
      <c r="K106" s="4"/>
      <c r="L106" s="4"/>
      <c r="M106" s="7"/>
      <c r="N106" s="7"/>
      <c r="O106" s="7"/>
      <c r="P106" s="7"/>
      <c r="Q106" s="4"/>
      <c r="R106" s="7"/>
      <c r="S106" s="7"/>
      <c r="T106" s="7"/>
      <c r="U106" s="7"/>
      <c r="V106" s="7"/>
      <c r="W106" s="4"/>
      <c r="X106" s="7"/>
      <c r="Y106" s="7"/>
    </row>
    <row r="107">
      <c r="A107" s="4"/>
      <c r="B107" s="4"/>
      <c r="C107" s="8"/>
      <c r="D107" s="5"/>
      <c r="E107" s="6"/>
      <c r="F107" s="6"/>
      <c r="G107" s="6"/>
      <c r="H107" s="4"/>
      <c r="I107" s="4"/>
      <c r="J107" s="4"/>
      <c r="K107" s="4"/>
      <c r="L107" s="7"/>
      <c r="M107" s="4"/>
      <c r="N107" s="7"/>
      <c r="O107" s="7"/>
      <c r="P107" s="7"/>
      <c r="Q107" s="4"/>
      <c r="R107" s="7"/>
      <c r="S107" s="7"/>
      <c r="T107" s="7"/>
      <c r="U107" s="7"/>
      <c r="V107" s="7"/>
      <c r="W107" s="4"/>
      <c r="X107" s="7"/>
      <c r="Y107" s="7"/>
    </row>
    <row r="108">
      <c r="A108" s="4"/>
      <c r="B108" s="4"/>
      <c r="C108" s="8"/>
      <c r="D108" s="5"/>
      <c r="E108" s="6"/>
      <c r="F108" s="6"/>
      <c r="G108" s="6"/>
      <c r="H108" s="4"/>
      <c r="I108" s="4"/>
      <c r="J108" s="4"/>
      <c r="K108" s="4"/>
      <c r="L108" s="7"/>
      <c r="M108" s="4"/>
      <c r="N108" s="7"/>
      <c r="O108" s="7"/>
      <c r="P108" s="7"/>
      <c r="Q108" s="4"/>
      <c r="R108" s="7"/>
      <c r="S108" s="7"/>
      <c r="T108" s="7"/>
      <c r="U108" s="7"/>
      <c r="V108" s="7"/>
      <c r="W108" s="4"/>
      <c r="X108" s="7"/>
      <c r="Y108" s="7"/>
    </row>
    <row r="109">
      <c r="A109" s="4"/>
      <c r="B109" s="4"/>
      <c r="C109" s="8"/>
      <c r="D109" s="5"/>
      <c r="E109" s="6"/>
      <c r="F109" s="6"/>
      <c r="G109" s="6"/>
      <c r="H109" s="4"/>
      <c r="I109" s="4"/>
      <c r="J109" s="4"/>
      <c r="K109" s="4"/>
      <c r="L109" s="7"/>
      <c r="M109" s="7"/>
      <c r="N109" s="4"/>
      <c r="O109" s="7"/>
      <c r="P109" s="7"/>
      <c r="Q109" s="4"/>
      <c r="R109" s="7"/>
      <c r="S109" s="7"/>
      <c r="T109" s="7"/>
      <c r="U109" s="7"/>
      <c r="V109" s="7"/>
      <c r="W109" s="7"/>
      <c r="X109" s="7"/>
      <c r="Y109" s="7"/>
    </row>
    <row r="110">
      <c r="A110" s="4"/>
      <c r="B110" s="4"/>
      <c r="C110" s="8"/>
      <c r="D110" s="5"/>
      <c r="E110" s="6"/>
      <c r="F110" s="6"/>
      <c r="G110" s="6"/>
      <c r="H110" s="4"/>
      <c r="I110" s="4"/>
      <c r="J110" s="4"/>
      <c r="K110" s="4"/>
      <c r="L110" s="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4"/>
      <c r="B111" s="4"/>
      <c r="C111" s="8"/>
      <c r="D111" s="5"/>
      <c r="E111" s="6"/>
      <c r="F111" s="6"/>
      <c r="G111" s="6"/>
      <c r="H111" s="4"/>
      <c r="I111" s="4"/>
      <c r="J111" s="4"/>
      <c r="K111" s="4"/>
      <c r="L111" s="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4"/>
      <c r="B112" s="4"/>
      <c r="C112" s="8"/>
      <c r="D112" s="5"/>
      <c r="E112" s="6"/>
      <c r="F112" s="6"/>
      <c r="G112" s="6"/>
      <c r="H112" s="4"/>
      <c r="I112" s="4"/>
      <c r="J112" s="4"/>
      <c r="K112" s="4"/>
      <c r="L112" s="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4"/>
      <c r="B113" s="4"/>
      <c r="C113" s="8"/>
      <c r="D113" s="5"/>
      <c r="E113" s="6"/>
      <c r="F113" s="6"/>
      <c r="G113" s="6"/>
      <c r="H113" s="4"/>
      <c r="I113" s="4"/>
      <c r="J113" s="4"/>
      <c r="K113" s="4"/>
      <c r="L113" s="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4"/>
      <c r="B114" s="4"/>
      <c r="C114" s="8"/>
      <c r="D114" s="5"/>
      <c r="E114" s="6"/>
      <c r="F114" s="6"/>
      <c r="G114" s="6"/>
      <c r="H114" s="4"/>
      <c r="I114" s="4"/>
      <c r="J114" s="4"/>
      <c r="K114" s="4"/>
      <c r="L114" s="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4"/>
      <c r="B115" s="4"/>
      <c r="C115" s="8"/>
      <c r="D115" s="5"/>
      <c r="E115" s="6"/>
      <c r="F115" s="6"/>
      <c r="G115" s="6"/>
      <c r="H115" s="4"/>
      <c r="I115" s="4"/>
      <c r="J115" s="4"/>
      <c r="K115" s="4"/>
      <c r="L115" s="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4"/>
      <c r="B116" s="4"/>
      <c r="C116" s="8"/>
      <c r="D116" s="5"/>
      <c r="E116" s="6"/>
      <c r="F116" s="6"/>
      <c r="G116" s="6"/>
      <c r="H116" s="4"/>
      <c r="I116" s="4"/>
      <c r="J116" s="4"/>
      <c r="K116" s="4"/>
      <c r="L116" s="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4"/>
      <c r="B117" s="4"/>
      <c r="C117" s="8"/>
      <c r="D117" s="5"/>
      <c r="E117" s="6"/>
      <c r="F117" s="6"/>
      <c r="G117" s="6"/>
      <c r="H117" s="4"/>
      <c r="I117" s="4"/>
      <c r="J117" s="4"/>
      <c r="K117" s="4"/>
      <c r="L117" s="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4"/>
      <c r="B118" s="4"/>
      <c r="C118" s="8"/>
      <c r="D118" s="5"/>
      <c r="E118" s="6"/>
      <c r="F118" s="6"/>
      <c r="G118" s="6"/>
      <c r="H118" s="4"/>
      <c r="I118" s="4"/>
      <c r="J118" s="4"/>
      <c r="K118" s="4"/>
      <c r="L118" s="4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4"/>
      <c r="B119" s="4"/>
      <c r="C119" s="8"/>
      <c r="D119" s="5"/>
      <c r="E119" s="6"/>
      <c r="F119" s="6"/>
      <c r="G119" s="6"/>
      <c r="H119" s="4"/>
      <c r="I119" s="4"/>
      <c r="J119" s="4"/>
      <c r="K119" s="4"/>
      <c r="L119" s="4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4"/>
      <c r="B120" s="4"/>
      <c r="C120" s="8"/>
      <c r="D120" s="5"/>
      <c r="E120" s="6"/>
      <c r="F120" s="6"/>
      <c r="G120" s="6"/>
      <c r="H120" s="4"/>
      <c r="I120" s="4"/>
      <c r="J120" s="4"/>
      <c r="K120" s="4"/>
      <c r="L120" s="4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4"/>
      <c r="B121" s="4"/>
      <c r="C121" s="8"/>
      <c r="D121" s="5"/>
      <c r="E121" s="6"/>
      <c r="F121" s="6"/>
      <c r="G121" s="6"/>
      <c r="H121" s="4"/>
      <c r="I121" s="4"/>
      <c r="J121" s="4"/>
      <c r="K121" s="4"/>
      <c r="L121" s="4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"/>
      <c r="X121" s="7"/>
      <c r="Y121" s="7"/>
    </row>
    <row r="122">
      <c r="A122" s="4"/>
      <c r="B122" s="4"/>
      <c r="C122" s="8"/>
      <c r="D122" s="5"/>
      <c r="E122" s="6"/>
      <c r="F122" s="6"/>
      <c r="G122" s="6"/>
      <c r="H122" s="4"/>
      <c r="I122" s="4"/>
      <c r="J122" s="4"/>
      <c r="K122" s="4"/>
      <c r="L122" s="4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4"/>
      <c r="B123" s="4"/>
      <c r="C123" s="8"/>
      <c r="D123" s="5"/>
      <c r="E123" s="6"/>
      <c r="F123" s="6"/>
      <c r="G123" s="6"/>
      <c r="H123" s="4"/>
      <c r="I123" s="4"/>
      <c r="J123" s="4"/>
      <c r="K123" s="4"/>
      <c r="L123" s="4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"/>
      <c r="X123" s="7"/>
      <c r="Y123" s="7"/>
    </row>
    <row r="124">
      <c r="A124" s="4"/>
      <c r="B124" s="4"/>
      <c r="C124" s="8"/>
      <c r="D124" s="5"/>
      <c r="E124" s="6"/>
      <c r="F124" s="6"/>
      <c r="G124" s="6"/>
      <c r="H124" s="4"/>
      <c r="I124" s="4"/>
      <c r="J124" s="4"/>
      <c r="K124" s="4"/>
      <c r="L124" s="4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4"/>
      <c r="B125" s="4"/>
      <c r="C125" s="8"/>
      <c r="D125" s="5"/>
      <c r="E125" s="6"/>
      <c r="F125" s="6"/>
      <c r="G125" s="6"/>
      <c r="H125" s="4"/>
      <c r="I125" s="4"/>
      <c r="J125" s="4"/>
      <c r="K125" s="4"/>
      <c r="L125" s="4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4"/>
      <c r="B126" s="4"/>
      <c r="C126" s="8"/>
      <c r="D126" s="5"/>
      <c r="E126" s="6"/>
      <c r="F126" s="6"/>
      <c r="G126" s="6"/>
      <c r="H126" s="4"/>
      <c r="I126" s="4"/>
      <c r="J126" s="4"/>
      <c r="K126" s="4"/>
      <c r="L126" s="4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4"/>
      <c r="B127" s="4"/>
      <c r="C127" s="8"/>
      <c r="D127" s="5"/>
      <c r="E127" s="6"/>
      <c r="F127" s="6"/>
      <c r="G127" s="6"/>
      <c r="H127" s="4"/>
      <c r="I127" s="4"/>
      <c r="J127" s="4"/>
      <c r="K127" s="4"/>
      <c r="L127" s="7"/>
      <c r="M127" s="7"/>
      <c r="N127" s="7"/>
      <c r="O127" s="7"/>
      <c r="P127" s="7"/>
      <c r="Q127" s="4"/>
      <c r="R127" s="7"/>
      <c r="S127" s="7"/>
      <c r="T127" s="7"/>
      <c r="U127" s="7"/>
      <c r="V127" s="7"/>
      <c r="W127" s="7"/>
      <c r="X127" s="7"/>
      <c r="Y127" s="7"/>
    </row>
    <row r="128">
      <c r="A128" s="4"/>
      <c r="B128" s="4"/>
      <c r="C128" s="8"/>
      <c r="D128" s="5"/>
      <c r="E128" s="6"/>
      <c r="F128" s="6"/>
      <c r="G128" s="6"/>
      <c r="H128" s="4"/>
      <c r="I128" s="4"/>
      <c r="J128" s="4"/>
      <c r="K128" s="4"/>
      <c r="L128" s="7"/>
      <c r="M128" s="7"/>
      <c r="N128" s="7"/>
      <c r="O128" s="7"/>
      <c r="P128" s="7"/>
      <c r="Q128" s="4"/>
      <c r="R128" s="7"/>
      <c r="S128" s="7"/>
      <c r="T128" s="7"/>
      <c r="U128" s="7"/>
      <c r="V128" s="7"/>
      <c r="W128" s="4"/>
      <c r="X128" s="7"/>
      <c r="Y128" s="7"/>
    </row>
    <row r="129">
      <c r="A129" s="4"/>
      <c r="B129" s="4"/>
      <c r="C129" s="8"/>
      <c r="D129" s="5"/>
      <c r="E129" s="6"/>
      <c r="F129" s="6"/>
      <c r="G129" s="6"/>
      <c r="H129" s="4"/>
      <c r="I129" s="4"/>
      <c r="J129" s="4"/>
      <c r="K129" s="4"/>
      <c r="L129" s="7"/>
      <c r="M129" s="4"/>
      <c r="N129" s="7"/>
      <c r="O129" s="7"/>
      <c r="P129" s="7"/>
      <c r="Q129" s="4"/>
      <c r="R129" s="7"/>
      <c r="S129" s="7"/>
      <c r="T129" s="7"/>
      <c r="U129" s="7"/>
      <c r="V129" s="7"/>
      <c r="W129" s="4"/>
      <c r="X129" s="7"/>
      <c r="Y129" s="7"/>
    </row>
    <row r="130">
      <c r="A130" s="4"/>
      <c r="B130" s="4"/>
      <c r="C130" s="8"/>
      <c r="D130" s="5"/>
      <c r="E130" s="6"/>
      <c r="F130" s="6"/>
      <c r="G130" s="6"/>
      <c r="H130" s="4"/>
      <c r="I130" s="4"/>
      <c r="J130" s="4"/>
      <c r="K130" s="4"/>
      <c r="L130" s="7"/>
      <c r="M130" s="4"/>
      <c r="N130" s="7"/>
      <c r="O130" s="7"/>
      <c r="P130" s="7"/>
      <c r="Q130" s="4"/>
      <c r="R130" s="7"/>
      <c r="S130" s="7"/>
      <c r="T130" s="7"/>
      <c r="U130" s="7"/>
      <c r="V130" s="7"/>
      <c r="W130" s="4"/>
      <c r="X130" s="7"/>
      <c r="Y130" s="7"/>
    </row>
    <row r="131">
      <c r="A131" s="4"/>
      <c r="B131" s="4"/>
      <c r="C131" s="8"/>
      <c r="D131" s="5"/>
      <c r="E131" s="6"/>
      <c r="F131" s="6"/>
      <c r="G131" s="6"/>
      <c r="H131" s="4"/>
      <c r="I131" s="4"/>
      <c r="J131" s="4"/>
      <c r="K131" s="4"/>
      <c r="L131" s="7"/>
      <c r="M131" s="4"/>
      <c r="N131" s="7"/>
      <c r="O131" s="7"/>
      <c r="P131" s="7"/>
      <c r="Q131" s="4"/>
      <c r="R131" s="7"/>
      <c r="S131" s="7"/>
      <c r="T131" s="7"/>
      <c r="U131" s="7"/>
      <c r="V131" s="7"/>
      <c r="W131" s="4"/>
      <c r="X131" s="7"/>
      <c r="Y131" s="7"/>
    </row>
    <row r="132">
      <c r="A132" s="4"/>
      <c r="B132" s="4"/>
      <c r="C132" s="8"/>
      <c r="D132" s="5"/>
      <c r="E132" s="6"/>
      <c r="F132" s="6"/>
      <c r="G132" s="6"/>
      <c r="H132" s="4"/>
      <c r="I132" s="4"/>
      <c r="J132" s="4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"/>
      <c r="X132" s="4"/>
      <c r="Y132" s="4"/>
    </row>
    <row r="133">
      <c r="A133" s="4"/>
      <c r="B133" s="4"/>
      <c r="C133" s="8"/>
      <c r="D133" s="5"/>
      <c r="E133" s="6"/>
      <c r="F133" s="6"/>
      <c r="G133" s="6"/>
      <c r="H133" s="4"/>
      <c r="I133" s="4"/>
      <c r="J133" s="4"/>
      <c r="K133" s="4"/>
      <c r="L133" s="7"/>
      <c r="M133" s="7"/>
      <c r="N133" s="7"/>
      <c r="O133" s="7"/>
      <c r="P133" s="7"/>
      <c r="Q133" s="4"/>
      <c r="R133" s="7"/>
      <c r="S133" s="7"/>
      <c r="T133" s="7"/>
      <c r="U133" s="7"/>
      <c r="V133" s="7"/>
      <c r="W133" s="4"/>
      <c r="X133" s="4"/>
      <c r="Y133" s="4"/>
    </row>
    <row r="134">
      <c r="A134" s="4"/>
      <c r="B134" s="4"/>
      <c r="C134" s="8"/>
      <c r="D134" s="5"/>
      <c r="E134" s="6"/>
      <c r="F134" s="6"/>
      <c r="G134" s="6"/>
      <c r="H134" s="4"/>
      <c r="I134" s="4"/>
      <c r="J134" s="4"/>
      <c r="K134" s="4"/>
      <c r="L134" s="7"/>
      <c r="M134" s="7"/>
      <c r="N134" s="7"/>
      <c r="O134" s="7"/>
      <c r="P134" s="7"/>
      <c r="Q134" s="4"/>
      <c r="R134" s="7"/>
      <c r="S134" s="7"/>
      <c r="T134" s="7"/>
      <c r="U134" s="7"/>
      <c r="V134" s="7"/>
      <c r="W134" s="4"/>
      <c r="X134" s="7"/>
      <c r="Y134" s="7"/>
    </row>
    <row r="135">
      <c r="A135" s="4"/>
      <c r="B135" s="4"/>
      <c r="C135" s="8"/>
      <c r="D135" s="5"/>
      <c r="E135" s="6"/>
      <c r="F135" s="6"/>
      <c r="G135" s="6"/>
      <c r="H135" s="4"/>
      <c r="I135" s="4"/>
      <c r="J135" s="4"/>
      <c r="K135" s="4"/>
      <c r="L135" s="7"/>
      <c r="M135" s="7"/>
      <c r="N135" s="4"/>
      <c r="O135" s="7"/>
      <c r="P135" s="7"/>
      <c r="Q135" s="4"/>
      <c r="R135" s="7"/>
      <c r="S135" s="7"/>
      <c r="T135" s="7"/>
      <c r="U135" s="7"/>
      <c r="V135" s="7"/>
      <c r="W135" s="4"/>
      <c r="X135" s="7"/>
      <c r="Y135" s="7"/>
    </row>
    <row r="136">
      <c r="A136" s="4"/>
      <c r="B136" s="4"/>
      <c r="C136" s="8"/>
      <c r="D136" s="5"/>
      <c r="E136" s="6"/>
      <c r="F136" s="6"/>
      <c r="G136" s="6"/>
      <c r="H136" s="4"/>
      <c r="I136" s="4"/>
      <c r="J136" s="4"/>
      <c r="K136" s="4"/>
      <c r="L136" s="7"/>
      <c r="M136" s="7"/>
      <c r="N136" s="4"/>
      <c r="O136" s="7"/>
      <c r="P136" s="7"/>
      <c r="Q136" s="4"/>
      <c r="R136" s="7"/>
      <c r="S136" s="7"/>
      <c r="T136" s="7"/>
      <c r="U136" s="7"/>
      <c r="V136" s="7"/>
      <c r="W136" s="4"/>
      <c r="X136" s="7"/>
      <c r="Y136" s="7"/>
    </row>
    <row r="137">
      <c r="A137" s="4"/>
      <c r="B137" s="4"/>
      <c r="C137" s="8"/>
      <c r="D137" s="5"/>
      <c r="E137" s="6"/>
      <c r="F137" s="6"/>
      <c r="G137" s="6"/>
      <c r="H137" s="4"/>
      <c r="I137" s="4"/>
      <c r="J137" s="4"/>
      <c r="K137" s="4"/>
      <c r="L137" s="7"/>
      <c r="M137" s="7"/>
      <c r="N137" s="4"/>
      <c r="O137" s="7"/>
      <c r="P137" s="7"/>
      <c r="Q137" s="4"/>
      <c r="R137" s="7"/>
      <c r="S137" s="7"/>
      <c r="T137" s="7"/>
      <c r="U137" s="7"/>
      <c r="V137" s="7"/>
      <c r="W137" s="7"/>
      <c r="X137" s="7"/>
      <c r="Y137" s="7"/>
    </row>
    <row r="138">
      <c r="A138" s="4"/>
      <c r="B138" s="4"/>
      <c r="C138" s="8"/>
      <c r="D138" s="5"/>
      <c r="E138" s="6"/>
      <c r="F138" s="6"/>
      <c r="G138" s="6"/>
      <c r="H138" s="4"/>
      <c r="I138" s="4"/>
      <c r="J138" s="4"/>
      <c r="K138" s="4"/>
      <c r="L138" s="4"/>
      <c r="M138" s="7"/>
      <c r="N138" s="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4"/>
      <c r="B139" s="4"/>
      <c r="C139" s="8"/>
      <c r="D139" s="5"/>
      <c r="E139" s="6"/>
      <c r="F139" s="6"/>
      <c r="G139" s="6"/>
      <c r="H139" s="4"/>
      <c r="I139" s="4"/>
      <c r="J139" s="4"/>
      <c r="K139" s="4"/>
      <c r="L139" s="4"/>
      <c r="M139" s="7"/>
      <c r="N139" s="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4"/>
      <c r="B140" s="4"/>
      <c r="C140" s="8"/>
      <c r="D140" s="5"/>
      <c r="E140" s="6"/>
      <c r="F140" s="6"/>
      <c r="G140" s="6"/>
      <c r="H140" s="4"/>
      <c r="I140" s="4"/>
      <c r="J140" s="4"/>
      <c r="K140" s="4"/>
      <c r="L140" s="4"/>
      <c r="M140" s="7"/>
      <c r="N140" s="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4"/>
      <c r="B141" s="4"/>
      <c r="C141" s="8"/>
      <c r="D141" s="5"/>
      <c r="E141" s="6"/>
      <c r="F141" s="6"/>
      <c r="G141" s="6"/>
      <c r="H141" s="4"/>
      <c r="I141" s="4"/>
      <c r="J141" s="4"/>
      <c r="K141" s="4"/>
      <c r="L141" s="4"/>
      <c r="M141" s="7"/>
      <c r="N141" s="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4"/>
      <c r="B142" s="4"/>
      <c r="C142" s="8"/>
      <c r="D142" s="5"/>
      <c r="E142" s="6"/>
      <c r="F142" s="6"/>
      <c r="G142" s="6"/>
      <c r="H142" s="4"/>
      <c r="I142" s="4"/>
      <c r="J142" s="4"/>
      <c r="K142" s="4"/>
      <c r="L142" s="4"/>
      <c r="M142" s="7"/>
      <c r="N142" s="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4"/>
      <c r="B143" s="4"/>
      <c r="C143" s="8"/>
      <c r="D143" s="5"/>
      <c r="E143" s="6"/>
      <c r="F143" s="6"/>
      <c r="G143" s="6"/>
      <c r="H143" s="4"/>
      <c r="I143" s="4"/>
      <c r="J143" s="4"/>
      <c r="K143" s="4"/>
      <c r="L143" s="4"/>
      <c r="M143" s="7"/>
      <c r="N143" s="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4"/>
      <c r="B144" s="4"/>
      <c r="C144" s="8"/>
      <c r="D144" s="5"/>
      <c r="E144" s="6"/>
      <c r="F144" s="6"/>
      <c r="G144" s="6"/>
      <c r="H144" s="4"/>
      <c r="I144" s="4"/>
      <c r="J144" s="4"/>
      <c r="K144" s="4"/>
      <c r="L144" s="4"/>
      <c r="M144" s="7"/>
      <c r="N144" s="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4"/>
      <c r="B145" s="4"/>
      <c r="C145" s="8"/>
      <c r="D145" s="5"/>
      <c r="E145" s="6"/>
      <c r="F145" s="6"/>
      <c r="G145" s="6"/>
      <c r="H145" s="4"/>
      <c r="I145" s="4"/>
      <c r="J145" s="4"/>
      <c r="K145" s="4"/>
      <c r="L145" s="4"/>
      <c r="M145" s="7"/>
      <c r="N145" s="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4"/>
      <c r="B146" s="4"/>
      <c r="C146" s="4"/>
      <c r="D146" s="5"/>
      <c r="E146" s="6"/>
      <c r="F146" s="6"/>
      <c r="G146" s="6"/>
      <c r="H146" s="4"/>
      <c r="I146" s="4"/>
      <c r="J146" s="4"/>
      <c r="K146" s="4"/>
      <c r="L146" s="7"/>
      <c r="M146" s="7"/>
      <c r="N146" s="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4"/>
      <c r="B147" s="4"/>
      <c r="C147" s="8"/>
      <c r="D147" s="5"/>
      <c r="E147" s="6"/>
      <c r="F147" s="6"/>
      <c r="G147" s="6"/>
      <c r="H147" s="4"/>
      <c r="I147" s="4"/>
      <c r="J147" s="4"/>
      <c r="K147" s="4"/>
      <c r="L147" s="7"/>
      <c r="M147" s="7"/>
      <c r="N147" s="7"/>
      <c r="O147" s="7"/>
      <c r="P147" s="7"/>
      <c r="Q147" s="7"/>
      <c r="R147" s="7"/>
      <c r="S147" s="7"/>
      <c r="T147" s="4"/>
      <c r="U147" s="4"/>
      <c r="V147" s="7"/>
      <c r="W147" s="7"/>
      <c r="X147" s="7"/>
      <c r="Y147" s="7"/>
    </row>
    <row r="148">
      <c r="A148" s="4"/>
      <c r="B148" s="4"/>
      <c r="C148" s="8"/>
      <c r="D148" s="5"/>
      <c r="E148" s="6"/>
      <c r="F148" s="6"/>
      <c r="G148" s="6"/>
      <c r="H148" s="4"/>
      <c r="I148" s="4"/>
      <c r="J148" s="4"/>
      <c r="K148" s="4"/>
      <c r="L148" s="7"/>
      <c r="M148" s="7"/>
      <c r="N148" s="7"/>
      <c r="O148" s="7"/>
      <c r="P148" s="7"/>
      <c r="Q148" s="7"/>
      <c r="R148" s="7"/>
      <c r="S148" s="7"/>
      <c r="T148" s="4"/>
      <c r="U148" s="7"/>
      <c r="V148" s="7"/>
      <c r="W148" s="7"/>
      <c r="X148" s="7"/>
      <c r="Y148" s="7"/>
    </row>
    <row r="149">
      <c r="A149" s="4"/>
      <c r="B149" s="4"/>
      <c r="C149" s="8"/>
      <c r="D149" s="5"/>
      <c r="E149" s="6"/>
      <c r="F149" s="6"/>
      <c r="G149" s="6"/>
      <c r="H149" s="4"/>
      <c r="I149" s="4"/>
      <c r="J149" s="4"/>
      <c r="K149" s="4"/>
      <c r="L149" s="7"/>
      <c r="M149" s="7"/>
      <c r="N149" s="7"/>
      <c r="O149" s="4"/>
      <c r="P149" s="7"/>
      <c r="Q149" s="7"/>
      <c r="R149" s="7"/>
      <c r="S149" s="7"/>
      <c r="T149" s="7"/>
      <c r="U149" s="4"/>
      <c r="V149" s="7"/>
      <c r="W149" s="7"/>
      <c r="X149" s="7"/>
      <c r="Y149" s="7"/>
    </row>
    <row r="150">
      <c r="A150" s="4"/>
      <c r="B150" s="4"/>
      <c r="C150" s="8"/>
      <c r="D150" s="5"/>
      <c r="E150" s="6"/>
      <c r="F150" s="6"/>
      <c r="G150" s="6"/>
      <c r="H150" s="4"/>
      <c r="I150" s="4"/>
      <c r="J150" s="4"/>
      <c r="K150" s="4"/>
      <c r="L150" s="4"/>
      <c r="M150" s="7"/>
      <c r="N150" s="7"/>
      <c r="O150" s="7"/>
      <c r="P150" s="4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4"/>
      <c r="B151" s="4"/>
      <c r="C151" s="8"/>
      <c r="D151" s="5"/>
      <c r="E151" s="6"/>
      <c r="F151" s="6"/>
      <c r="G151" s="6"/>
      <c r="H151" s="4"/>
      <c r="I151" s="4"/>
      <c r="J151" s="4"/>
      <c r="K151" s="4"/>
      <c r="L151" s="7"/>
      <c r="M151" s="7"/>
      <c r="N151" s="7"/>
      <c r="O151" s="7"/>
      <c r="P151" s="7"/>
      <c r="Q151" s="4"/>
      <c r="R151" s="7"/>
      <c r="S151" s="7"/>
      <c r="T151" s="7"/>
      <c r="U151" s="7"/>
      <c r="V151" s="7"/>
      <c r="W151" s="7"/>
      <c r="X151" s="7"/>
      <c r="Y151" s="7"/>
    </row>
    <row r="152">
      <c r="A152" s="4"/>
      <c r="B152" s="4"/>
      <c r="C152" s="8"/>
      <c r="D152" s="5"/>
      <c r="E152" s="6"/>
      <c r="F152" s="6"/>
      <c r="G152" s="6"/>
      <c r="H152" s="4"/>
      <c r="I152" s="4"/>
      <c r="J152" s="4"/>
      <c r="K152" s="4"/>
      <c r="L152" s="7"/>
      <c r="M152" s="7"/>
      <c r="N152" s="4"/>
      <c r="O152" s="7"/>
      <c r="P152" s="4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4"/>
      <c r="B153" s="4"/>
      <c r="C153" s="8"/>
      <c r="D153" s="5"/>
      <c r="E153" s="6"/>
      <c r="F153" s="6"/>
      <c r="G153" s="6"/>
      <c r="H153" s="4"/>
      <c r="I153" s="4"/>
      <c r="J153" s="4"/>
      <c r="K153" s="4"/>
      <c r="L153" s="7"/>
      <c r="M153" s="7"/>
      <c r="N153" s="7"/>
      <c r="O153" s="7"/>
      <c r="P153" s="4"/>
      <c r="Q153" s="7"/>
      <c r="R153" s="7"/>
      <c r="S153" s="7"/>
      <c r="T153" s="4"/>
      <c r="U153" s="7"/>
      <c r="V153" s="7"/>
      <c r="W153" s="7"/>
      <c r="X153" s="7"/>
      <c r="Y153" s="7"/>
    </row>
    <row r="154">
      <c r="A154" s="4"/>
      <c r="B154" s="4"/>
      <c r="C154" s="8"/>
      <c r="D154" s="5"/>
      <c r="E154" s="6"/>
      <c r="F154" s="6"/>
      <c r="G154" s="6"/>
      <c r="H154" s="4"/>
      <c r="I154" s="4"/>
      <c r="J154" s="4"/>
      <c r="K154" s="4"/>
      <c r="L154" s="7"/>
      <c r="M154" s="7"/>
      <c r="N154" s="7"/>
      <c r="O154" s="7"/>
      <c r="P154" s="4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4"/>
      <c r="B155" s="4"/>
      <c r="C155" s="8"/>
      <c r="D155" s="5"/>
      <c r="E155" s="6"/>
      <c r="F155" s="6"/>
      <c r="G155" s="6"/>
      <c r="H155" s="4"/>
      <c r="I155" s="4"/>
      <c r="J155" s="4"/>
      <c r="K155" s="4"/>
      <c r="L155" s="7"/>
      <c r="M155" s="7"/>
      <c r="N155" s="7"/>
      <c r="O155" s="7"/>
      <c r="P155" s="7"/>
      <c r="Q155" s="4"/>
      <c r="R155" s="7"/>
      <c r="S155" s="4"/>
      <c r="T155" s="7"/>
      <c r="U155" s="7"/>
      <c r="V155" s="7"/>
      <c r="W155" s="7"/>
      <c r="X155" s="7"/>
      <c r="Y155" s="7"/>
    </row>
    <row r="156">
      <c r="A156" s="4"/>
      <c r="B156" s="4"/>
      <c r="C156" s="8"/>
      <c r="D156" s="5"/>
      <c r="E156" s="6"/>
      <c r="F156" s="6"/>
      <c r="G156" s="6"/>
      <c r="H156" s="4"/>
      <c r="I156" s="4"/>
      <c r="J156" s="4"/>
      <c r="K156" s="4"/>
      <c r="L156" s="7"/>
      <c r="M156" s="7"/>
      <c r="N156" s="4"/>
      <c r="O156" s="7"/>
      <c r="P156" s="4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4"/>
      <c r="B157" s="4"/>
      <c r="C157" s="8"/>
      <c r="D157" s="5"/>
      <c r="E157" s="6"/>
      <c r="F157" s="6"/>
      <c r="G157" s="6"/>
      <c r="H157" s="4"/>
      <c r="I157" s="4"/>
      <c r="J157" s="4"/>
      <c r="K157" s="4"/>
      <c r="L157" s="4"/>
      <c r="M157" s="7"/>
      <c r="N157" s="7"/>
      <c r="O157" s="7"/>
      <c r="P157" s="4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4"/>
      <c r="B158" s="4"/>
      <c r="C158" s="8"/>
      <c r="D158" s="5"/>
      <c r="E158" s="6"/>
      <c r="F158" s="6"/>
      <c r="G158" s="6"/>
      <c r="H158" s="4"/>
      <c r="I158" s="4"/>
      <c r="J158" s="4"/>
      <c r="K158" s="4"/>
      <c r="L158" s="7"/>
      <c r="M158" s="7"/>
      <c r="N158" s="7"/>
      <c r="O158" s="7"/>
      <c r="P158" s="4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4"/>
      <c r="B159" s="4"/>
      <c r="C159" s="8"/>
      <c r="D159" s="5"/>
      <c r="E159" s="6"/>
      <c r="F159" s="6"/>
      <c r="G159" s="6"/>
      <c r="H159" s="4"/>
      <c r="I159" s="4"/>
      <c r="J159" s="4"/>
      <c r="K159" s="4"/>
      <c r="L159" s="7"/>
      <c r="M159" s="7"/>
      <c r="N159" s="7"/>
      <c r="O159" s="7"/>
      <c r="P159" s="4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4"/>
      <c r="B160" s="4"/>
      <c r="C160" s="8"/>
      <c r="D160" s="5"/>
      <c r="E160" s="6"/>
      <c r="F160" s="6"/>
      <c r="G160" s="6"/>
      <c r="H160" s="4"/>
      <c r="I160" s="4"/>
      <c r="J160" s="4"/>
      <c r="K160" s="4"/>
      <c r="L160" s="4"/>
      <c r="M160" s="7"/>
      <c r="N160" s="7"/>
      <c r="O160" s="7"/>
      <c r="P160" s="4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4"/>
      <c r="B161" s="4"/>
      <c r="C161" s="8"/>
      <c r="D161" s="5"/>
      <c r="E161" s="6"/>
      <c r="F161" s="6"/>
      <c r="G161" s="6"/>
      <c r="H161" s="4"/>
      <c r="I161" s="4"/>
      <c r="J161" s="4"/>
      <c r="K161" s="4"/>
      <c r="L161" s="4"/>
      <c r="M161" s="7"/>
      <c r="N161" s="7"/>
      <c r="O161" s="7"/>
      <c r="P161" s="7"/>
      <c r="Q161" s="4"/>
      <c r="R161" s="7"/>
      <c r="S161" s="7"/>
      <c r="T161" s="7"/>
      <c r="U161" s="7"/>
      <c r="V161" s="7"/>
      <c r="W161" s="7"/>
      <c r="X161" s="7"/>
      <c r="Y161" s="7"/>
    </row>
    <row r="162">
      <c r="A162" s="4"/>
      <c r="B162" s="4"/>
      <c r="C162" s="8"/>
      <c r="D162" s="5"/>
      <c r="E162" s="6"/>
      <c r="F162" s="6"/>
      <c r="G162" s="6"/>
      <c r="H162" s="4"/>
      <c r="I162" s="4"/>
      <c r="J162" s="4"/>
      <c r="K162" s="4"/>
      <c r="L162" s="7"/>
      <c r="M162" s="7"/>
      <c r="N162" s="7"/>
      <c r="O162" s="7"/>
      <c r="P162" s="4"/>
      <c r="Q162" s="7"/>
      <c r="R162" s="4"/>
      <c r="S162" s="7"/>
      <c r="T162" s="7"/>
      <c r="U162" s="7"/>
      <c r="V162" s="7"/>
      <c r="W162" s="7"/>
      <c r="X162" s="7"/>
      <c r="Y162" s="7"/>
    </row>
    <row r="163">
      <c r="A163" s="4"/>
      <c r="B163" s="4"/>
      <c r="C163" s="8"/>
      <c r="D163" s="5"/>
      <c r="E163" s="6"/>
      <c r="F163" s="6"/>
      <c r="G163" s="6"/>
      <c r="H163" s="4"/>
      <c r="I163" s="4"/>
      <c r="J163" s="4"/>
      <c r="K163" s="4"/>
      <c r="L163" s="7"/>
      <c r="M163" s="7"/>
      <c r="N163" s="7"/>
      <c r="O163" s="7"/>
      <c r="P163" s="4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4"/>
      <c r="B164" s="4"/>
      <c r="C164" s="8"/>
      <c r="D164" s="5"/>
      <c r="E164" s="6"/>
      <c r="F164" s="6"/>
      <c r="G164" s="6"/>
      <c r="H164" s="4"/>
      <c r="I164" s="4"/>
      <c r="J164" s="4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"/>
      <c r="X164" s="7"/>
      <c r="Y164" s="7"/>
    </row>
    <row r="165">
      <c r="A165" s="4"/>
      <c r="B165" s="4"/>
      <c r="C165" s="8"/>
      <c r="D165" s="5"/>
      <c r="E165" s="6"/>
      <c r="F165" s="6"/>
      <c r="G165" s="6"/>
      <c r="H165" s="4"/>
      <c r="I165" s="4"/>
      <c r="J165" s="4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"/>
      <c r="X165" s="7"/>
      <c r="Y165" s="7"/>
    </row>
    <row r="166">
      <c r="A166" s="4"/>
      <c r="B166" s="8"/>
      <c r="C166" s="4"/>
      <c r="D166" s="5"/>
      <c r="E166" s="6"/>
      <c r="F166" s="6"/>
      <c r="G166" s="6"/>
      <c r="H166" s="4"/>
      <c r="I166" s="4"/>
      <c r="J166" s="4"/>
      <c r="K166" s="4"/>
      <c r="L166" s="7"/>
      <c r="M166" s="7"/>
      <c r="N166" s="7"/>
      <c r="O166" s="7"/>
      <c r="P166" s="4"/>
      <c r="Q166" s="7"/>
      <c r="R166" s="7"/>
      <c r="S166" s="7"/>
      <c r="T166" s="7"/>
      <c r="U166" s="7"/>
      <c r="V166" s="7"/>
      <c r="W166" s="4"/>
      <c r="X166" s="7"/>
      <c r="Y166" s="7"/>
    </row>
    <row r="167">
      <c r="A167" s="4"/>
      <c r="B167" s="8"/>
      <c r="C167" s="8"/>
      <c r="D167" s="5"/>
      <c r="E167" s="6"/>
      <c r="F167" s="6"/>
      <c r="G167" s="6"/>
      <c r="H167" s="4"/>
      <c r="I167" s="4"/>
      <c r="J167" s="4"/>
      <c r="K167" s="4"/>
      <c r="L167" s="7"/>
      <c r="M167" s="7"/>
      <c r="N167" s="7"/>
      <c r="O167" s="7"/>
      <c r="P167" s="4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4"/>
      <c r="B168" s="8"/>
      <c r="C168" s="8"/>
      <c r="D168" s="5"/>
      <c r="E168" s="6"/>
      <c r="F168" s="6"/>
      <c r="G168" s="6"/>
      <c r="H168" s="4"/>
      <c r="I168" s="4"/>
      <c r="J168" s="4"/>
      <c r="K168" s="4"/>
      <c r="L168" s="7"/>
      <c r="M168" s="7"/>
      <c r="N168" s="7"/>
      <c r="O168" s="7"/>
      <c r="P168" s="4"/>
      <c r="Q168" s="7"/>
      <c r="R168" s="7"/>
      <c r="S168" s="7"/>
      <c r="T168" s="7"/>
      <c r="U168" s="7"/>
      <c r="V168" s="7"/>
      <c r="W168" s="4"/>
      <c r="X168" s="7"/>
      <c r="Y168" s="7"/>
    </row>
    <row r="169">
      <c r="A169" s="4"/>
      <c r="B169" s="8"/>
      <c r="C169" s="8"/>
      <c r="D169" s="5"/>
      <c r="E169" s="6"/>
      <c r="F169" s="6"/>
      <c r="G169" s="6"/>
      <c r="H169" s="4"/>
      <c r="I169" s="4"/>
      <c r="J169" s="4"/>
      <c r="K169" s="4"/>
      <c r="L169" s="7"/>
      <c r="M169" s="7"/>
      <c r="N169" s="7"/>
      <c r="O169" s="7"/>
      <c r="P169" s="4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4"/>
      <c r="B170" s="4"/>
      <c r="C170" s="8"/>
      <c r="D170" s="5"/>
      <c r="E170" s="6"/>
      <c r="F170" s="6"/>
      <c r="G170" s="6"/>
      <c r="H170" s="4"/>
      <c r="I170" s="4"/>
      <c r="J170" s="4"/>
      <c r="K170" s="4"/>
      <c r="L170" s="7"/>
      <c r="M170" s="7"/>
      <c r="N170" s="7"/>
      <c r="O170" s="4"/>
      <c r="P170" s="7"/>
      <c r="Q170" s="4"/>
      <c r="R170" s="7"/>
      <c r="S170" s="7"/>
      <c r="T170" s="7"/>
      <c r="U170" s="7"/>
      <c r="V170" s="7"/>
      <c r="W170" s="7"/>
      <c r="X170" s="7"/>
      <c r="Y170" s="7"/>
    </row>
    <row r="171">
      <c r="A171" s="4"/>
      <c r="B171" s="4"/>
      <c r="C171" s="8"/>
      <c r="D171" s="5"/>
      <c r="E171" s="6"/>
      <c r="F171" s="6"/>
      <c r="G171" s="6"/>
      <c r="H171" s="4"/>
      <c r="I171" s="4"/>
      <c r="J171" s="4"/>
      <c r="K171" s="4"/>
      <c r="L171" s="7"/>
      <c r="M171" s="7"/>
      <c r="N171" s="4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7"/>
    </row>
    <row r="172">
      <c r="A172" s="4"/>
      <c r="B172" s="4"/>
      <c r="C172" s="8"/>
      <c r="D172" s="5"/>
      <c r="E172" s="6"/>
      <c r="F172" s="6"/>
      <c r="G172" s="6"/>
      <c r="H172" s="4"/>
      <c r="I172" s="4"/>
      <c r="J172" s="4"/>
      <c r="K172" s="4"/>
      <c r="L172" s="7"/>
      <c r="M172" s="7"/>
      <c r="N172" s="4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7"/>
    </row>
    <row r="173">
      <c r="A173" s="4"/>
      <c r="B173" s="4"/>
      <c r="C173" s="8"/>
      <c r="D173" s="5"/>
      <c r="E173" s="6"/>
      <c r="F173" s="6"/>
      <c r="G173" s="6"/>
      <c r="H173" s="4"/>
      <c r="I173" s="4"/>
      <c r="J173" s="4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7"/>
    </row>
    <row r="174">
      <c r="A174" s="4"/>
      <c r="B174" s="4"/>
      <c r="C174" s="8"/>
      <c r="D174" s="5"/>
      <c r="E174" s="6"/>
      <c r="F174" s="6"/>
      <c r="G174" s="6"/>
      <c r="H174" s="4"/>
      <c r="I174" s="4"/>
      <c r="J174" s="4"/>
      <c r="K174" s="4"/>
      <c r="L174" s="7"/>
      <c r="M174" s="7"/>
      <c r="N174" s="7"/>
      <c r="O174" s="4"/>
      <c r="P174" s="7"/>
      <c r="Q174" s="7"/>
      <c r="R174" s="7"/>
      <c r="S174" s="7"/>
      <c r="T174" s="7"/>
      <c r="U174" s="7"/>
      <c r="V174" s="7"/>
      <c r="W174" s="7"/>
      <c r="X174" s="4"/>
      <c r="Y174" s="7"/>
    </row>
    <row r="175">
      <c r="A175" s="4"/>
      <c r="B175" s="4"/>
      <c r="C175" s="8"/>
      <c r="D175" s="5"/>
      <c r="E175" s="6"/>
      <c r="F175" s="6"/>
      <c r="G175" s="6"/>
      <c r="H175" s="4"/>
      <c r="I175" s="4"/>
      <c r="J175" s="4"/>
      <c r="K175" s="4"/>
      <c r="L175" s="7"/>
      <c r="M175" s="7"/>
      <c r="N175" s="7"/>
      <c r="O175" s="4"/>
      <c r="P175" s="7"/>
      <c r="Q175" s="7"/>
      <c r="R175" s="7"/>
      <c r="S175" s="7"/>
      <c r="T175" s="7"/>
      <c r="U175" s="7"/>
      <c r="V175" s="7"/>
      <c r="W175" s="7"/>
      <c r="X175" s="4"/>
      <c r="Y175" s="7"/>
    </row>
    <row r="176">
      <c r="A176" s="4"/>
      <c r="B176" s="4"/>
      <c r="C176" s="8"/>
      <c r="D176" s="5"/>
      <c r="E176" s="6"/>
      <c r="F176" s="6"/>
      <c r="G176" s="6"/>
      <c r="H176" s="4"/>
      <c r="I176" s="4"/>
      <c r="J176" s="4"/>
      <c r="K176" s="4"/>
      <c r="L176" s="7"/>
      <c r="M176" s="7"/>
      <c r="N176" s="7"/>
      <c r="O176" s="4"/>
      <c r="P176" s="7"/>
      <c r="Q176" s="7"/>
      <c r="R176" s="7"/>
      <c r="S176" s="7"/>
      <c r="T176" s="7"/>
      <c r="U176" s="7"/>
      <c r="V176" s="7"/>
      <c r="W176" s="7"/>
      <c r="X176" s="4"/>
      <c r="Y176" s="7"/>
    </row>
    <row r="177">
      <c r="A177" s="4"/>
      <c r="B177" s="4"/>
      <c r="C177" s="8"/>
      <c r="D177" s="5"/>
      <c r="E177" s="6"/>
      <c r="F177" s="6"/>
      <c r="G177" s="6"/>
      <c r="H177" s="4"/>
      <c r="I177" s="4"/>
      <c r="J177" s="4"/>
      <c r="K177" s="4"/>
      <c r="L177" s="7"/>
      <c r="M177" s="7"/>
      <c r="N177" s="7"/>
      <c r="O177" s="4"/>
      <c r="P177" s="7"/>
      <c r="Q177" s="7"/>
      <c r="R177" s="7"/>
      <c r="S177" s="7"/>
      <c r="T177" s="7"/>
      <c r="U177" s="7"/>
      <c r="V177" s="7"/>
      <c r="W177" s="7"/>
      <c r="X177" s="4"/>
      <c r="Y177" s="7"/>
    </row>
    <row r="178">
      <c r="A178" s="4"/>
      <c r="B178" s="4"/>
      <c r="C178" s="8"/>
      <c r="D178" s="5"/>
      <c r="E178" s="6"/>
      <c r="F178" s="6"/>
      <c r="G178" s="6"/>
      <c r="H178" s="4"/>
      <c r="I178" s="4"/>
      <c r="J178" s="4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7"/>
    </row>
    <row r="179">
      <c r="A179" s="4"/>
      <c r="B179" s="4"/>
      <c r="C179" s="8"/>
      <c r="D179" s="5"/>
      <c r="E179" s="6"/>
      <c r="F179" s="6"/>
      <c r="G179" s="6"/>
      <c r="H179" s="4"/>
      <c r="I179" s="4"/>
      <c r="J179" s="4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7"/>
    </row>
    <row r="180">
      <c r="A180" s="4"/>
      <c r="B180" s="4"/>
      <c r="C180" s="8"/>
      <c r="D180" s="5"/>
      <c r="E180" s="6"/>
      <c r="F180" s="6"/>
      <c r="G180" s="6"/>
      <c r="H180" s="4"/>
      <c r="I180" s="4"/>
      <c r="J180" s="4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7"/>
    </row>
    <row r="181">
      <c r="A181" s="4"/>
      <c r="B181" s="4"/>
      <c r="C181" s="8"/>
      <c r="D181" s="5"/>
      <c r="E181" s="6"/>
      <c r="F181" s="6"/>
      <c r="G181" s="6"/>
      <c r="H181" s="4"/>
      <c r="I181" s="4"/>
      <c r="J181" s="4"/>
      <c r="K181" s="4"/>
      <c r="L181" s="7"/>
      <c r="M181" s="7"/>
      <c r="N181" s="7"/>
      <c r="O181" s="7"/>
      <c r="P181" s="7"/>
      <c r="Q181" s="4"/>
      <c r="R181" s="7"/>
      <c r="S181" s="7"/>
      <c r="T181" s="7"/>
      <c r="U181" s="7"/>
      <c r="V181" s="7"/>
      <c r="W181" s="4"/>
      <c r="X181" s="7"/>
      <c r="Y181" s="7"/>
    </row>
    <row r="182">
      <c r="A182" s="4"/>
      <c r="B182" s="4"/>
      <c r="C182" s="8"/>
      <c r="D182" s="5"/>
      <c r="E182" s="6"/>
      <c r="F182" s="6"/>
      <c r="G182" s="6"/>
      <c r="H182" s="4"/>
      <c r="I182" s="4"/>
      <c r="J182" s="4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"/>
      <c r="X182" s="7"/>
      <c r="Y182" s="7"/>
    </row>
    <row r="183">
      <c r="A183" s="4"/>
      <c r="B183" s="4"/>
      <c r="C183" s="8"/>
      <c r="D183" s="5"/>
      <c r="E183" s="6"/>
      <c r="F183" s="6"/>
      <c r="G183" s="6"/>
      <c r="H183" s="4"/>
      <c r="I183" s="4"/>
      <c r="J183" s="4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"/>
      <c r="X183" s="7"/>
      <c r="Y183" s="7"/>
    </row>
    <row r="184">
      <c r="A184" s="4"/>
      <c r="B184" s="4"/>
      <c r="C184" s="8"/>
      <c r="D184" s="5"/>
      <c r="E184" s="6"/>
      <c r="F184" s="6"/>
      <c r="G184" s="6"/>
      <c r="H184" s="4"/>
      <c r="I184" s="4"/>
      <c r="J184" s="4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4"/>
      <c r="W184" s="7"/>
      <c r="X184" s="7"/>
      <c r="Y184" s="7"/>
    </row>
    <row r="185">
      <c r="A185" s="4"/>
      <c r="B185" s="4"/>
      <c r="C185" s="8"/>
      <c r="D185" s="5"/>
      <c r="E185" s="6"/>
      <c r="F185" s="6"/>
      <c r="G185" s="6"/>
      <c r="H185" s="4"/>
      <c r="I185" s="4"/>
      <c r="J185" s="4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4"/>
      <c r="W185" s="7"/>
      <c r="X185" s="7"/>
      <c r="Y185" s="7"/>
    </row>
    <row r="186">
      <c r="A186" s="4"/>
      <c r="B186" s="4"/>
      <c r="C186" s="8"/>
      <c r="D186" s="5"/>
      <c r="E186" s="6"/>
      <c r="F186" s="6"/>
      <c r="G186" s="6"/>
      <c r="H186" s="4"/>
      <c r="I186" s="4"/>
      <c r="J186" s="4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4"/>
      <c r="W186" s="7"/>
      <c r="X186" s="7"/>
      <c r="Y186" s="7"/>
    </row>
    <row r="187">
      <c r="A187" s="4"/>
      <c r="B187" s="4"/>
      <c r="C187" s="8"/>
      <c r="D187" s="5"/>
      <c r="E187" s="6"/>
      <c r="F187" s="6"/>
      <c r="G187" s="6"/>
      <c r="H187" s="4"/>
      <c r="I187" s="4"/>
      <c r="J187" s="4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4"/>
      <c r="W187" s="7"/>
      <c r="X187" s="7"/>
      <c r="Y187" s="7"/>
    </row>
    <row r="188">
      <c r="A188" s="4"/>
      <c r="B188" s="4"/>
      <c r="C188" s="8"/>
      <c r="D188" s="5"/>
      <c r="E188" s="6"/>
      <c r="F188" s="6"/>
      <c r="G188" s="6"/>
      <c r="H188" s="4"/>
      <c r="I188" s="4"/>
      <c r="J188" s="4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4"/>
      <c r="W188" s="7"/>
      <c r="X188" s="7"/>
      <c r="Y188" s="7"/>
    </row>
    <row r="189">
      <c r="A189" s="4"/>
      <c r="B189" s="4"/>
      <c r="C189" s="8"/>
      <c r="D189" s="5"/>
      <c r="E189" s="6"/>
      <c r="F189" s="6"/>
      <c r="G189" s="6"/>
      <c r="H189" s="4"/>
      <c r="I189" s="4"/>
      <c r="J189" s="4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4"/>
      <c r="W189" s="7"/>
      <c r="X189" s="7"/>
      <c r="Y189" s="7"/>
    </row>
    <row r="190">
      <c r="A190" s="4"/>
      <c r="B190" s="4"/>
      <c r="C190" s="8"/>
      <c r="D190" s="5"/>
      <c r="E190" s="6"/>
      <c r="F190" s="6"/>
      <c r="G190" s="6"/>
      <c r="H190" s="4"/>
      <c r="I190" s="4"/>
      <c r="J190" s="4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4"/>
      <c r="W190" s="7"/>
      <c r="X190" s="7"/>
      <c r="Y190" s="7"/>
    </row>
    <row r="191">
      <c r="A191" s="4"/>
      <c r="B191" s="4"/>
      <c r="C191" s="8"/>
      <c r="D191" s="5"/>
      <c r="E191" s="6"/>
      <c r="F191" s="6"/>
      <c r="G191" s="6"/>
      <c r="H191" s="4"/>
      <c r="I191" s="4"/>
      <c r="J191" s="4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4"/>
      <c r="W191" s="7"/>
      <c r="X191" s="7"/>
      <c r="Y191" s="7"/>
    </row>
    <row r="192">
      <c r="A192" s="4"/>
      <c r="B192" s="4"/>
      <c r="C192" s="8"/>
      <c r="D192" s="5"/>
      <c r="E192" s="6"/>
      <c r="F192" s="6"/>
      <c r="G192" s="6"/>
      <c r="H192" s="4"/>
      <c r="I192" s="4"/>
      <c r="J192" s="4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4"/>
      <c r="W192" s="7"/>
      <c r="X192" s="7"/>
      <c r="Y192" s="7"/>
    </row>
    <row r="193">
      <c r="A193" s="4"/>
      <c r="B193" s="4"/>
      <c r="C193" s="8"/>
      <c r="D193" s="5"/>
      <c r="E193" s="6"/>
      <c r="F193" s="6"/>
      <c r="G193" s="6"/>
      <c r="H193" s="4"/>
      <c r="I193" s="4"/>
      <c r="J193" s="4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4"/>
      <c r="W193" s="7"/>
      <c r="X193" s="7"/>
      <c r="Y193" s="7"/>
    </row>
    <row r="194">
      <c r="A194" s="4"/>
      <c r="B194" s="4"/>
      <c r="C194" s="8"/>
      <c r="D194" s="5"/>
      <c r="E194" s="6"/>
      <c r="F194" s="6"/>
      <c r="G194" s="6"/>
      <c r="H194" s="4"/>
      <c r="I194" s="4"/>
      <c r="J194" s="4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4"/>
      <c r="W194" s="7"/>
      <c r="X194" s="7"/>
      <c r="Y194" s="7"/>
    </row>
    <row r="195">
      <c r="A195" s="4"/>
      <c r="B195" s="4"/>
      <c r="C195" s="8"/>
      <c r="D195" s="5"/>
      <c r="E195" s="6"/>
      <c r="F195" s="6"/>
      <c r="G195" s="6"/>
      <c r="H195" s="4"/>
      <c r="I195" s="4"/>
      <c r="J195" s="4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4"/>
      <c r="W195" s="7"/>
      <c r="X195" s="7"/>
      <c r="Y195" s="7"/>
    </row>
    <row r="196">
      <c r="A196" s="4"/>
      <c r="B196" s="4"/>
      <c r="C196" s="8"/>
      <c r="D196" s="5"/>
      <c r="E196" s="6"/>
      <c r="F196" s="6"/>
      <c r="G196" s="6"/>
      <c r="H196" s="4"/>
      <c r="I196" s="4"/>
      <c r="J196" s="4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4"/>
      <c r="W196" s="7"/>
      <c r="X196" s="7"/>
      <c r="Y196" s="7"/>
    </row>
    <row r="197">
      <c r="A197" s="4"/>
      <c r="B197" s="4"/>
      <c r="C197" s="8"/>
      <c r="D197" s="5"/>
      <c r="E197" s="6"/>
      <c r="F197" s="6"/>
      <c r="G197" s="6"/>
      <c r="H197" s="4"/>
      <c r="I197" s="4"/>
      <c r="J197" s="4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4"/>
      <c r="W197" s="7"/>
      <c r="X197" s="7"/>
      <c r="Y197" s="7"/>
    </row>
    <row r="198">
      <c r="A198" s="4"/>
      <c r="B198" s="4"/>
      <c r="C198" s="8"/>
      <c r="D198" s="5"/>
      <c r="E198" s="6"/>
      <c r="F198" s="6"/>
      <c r="G198" s="6"/>
      <c r="H198" s="4"/>
      <c r="I198" s="4"/>
      <c r="J198" s="4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4"/>
      <c r="W198" s="7"/>
      <c r="X198" s="7"/>
      <c r="Y198" s="7"/>
    </row>
    <row r="199">
      <c r="A199" s="4"/>
      <c r="B199" s="4"/>
      <c r="C199" s="8"/>
      <c r="D199" s="5"/>
      <c r="E199" s="6"/>
      <c r="F199" s="6"/>
      <c r="G199" s="6"/>
      <c r="H199" s="4"/>
      <c r="I199" s="4"/>
      <c r="J199" s="4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4"/>
      <c r="W199" s="7"/>
      <c r="X199" s="7"/>
      <c r="Y199" s="7"/>
    </row>
    <row r="200">
      <c r="A200" s="4"/>
      <c r="B200" s="4"/>
      <c r="C200" s="8"/>
      <c r="D200" s="5"/>
      <c r="E200" s="6"/>
      <c r="F200" s="6"/>
      <c r="G200" s="6"/>
      <c r="H200" s="4"/>
      <c r="I200" s="4"/>
      <c r="J200" s="4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4"/>
      <c r="W200" s="7"/>
      <c r="X200" s="7"/>
      <c r="Y200" s="7"/>
    </row>
    <row r="201">
      <c r="A201" s="4"/>
      <c r="B201" s="4"/>
      <c r="C201" s="8"/>
      <c r="D201" s="5"/>
      <c r="E201" s="6"/>
      <c r="F201" s="6"/>
      <c r="G201" s="6"/>
      <c r="H201" s="4"/>
      <c r="I201" s="4"/>
      <c r="J201" s="4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4"/>
      <c r="B202" s="4"/>
      <c r="C202" s="8"/>
      <c r="D202" s="5"/>
      <c r="E202" s="6"/>
      <c r="F202" s="6"/>
      <c r="G202" s="6"/>
      <c r="H202" s="4"/>
      <c r="I202" s="4"/>
      <c r="J202" s="4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4"/>
      <c r="B203" s="4"/>
      <c r="C203" s="8"/>
      <c r="D203" s="5"/>
      <c r="E203" s="6"/>
      <c r="F203" s="6"/>
      <c r="G203" s="6"/>
      <c r="H203" s="4"/>
      <c r="I203" s="4"/>
      <c r="J203" s="4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4"/>
      <c r="B204" s="4"/>
      <c r="C204" s="8"/>
      <c r="D204" s="5"/>
      <c r="E204" s="6"/>
      <c r="F204" s="6"/>
      <c r="G204" s="6"/>
      <c r="H204" s="4"/>
      <c r="I204" s="4"/>
      <c r="J204" s="4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4"/>
      <c r="B205" s="4"/>
      <c r="C205" s="8"/>
      <c r="D205" s="5"/>
      <c r="E205" s="6"/>
      <c r="F205" s="6"/>
      <c r="G205" s="6"/>
      <c r="H205" s="4"/>
      <c r="I205" s="4"/>
      <c r="J205" s="4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4"/>
      <c r="B206" s="4"/>
      <c r="C206" s="8"/>
      <c r="D206" s="5"/>
      <c r="E206" s="6"/>
      <c r="F206" s="6"/>
      <c r="G206" s="6"/>
      <c r="H206" s="4"/>
      <c r="I206" s="4"/>
      <c r="J206" s="4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4"/>
      <c r="B207" s="4"/>
      <c r="C207" s="8"/>
      <c r="D207" s="5"/>
      <c r="E207" s="6"/>
      <c r="F207" s="6"/>
      <c r="G207" s="6"/>
      <c r="H207" s="4"/>
      <c r="I207" s="4"/>
      <c r="J207" s="4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4"/>
      <c r="B208" s="4"/>
      <c r="C208" s="8"/>
      <c r="D208" s="5"/>
      <c r="E208" s="6"/>
      <c r="F208" s="6"/>
      <c r="G208" s="6"/>
      <c r="H208" s="4"/>
      <c r="I208" s="4"/>
      <c r="J208" s="4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4"/>
      <c r="B209" s="4"/>
      <c r="C209" s="8"/>
      <c r="D209" s="5"/>
      <c r="E209" s="6"/>
      <c r="F209" s="6"/>
      <c r="G209" s="6"/>
      <c r="H209" s="4"/>
      <c r="I209" s="4"/>
      <c r="J209" s="4"/>
      <c r="K209" s="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4"/>
      <c r="B210" s="4"/>
      <c r="C210" s="8"/>
      <c r="D210" s="5"/>
      <c r="E210" s="6"/>
      <c r="F210" s="6"/>
      <c r="G210" s="6"/>
      <c r="H210" s="4"/>
      <c r="I210" s="4"/>
      <c r="J210" s="4"/>
      <c r="K210" s="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4"/>
      <c r="B211" s="4"/>
      <c r="C211" s="8"/>
      <c r="D211" s="5"/>
      <c r="E211" s="6"/>
      <c r="F211" s="6"/>
      <c r="G211" s="6"/>
      <c r="H211" s="4"/>
      <c r="I211" s="4"/>
      <c r="J211" s="4"/>
      <c r="K211" s="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4"/>
      <c r="B212" s="4"/>
      <c r="C212" s="8"/>
      <c r="D212" s="5"/>
      <c r="E212" s="6"/>
      <c r="F212" s="6"/>
      <c r="G212" s="6"/>
      <c r="H212" s="4"/>
      <c r="I212" s="4"/>
      <c r="J212" s="4"/>
      <c r="K212" s="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4"/>
      <c r="B213" s="4"/>
      <c r="C213" s="8"/>
      <c r="D213" s="5"/>
      <c r="E213" s="6"/>
      <c r="F213" s="6"/>
      <c r="G213" s="6"/>
      <c r="H213" s="4"/>
      <c r="I213" s="4"/>
      <c r="J213" s="4"/>
      <c r="K213" s="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4"/>
      <c r="B214" s="4"/>
      <c r="C214" s="8"/>
      <c r="D214" s="5"/>
      <c r="E214" s="6"/>
      <c r="F214" s="6"/>
      <c r="G214" s="6"/>
      <c r="H214" s="4"/>
      <c r="I214" s="4"/>
      <c r="J214" s="4"/>
      <c r="K214" s="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4"/>
      <c r="B215" s="4"/>
      <c r="C215" s="8"/>
      <c r="D215" s="5"/>
      <c r="E215" s="6"/>
      <c r="F215" s="6"/>
      <c r="G215" s="6"/>
      <c r="H215" s="4"/>
      <c r="I215" s="4"/>
      <c r="J215" s="4"/>
      <c r="K215" s="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4"/>
      <c r="B216" s="4"/>
      <c r="C216" s="8"/>
      <c r="D216" s="5"/>
      <c r="E216" s="6"/>
      <c r="F216" s="6"/>
      <c r="G216" s="6"/>
      <c r="H216" s="4"/>
      <c r="I216" s="4"/>
      <c r="J216" s="4"/>
      <c r="K216" s="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4"/>
      <c r="B217" s="4"/>
      <c r="C217" s="8"/>
      <c r="D217" s="5"/>
      <c r="E217" s="6"/>
      <c r="F217" s="6"/>
      <c r="G217" s="6"/>
      <c r="H217" s="4"/>
      <c r="I217" s="4"/>
      <c r="J217" s="4"/>
      <c r="K217" s="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4"/>
      <c r="B218" s="4"/>
      <c r="C218" s="8"/>
      <c r="D218" s="5"/>
      <c r="E218" s="6"/>
      <c r="F218" s="6"/>
      <c r="G218" s="6"/>
      <c r="H218" s="4"/>
      <c r="I218" s="4"/>
      <c r="J218" s="4"/>
      <c r="K218" s="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4"/>
      <c r="B219" s="4"/>
      <c r="C219" s="8"/>
      <c r="D219" s="5"/>
      <c r="E219" s="6"/>
      <c r="F219" s="6"/>
      <c r="G219" s="6"/>
      <c r="H219" s="4"/>
      <c r="I219" s="4"/>
      <c r="J219" s="4"/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4"/>
      <c r="B220" s="4"/>
      <c r="C220" s="8"/>
      <c r="D220" s="5"/>
      <c r="E220" s="6"/>
      <c r="F220" s="6"/>
      <c r="G220" s="6"/>
      <c r="H220" s="4"/>
      <c r="I220" s="4"/>
      <c r="J220" s="4"/>
      <c r="K220" s="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4"/>
      <c r="B221" s="4"/>
      <c r="C221" s="8"/>
      <c r="D221" s="5"/>
      <c r="E221" s="6"/>
      <c r="F221" s="6"/>
      <c r="G221" s="6"/>
      <c r="H221" s="4"/>
      <c r="I221" s="4"/>
      <c r="J221" s="4"/>
      <c r="K221" s="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4"/>
      <c r="B222" s="4"/>
      <c r="C222" s="8"/>
      <c r="D222" s="5"/>
      <c r="E222" s="6"/>
      <c r="F222" s="6"/>
      <c r="G222" s="6"/>
      <c r="H222" s="4"/>
      <c r="I222" s="4"/>
      <c r="J222" s="4"/>
      <c r="K222" s="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4"/>
      <c r="B223" s="4"/>
      <c r="C223" s="8"/>
      <c r="D223" s="5"/>
      <c r="E223" s="6"/>
      <c r="F223" s="6"/>
      <c r="G223" s="6"/>
      <c r="H223" s="4"/>
      <c r="I223" s="4"/>
      <c r="J223" s="4"/>
      <c r="K223" s="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4"/>
      <c r="B224" s="4"/>
      <c r="C224" s="8"/>
      <c r="D224" s="5"/>
      <c r="E224" s="6"/>
      <c r="F224" s="6"/>
      <c r="G224" s="6"/>
      <c r="H224" s="4"/>
      <c r="I224" s="4"/>
      <c r="J224" s="4"/>
      <c r="K224" s="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4"/>
      <c r="B225" s="4"/>
      <c r="C225" s="8"/>
      <c r="D225" s="5"/>
      <c r="E225" s="6"/>
      <c r="F225" s="6"/>
      <c r="G225" s="6"/>
      <c r="H225" s="4"/>
      <c r="I225" s="4"/>
      <c r="J225" s="4"/>
      <c r="K225" s="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4"/>
      <c r="B226" s="4"/>
      <c r="C226" s="8"/>
      <c r="D226" s="5"/>
      <c r="E226" s="6"/>
      <c r="F226" s="6"/>
      <c r="G226" s="6"/>
      <c r="H226" s="4"/>
      <c r="I226" s="4"/>
      <c r="J226" s="4"/>
      <c r="K226" s="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4"/>
      <c r="B227" s="4"/>
      <c r="C227" s="8"/>
      <c r="D227" s="5"/>
      <c r="E227" s="6"/>
      <c r="F227" s="6"/>
      <c r="G227" s="6"/>
      <c r="H227" s="4"/>
      <c r="I227" s="4"/>
      <c r="J227" s="4"/>
      <c r="K227" s="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4"/>
      <c r="B228" s="4"/>
      <c r="C228" s="8"/>
      <c r="D228" s="5"/>
      <c r="E228" s="6"/>
      <c r="F228" s="6"/>
      <c r="G228" s="6"/>
      <c r="H228" s="4"/>
      <c r="I228" s="4"/>
      <c r="J228" s="4"/>
      <c r="K228" s="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4"/>
      <c r="B229" s="4"/>
      <c r="C229" s="8"/>
      <c r="D229" s="5"/>
      <c r="E229" s="6"/>
      <c r="F229" s="6"/>
      <c r="G229" s="6"/>
      <c r="H229" s="4"/>
      <c r="I229" s="4"/>
      <c r="J229" s="4"/>
      <c r="K229" s="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4"/>
      <c r="B230" s="4"/>
      <c r="C230" s="4"/>
      <c r="D230" s="5"/>
      <c r="E230" s="6"/>
      <c r="F230" s="6"/>
      <c r="G230" s="6"/>
      <c r="H230" s="4"/>
      <c r="I230" s="4"/>
      <c r="J230" s="4"/>
      <c r="K230" s="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4"/>
      <c r="B231" s="4"/>
      <c r="C231" s="4"/>
      <c r="D231" s="5"/>
      <c r="E231" s="6"/>
      <c r="F231" s="6"/>
      <c r="G231" s="6"/>
      <c r="H231" s="4"/>
      <c r="I231" s="4"/>
      <c r="J231" s="4"/>
      <c r="K231" s="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4"/>
      <c r="B232" s="4"/>
      <c r="C232" s="4"/>
      <c r="D232" s="5"/>
      <c r="E232" s="6"/>
      <c r="F232" s="6"/>
      <c r="G232" s="6"/>
      <c r="H232" s="4"/>
      <c r="I232" s="4"/>
      <c r="J232" s="4"/>
      <c r="K232" s="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4"/>
      <c r="B233" s="4"/>
      <c r="C233" s="8"/>
      <c r="D233" s="5"/>
      <c r="E233" s="6"/>
      <c r="F233" s="6"/>
      <c r="G233" s="6"/>
      <c r="H233" s="4"/>
      <c r="I233" s="4"/>
      <c r="J233" s="4"/>
      <c r="K233" s="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4"/>
      <c r="B234" s="4"/>
      <c r="C234" s="8"/>
      <c r="D234" s="5"/>
      <c r="E234" s="6"/>
      <c r="F234" s="6"/>
      <c r="G234" s="6"/>
      <c r="H234" s="4"/>
      <c r="I234" s="4"/>
      <c r="J234" s="4"/>
      <c r="K234" s="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4"/>
      <c r="B235" s="4"/>
      <c r="C235" s="8"/>
      <c r="D235" s="5"/>
      <c r="E235" s="6"/>
      <c r="F235" s="6"/>
      <c r="G235" s="6"/>
      <c r="H235" s="4"/>
      <c r="I235" s="4"/>
      <c r="J235" s="4"/>
      <c r="K235" s="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4"/>
      <c r="B236" s="4"/>
      <c r="C236" s="8"/>
      <c r="D236" s="5"/>
      <c r="E236" s="6"/>
      <c r="F236" s="6"/>
      <c r="G236" s="6"/>
      <c r="H236" s="4"/>
      <c r="I236" s="4"/>
      <c r="J236" s="4"/>
      <c r="K236" s="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4"/>
      <c r="B237" s="4"/>
      <c r="C237" s="8"/>
      <c r="D237" s="5"/>
      <c r="E237" s="6"/>
      <c r="F237" s="6"/>
      <c r="G237" s="6"/>
      <c r="H237" s="4"/>
      <c r="I237" s="4"/>
      <c r="J237" s="4"/>
      <c r="K237" s="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4"/>
      <c r="B238" s="4"/>
      <c r="C238" s="8"/>
      <c r="D238" s="5"/>
      <c r="E238" s="6"/>
      <c r="F238" s="6"/>
      <c r="G238" s="6"/>
      <c r="H238" s="4"/>
      <c r="I238" s="4"/>
      <c r="J238" s="4"/>
      <c r="K238" s="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4"/>
      <c r="B239" s="4"/>
      <c r="C239" s="8"/>
      <c r="D239" s="5"/>
      <c r="E239" s="6"/>
      <c r="F239" s="6"/>
      <c r="G239" s="6"/>
      <c r="H239" s="4"/>
      <c r="I239" s="4"/>
      <c r="J239" s="4"/>
      <c r="K239" s="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4"/>
      <c r="B240" s="4"/>
      <c r="C240" s="8"/>
      <c r="D240" s="9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11"/>
      <c r="D241" s="9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11"/>
      <c r="D242" s="9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11"/>
      <c r="D243" s="9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11"/>
      <c r="D244" s="9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11"/>
      <c r="D245" s="9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11"/>
      <c r="D246" s="9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11"/>
      <c r="D247" s="9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11"/>
      <c r="D248" s="9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11"/>
      <c r="D249" s="9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11"/>
      <c r="D250" s="9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11"/>
      <c r="D251" s="9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11"/>
      <c r="D252" s="9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11"/>
      <c r="D253" s="9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11"/>
      <c r="D254" s="9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11"/>
      <c r="D255" s="9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11"/>
      <c r="D256" s="9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11"/>
      <c r="D257" s="9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11"/>
      <c r="D258" s="9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11"/>
      <c r="D259" s="9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11"/>
      <c r="D260" s="9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11"/>
      <c r="D261" s="9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11"/>
      <c r="D262" s="9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11"/>
      <c r="D263" s="9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11"/>
      <c r="D264" s="9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11"/>
      <c r="D265" s="9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11"/>
      <c r="D266" s="9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11"/>
      <c r="D267" s="9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11"/>
      <c r="D268" s="9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11"/>
      <c r="D269" s="9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11"/>
      <c r="D270" s="9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11"/>
      <c r="D271" s="9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11"/>
      <c r="D272" s="9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11"/>
      <c r="D273" s="9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11"/>
      <c r="D274" s="9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11"/>
      <c r="D275" s="9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11"/>
      <c r="D276" s="9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11"/>
      <c r="D277" s="9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11"/>
      <c r="D278" s="9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11"/>
      <c r="D279" s="9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11"/>
      <c r="D280" s="9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11"/>
      <c r="D281" s="9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11"/>
      <c r="D282" s="9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11"/>
      <c r="D283" s="9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11"/>
      <c r="D284" s="9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11"/>
      <c r="D285" s="9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11"/>
      <c r="D286" s="9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11"/>
      <c r="D287" s="9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11"/>
      <c r="D288" s="9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11"/>
      <c r="D289" s="9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11"/>
      <c r="D290" s="9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11"/>
      <c r="D291" s="9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11"/>
      <c r="D292" s="9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11"/>
      <c r="D293" s="9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11"/>
      <c r="D294" s="9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11"/>
      <c r="D295" s="9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11"/>
      <c r="D296" s="9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11"/>
      <c r="D297" s="9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11"/>
      <c r="D298" s="9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11"/>
      <c r="D299" s="9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11"/>
      <c r="D300" s="9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11"/>
      <c r="D301" s="9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11"/>
      <c r="D302" s="9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11"/>
      <c r="D303" s="9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11"/>
      <c r="D304" s="9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11"/>
      <c r="D305" s="9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11"/>
      <c r="D306" s="9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11"/>
      <c r="D307" s="9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11"/>
      <c r="D308" s="9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11"/>
      <c r="D309" s="9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11"/>
      <c r="D310" s="9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11"/>
      <c r="D311" s="9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11"/>
      <c r="D312" s="9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11"/>
      <c r="D313" s="9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11"/>
      <c r="D314" s="9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11"/>
      <c r="D315" s="9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11"/>
      <c r="D316" s="9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11"/>
      <c r="D317" s="9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11"/>
      <c r="D318" s="9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11"/>
      <c r="D319" s="9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11"/>
      <c r="D320" s="9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11"/>
      <c r="D321" s="9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11"/>
      <c r="D322" s="9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11"/>
      <c r="D323" s="9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11"/>
      <c r="D324" s="9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11"/>
      <c r="D325" s="9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11"/>
      <c r="D326" s="9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11"/>
      <c r="D327" s="9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11"/>
      <c r="D328" s="9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11"/>
      <c r="D329" s="9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11"/>
      <c r="D330" s="9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11"/>
      <c r="D331" s="9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11"/>
      <c r="D332" s="9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11"/>
      <c r="D333" s="9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11"/>
      <c r="D334" s="9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11"/>
      <c r="D335" s="9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11"/>
      <c r="D336" s="9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11"/>
      <c r="D337" s="9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11"/>
      <c r="D338" s="9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11"/>
      <c r="D339" s="9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11"/>
      <c r="D340" s="9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11"/>
      <c r="D341" s="9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11"/>
      <c r="D342" s="9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11"/>
      <c r="D343" s="9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11"/>
      <c r="D344" s="9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11"/>
      <c r="D345" s="9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11"/>
      <c r="D346" s="9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11"/>
      <c r="D347" s="9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11"/>
      <c r="D348" s="9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11"/>
      <c r="D349" s="9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11"/>
      <c r="D350" s="9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11"/>
      <c r="D351" s="9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11"/>
      <c r="D352" s="9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11"/>
      <c r="D353" s="9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11"/>
      <c r="D354" s="9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11"/>
      <c r="D355" s="9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11"/>
      <c r="D356" s="9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11"/>
      <c r="D357" s="9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11"/>
      <c r="D358" s="9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11"/>
      <c r="D359" s="9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11"/>
      <c r="D360" s="9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11"/>
      <c r="D361" s="9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11"/>
      <c r="D362" s="9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11"/>
      <c r="D363" s="9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11"/>
      <c r="D364" s="9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11"/>
      <c r="D365" s="9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11"/>
      <c r="D366" s="9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11"/>
      <c r="D367" s="9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11"/>
      <c r="D368" s="9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11"/>
      <c r="D369" s="9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11"/>
      <c r="D370" s="9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11"/>
      <c r="D371" s="9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11"/>
      <c r="D372" s="9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11"/>
      <c r="D373" s="9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11"/>
      <c r="D374" s="9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11"/>
      <c r="D375" s="9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11"/>
      <c r="D376" s="9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11"/>
      <c r="D377" s="9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11"/>
      <c r="D378" s="9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11"/>
      <c r="D379" s="9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11"/>
      <c r="D380" s="9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11"/>
      <c r="D381" s="9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11"/>
      <c r="D382" s="9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11"/>
      <c r="D383" s="9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11"/>
      <c r="D384" s="9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11"/>
      <c r="D385" s="9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11"/>
      <c r="D386" s="9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11"/>
      <c r="D387" s="9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11"/>
      <c r="D388" s="9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11"/>
      <c r="D389" s="9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11"/>
      <c r="D390" s="9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11"/>
      <c r="D391" s="9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11"/>
      <c r="D392" s="9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11"/>
      <c r="D393" s="9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11"/>
      <c r="D394" s="9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11"/>
      <c r="D395" s="9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11"/>
      <c r="D396" s="9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11"/>
      <c r="D397" s="9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11"/>
      <c r="D398" s="9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11"/>
      <c r="D399" s="9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11"/>
      <c r="D400" s="9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11"/>
      <c r="D401" s="9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11"/>
      <c r="D402" s="9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11"/>
      <c r="D403" s="9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11"/>
      <c r="D404" s="9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11"/>
      <c r="D405" s="9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11"/>
      <c r="D406" s="9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11"/>
      <c r="D407" s="9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11"/>
      <c r="D408" s="9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11"/>
      <c r="D409" s="9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11"/>
      <c r="D410" s="9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11"/>
      <c r="D411" s="9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11"/>
      <c r="D412" s="9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11"/>
      <c r="D413" s="9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11"/>
      <c r="D414" s="9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11"/>
      <c r="D415" s="9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11"/>
      <c r="D416" s="9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11"/>
      <c r="D417" s="9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11"/>
      <c r="D418" s="9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11"/>
      <c r="D419" s="9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11"/>
      <c r="D420" s="9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11"/>
      <c r="D421" s="9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11"/>
      <c r="D422" s="9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11"/>
      <c r="D423" s="9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11"/>
      <c r="D424" s="9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11"/>
      <c r="D425" s="9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11"/>
      <c r="D426" s="9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11"/>
      <c r="D427" s="9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11"/>
      <c r="D428" s="9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11"/>
      <c r="D429" s="9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11"/>
      <c r="D430" s="9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11"/>
      <c r="D431" s="9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11"/>
      <c r="D432" s="9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11"/>
      <c r="D433" s="9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11"/>
      <c r="D434" s="9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11"/>
      <c r="D435" s="9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11"/>
      <c r="D436" s="9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11"/>
      <c r="D437" s="9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11"/>
      <c r="D438" s="9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11"/>
      <c r="D439" s="9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11"/>
      <c r="D440" s="9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11"/>
      <c r="D441" s="9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11"/>
      <c r="D442" s="9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11"/>
      <c r="D443" s="9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11"/>
      <c r="D444" s="9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11"/>
      <c r="D445" s="9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11"/>
      <c r="D446" s="9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11"/>
      <c r="D447" s="9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11"/>
      <c r="D448" s="9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11"/>
      <c r="D449" s="9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11"/>
      <c r="D450" s="9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11"/>
      <c r="D451" s="9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11"/>
      <c r="D452" s="9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11"/>
      <c r="D453" s="9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11"/>
      <c r="D454" s="9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11"/>
      <c r="D455" s="9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11"/>
      <c r="D456" s="9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11"/>
      <c r="D457" s="9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11"/>
      <c r="D458" s="9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11"/>
      <c r="D459" s="9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11"/>
      <c r="D460" s="9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11"/>
      <c r="D461" s="9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11"/>
      <c r="D462" s="9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11"/>
      <c r="D463" s="9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11"/>
      <c r="D464" s="9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11"/>
      <c r="D465" s="9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11"/>
      <c r="D466" s="9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11"/>
      <c r="D467" s="9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11"/>
      <c r="D468" s="9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11"/>
      <c r="D469" s="9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11"/>
      <c r="D470" s="9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11"/>
      <c r="D471" s="9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11"/>
      <c r="D472" s="9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11"/>
      <c r="D473" s="9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11"/>
      <c r="D474" s="9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11"/>
      <c r="D475" s="9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11"/>
      <c r="D476" s="9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11"/>
      <c r="D477" s="9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11"/>
      <c r="D478" s="9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11"/>
      <c r="D479" s="9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11"/>
      <c r="D480" s="9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11"/>
      <c r="D481" s="9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11"/>
      <c r="D482" s="9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11"/>
      <c r="D483" s="9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11"/>
      <c r="D484" s="9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11"/>
      <c r="D485" s="9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11"/>
      <c r="D486" s="9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11"/>
      <c r="D487" s="9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11"/>
      <c r="D488" s="9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11"/>
      <c r="D489" s="9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11"/>
      <c r="D490" s="9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11"/>
      <c r="D491" s="9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11"/>
      <c r="D492" s="9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11"/>
      <c r="D493" s="9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11"/>
      <c r="D494" s="9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11"/>
      <c r="D495" s="9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11"/>
      <c r="D496" s="9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11"/>
      <c r="D497" s="9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11"/>
      <c r="D498" s="9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11"/>
      <c r="D499" s="9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11"/>
      <c r="D500" s="9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11"/>
      <c r="D501" s="9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11"/>
      <c r="D502" s="9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11"/>
      <c r="D503" s="9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11"/>
      <c r="D504" s="9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11"/>
      <c r="D505" s="9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11"/>
      <c r="D506" s="9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11"/>
      <c r="D507" s="9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11"/>
      <c r="D508" s="9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11"/>
      <c r="D509" s="9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11"/>
      <c r="D510" s="9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11"/>
      <c r="D511" s="9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11"/>
      <c r="D512" s="9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11"/>
      <c r="D513" s="9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11"/>
      <c r="D514" s="9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11"/>
      <c r="D515" s="9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11"/>
      <c r="D516" s="9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11"/>
      <c r="D517" s="9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11"/>
      <c r="D518" s="9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11"/>
      <c r="D519" s="9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11"/>
      <c r="D520" s="9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11"/>
      <c r="D521" s="9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11"/>
      <c r="D522" s="9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11"/>
      <c r="D523" s="9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11"/>
      <c r="D524" s="9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11"/>
      <c r="D525" s="9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11"/>
      <c r="D526" s="9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11"/>
      <c r="D527" s="9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11"/>
      <c r="D528" s="9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11"/>
      <c r="D529" s="9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11"/>
      <c r="D530" s="9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11"/>
      <c r="D531" s="9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11"/>
      <c r="D532" s="9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11"/>
      <c r="D533" s="9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11"/>
      <c r="D534" s="9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11"/>
      <c r="D535" s="9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11"/>
      <c r="D536" s="9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11"/>
      <c r="D537" s="9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11"/>
      <c r="D538" s="9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11"/>
      <c r="D539" s="9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11"/>
      <c r="D540" s="9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11"/>
      <c r="D541" s="9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11"/>
      <c r="D542" s="9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11"/>
      <c r="D543" s="9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11"/>
      <c r="D544" s="9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11"/>
      <c r="D545" s="9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11"/>
      <c r="D546" s="9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11"/>
      <c r="D547" s="9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11"/>
      <c r="D548" s="9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11"/>
      <c r="D549" s="9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11"/>
      <c r="D550" s="9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11"/>
      <c r="D551" s="9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11"/>
      <c r="D552" s="9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11"/>
      <c r="D553" s="9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11"/>
      <c r="D554" s="9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11"/>
      <c r="D555" s="9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11"/>
      <c r="D556" s="9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11"/>
      <c r="D557" s="9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11"/>
      <c r="D558" s="9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11"/>
      <c r="D559" s="9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11"/>
      <c r="D560" s="9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11"/>
      <c r="D561" s="9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11"/>
      <c r="D562" s="9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11"/>
      <c r="D563" s="9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11"/>
      <c r="D564" s="9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11"/>
      <c r="D565" s="9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11"/>
      <c r="D566" s="9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11"/>
      <c r="D567" s="9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11"/>
      <c r="D568" s="9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11"/>
      <c r="D569" s="9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11"/>
      <c r="D570" s="9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11"/>
      <c r="D571" s="9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11"/>
      <c r="D572" s="9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11"/>
      <c r="D573" s="9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11"/>
      <c r="D574" s="9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11"/>
      <c r="D575" s="9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11"/>
      <c r="D576" s="9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11"/>
      <c r="D577" s="9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11"/>
      <c r="D578" s="9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11"/>
      <c r="D579" s="9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11"/>
      <c r="D580" s="9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11"/>
      <c r="D581" s="9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11"/>
      <c r="D582" s="9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11"/>
      <c r="D583" s="9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11"/>
      <c r="D584" s="9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11"/>
      <c r="D585" s="9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11"/>
      <c r="D586" s="9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11"/>
      <c r="D587" s="9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11"/>
      <c r="D588" s="9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11"/>
      <c r="D589" s="9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11"/>
      <c r="D590" s="9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11"/>
      <c r="D591" s="9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11"/>
      <c r="D592" s="9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11"/>
      <c r="D593" s="9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11"/>
      <c r="D594" s="9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11"/>
      <c r="D595" s="9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11"/>
      <c r="D596" s="9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11"/>
      <c r="D597" s="9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11"/>
      <c r="D598" s="9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11"/>
      <c r="D599" s="9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11"/>
      <c r="D600" s="9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11"/>
      <c r="D601" s="9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11"/>
      <c r="D602" s="9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11"/>
      <c r="D603" s="9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11"/>
      <c r="D604" s="9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11"/>
      <c r="D605" s="9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11"/>
      <c r="D606" s="9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11"/>
      <c r="D607" s="9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11"/>
      <c r="D608" s="9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11"/>
      <c r="D609" s="9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11"/>
      <c r="D610" s="9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11"/>
      <c r="D611" s="9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11"/>
      <c r="D612" s="9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11"/>
      <c r="D613" s="9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11"/>
      <c r="D614" s="9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11"/>
      <c r="D615" s="9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11"/>
      <c r="D616" s="9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11"/>
      <c r="D617" s="9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11"/>
      <c r="D618" s="9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11"/>
      <c r="D619" s="9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11"/>
      <c r="D620" s="9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11"/>
      <c r="D621" s="9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11"/>
      <c r="D622" s="9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11"/>
      <c r="D623" s="9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11"/>
      <c r="D624" s="9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11"/>
      <c r="D625" s="9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11"/>
      <c r="D626" s="9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11"/>
      <c r="D627" s="9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11"/>
      <c r="D628" s="9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11"/>
      <c r="D629" s="9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11"/>
      <c r="D630" s="9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11"/>
      <c r="D631" s="9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11"/>
      <c r="D632" s="9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11"/>
      <c r="D633" s="9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11"/>
      <c r="D634" s="9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11"/>
      <c r="D635" s="9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11"/>
      <c r="D636" s="9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11"/>
      <c r="D637" s="9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11"/>
      <c r="D638" s="9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11"/>
      <c r="D639" s="9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11"/>
      <c r="D640" s="9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11"/>
      <c r="D641" s="9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11"/>
      <c r="D642" s="9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11"/>
      <c r="D643" s="9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11"/>
      <c r="D644" s="9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11"/>
      <c r="D645" s="9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11"/>
      <c r="D646" s="9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11"/>
      <c r="D647" s="9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11"/>
      <c r="D648" s="9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11"/>
      <c r="D649" s="9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11"/>
      <c r="D650" s="9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11"/>
      <c r="D651" s="9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11"/>
      <c r="D652" s="9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11"/>
      <c r="D653" s="9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11"/>
      <c r="D654" s="9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11"/>
      <c r="D655" s="9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11"/>
      <c r="D656" s="9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11"/>
      <c r="D657" s="9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11"/>
      <c r="D658" s="9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11"/>
      <c r="D659" s="9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11"/>
      <c r="D660" s="9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11"/>
      <c r="D661" s="9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11"/>
      <c r="D662" s="9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11"/>
      <c r="D663" s="9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11"/>
      <c r="D664" s="9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11"/>
      <c r="D665" s="9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11"/>
      <c r="D666" s="9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11"/>
      <c r="D667" s="9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11"/>
      <c r="D668" s="9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11"/>
      <c r="D669" s="9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11"/>
      <c r="D670" s="9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11"/>
      <c r="D671" s="9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11"/>
      <c r="D672" s="9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11"/>
      <c r="D673" s="9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11"/>
      <c r="D674" s="9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11"/>
      <c r="D675" s="9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11"/>
      <c r="D676" s="9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11"/>
      <c r="D677" s="9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11"/>
      <c r="D678" s="9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11"/>
      <c r="D679" s="9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11"/>
      <c r="D680" s="9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11"/>
      <c r="D681" s="9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11"/>
      <c r="D682" s="9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11"/>
      <c r="D683" s="9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11"/>
      <c r="D684" s="9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11"/>
      <c r="D685" s="9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11"/>
      <c r="D686" s="9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11"/>
      <c r="D687" s="9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11"/>
      <c r="D688" s="9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11"/>
      <c r="D689" s="9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11"/>
      <c r="D690" s="9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11"/>
      <c r="D691" s="9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11"/>
      <c r="D692" s="9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11"/>
      <c r="D693" s="9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11"/>
      <c r="D694" s="9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11"/>
      <c r="D695" s="9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11"/>
      <c r="D696" s="9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11"/>
      <c r="D697" s="9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11"/>
      <c r="D698" s="9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11"/>
      <c r="D699" s="9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11"/>
      <c r="D700" s="9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11"/>
      <c r="D701" s="9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11"/>
      <c r="D702" s="9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11"/>
      <c r="D703" s="9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11"/>
      <c r="D704" s="9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11"/>
      <c r="D705" s="9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11"/>
      <c r="D706" s="9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11"/>
      <c r="D707" s="9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11"/>
      <c r="D708" s="9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11"/>
      <c r="D709" s="9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11"/>
      <c r="D710" s="9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11"/>
      <c r="D711" s="9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11"/>
      <c r="D712" s="9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11"/>
      <c r="D713" s="9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11"/>
      <c r="D714" s="9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11"/>
      <c r="D715" s="9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11"/>
      <c r="D716" s="9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11"/>
      <c r="D717" s="9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11"/>
      <c r="D718" s="9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11"/>
      <c r="D719" s="9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11"/>
      <c r="D720" s="9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11"/>
      <c r="D721" s="9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11"/>
      <c r="D722" s="9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11"/>
      <c r="D723" s="9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11"/>
      <c r="D724" s="9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11"/>
      <c r="D725" s="9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11"/>
      <c r="D726" s="9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11"/>
      <c r="D727" s="9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11"/>
      <c r="D728" s="9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11"/>
      <c r="D729" s="9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11"/>
      <c r="D730" s="9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11"/>
      <c r="D731" s="9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11"/>
      <c r="D732" s="9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11"/>
      <c r="D733" s="9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11"/>
      <c r="D734" s="9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11"/>
      <c r="D735" s="9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11"/>
      <c r="D736" s="9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11"/>
      <c r="D737" s="9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11"/>
      <c r="D738" s="9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11"/>
      <c r="D739" s="9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11"/>
      <c r="D740" s="9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11"/>
      <c r="D741" s="9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11"/>
      <c r="D742" s="9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11"/>
      <c r="D743" s="9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11"/>
      <c r="D744" s="9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11"/>
      <c r="D745" s="9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11"/>
      <c r="D746" s="9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11"/>
      <c r="D747" s="9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11"/>
      <c r="D748" s="9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11"/>
      <c r="D749" s="9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11"/>
      <c r="D750" s="9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11"/>
      <c r="D751" s="9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11"/>
      <c r="D752" s="9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11"/>
      <c r="D753" s="9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11"/>
      <c r="D754" s="9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11"/>
      <c r="D755" s="9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11"/>
      <c r="D756" s="9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11"/>
      <c r="D757" s="9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11"/>
      <c r="D758" s="9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11"/>
      <c r="D759" s="9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11"/>
      <c r="D760" s="9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11"/>
      <c r="D761" s="9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11"/>
      <c r="D762" s="9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11"/>
      <c r="D763" s="9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11"/>
      <c r="D764" s="9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11"/>
      <c r="D765" s="9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11"/>
      <c r="D766" s="9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11"/>
      <c r="D767" s="9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11"/>
      <c r="D768" s="9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11"/>
      <c r="D769" s="9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11"/>
      <c r="D770" s="9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11"/>
      <c r="D771" s="9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11"/>
      <c r="D772" s="9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11"/>
      <c r="D773" s="9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11"/>
      <c r="D774" s="9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11"/>
      <c r="D775" s="9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11"/>
      <c r="D776" s="9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11"/>
      <c r="D777" s="9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11"/>
      <c r="D778" s="9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11"/>
      <c r="D779" s="9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11"/>
      <c r="D780" s="9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11"/>
      <c r="D781" s="9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11"/>
      <c r="D782" s="9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11"/>
      <c r="D783" s="9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11"/>
      <c r="D784" s="9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11"/>
      <c r="D785" s="9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11"/>
      <c r="D786" s="9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11"/>
      <c r="D787" s="9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11"/>
      <c r="D788" s="9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11"/>
      <c r="D789" s="9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11"/>
      <c r="D790" s="9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11"/>
      <c r="D791" s="9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11"/>
      <c r="D792" s="9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11"/>
      <c r="D793" s="9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11"/>
      <c r="D794" s="9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11"/>
      <c r="D795" s="9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11"/>
      <c r="D796" s="9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11"/>
      <c r="D797" s="9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11"/>
      <c r="D798" s="9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11"/>
      <c r="D799" s="9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11"/>
      <c r="D800" s="9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11"/>
      <c r="D801" s="9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11"/>
      <c r="D802" s="9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11"/>
      <c r="D803" s="9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11"/>
      <c r="D804" s="9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11"/>
      <c r="D805" s="9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11"/>
      <c r="D806" s="9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11"/>
      <c r="D807" s="9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11"/>
      <c r="D808" s="9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11"/>
      <c r="D809" s="9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11"/>
      <c r="D810" s="9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11"/>
      <c r="D811" s="9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11"/>
      <c r="D812" s="9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11"/>
      <c r="D813" s="9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11"/>
      <c r="D814" s="9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11"/>
      <c r="D815" s="9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11"/>
      <c r="D816" s="9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11"/>
      <c r="D817" s="9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11"/>
      <c r="D818" s="9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11"/>
      <c r="D819" s="9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11"/>
      <c r="D820" s="9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11"/>
      <c r="D821" s="9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11"/>
      <c r="D822" s="9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11"/>
      <c r="D823" s="9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11"/>
      <c r="D824" s="9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11"/>
      <c r="D825" s="9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11"/>
      <c r="D826" s="9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11"/>
      <c r="D827" s="9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11"/>
      <c r="D828" s="9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11"/>
      <c r="D829" s="9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11"/>
      <c r="D830" s="9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11"/>
      <c r="D831" s="9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11"/>
      <c r="D832" s="9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11"/>
      <c r="D833" s="9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11"/>
      <c r="D834" s="9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11"/>
      <c r="D835" s="9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11"/>
      <c r="D836" s="9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11"/>
      <c r="D837" s="9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11"/>
      <c r="D838" s="9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11"/>
      <c r="D839" s="9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11"/>
      <c r="D840" s="9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11"/>
      <c r="D841" s="9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11"/>
      <c r="D842" s="9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11"/>
      <c r="D843" s="9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11"/>
      <c r="D844" s="9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11"/>
      <c r="D845" s="9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11"/>
      <c r="D846" s="9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11"/>
      <c r="D847" s="9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11"/>
      <c r="D848" s="9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11"/>
      <c r="D849" s="9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11"/>
      <c r="D850" s="9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11"/>
      <c r="D851" s="9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11"/>
      <c r="D852" s="9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11"/>
      <c r="D853" s="9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11"/>
      <c r="D854" s="9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11"/>
      <c r="D855" s="9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11"/>
      <c r="D856" s="9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11"/>
      <c r="D857" s="9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11"/>
      <c r="D858" s="9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11"/>
      <c r="D859" s="9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11"/>
      <c r="D860" s="9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11"/>
      <c r="D861" s="9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11"/>
      <c r="D862" s="9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11"/>
      <c r="D863" s="9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11"/>
      <c r="D864" s="9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11"/>
      <c r="D865" s="9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11"/>
      <c r="D866" s="9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11"/>
      <c r="D867" s="9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11"/>
      <c r="D868" s="9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11"/>
      <c r="D869" s="9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11"/>
      <c r="D870" s="9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11"/>
      <c r="D871" s="9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11"/>
      <c r="D872" s="9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11"/>
      <c r="D873" s="9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11"/>
      <c r="D874" s="9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11"/>
      <c r="D875" s="9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11"/>
      <c r="D876" s="9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11"/>
      <c r="D877" s="9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11"/>
      <c r="D878" s="9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11"/>
      <c r="D879" s="9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11"/>
      <c r="D880" s="9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11"/>
      <c r="D881" s="9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11"/>
      <c r="D882" s="9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11"/>
      <c r="D883" s="9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11"/>
      <c r="D884" s="9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11"/>
      <c r="D885" s="9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11"/>
      <c r="D886" s="9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11"/>
      <c r="D887" s="9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11"/>
      <c r="D888" s="9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11"/>
      <c r="D889" s="9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11"/>
      <c r="D890" s="9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11"/>
      <c r="D891" s="9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11"/>
      <c r="D892" s="9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11"/>
      <c r="D893" s="9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11"/>
      <c r="D894" s="9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11"/>
      <c r="D895" s="9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11"/>
      <c r="D896" s="9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11"/>
      <c r="D897" s="9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11"/>
      <c r="D898" s="9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11"/>
      <c r="D899" s="9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11"/>
      <c r="D900" s="9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11"/>
      <c r="D901" s="9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11"/>
      <c r="D902" s="9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11"/>
      <c r="D903" s="9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11"/>
      <c r="D904" s="9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11"/>
      <c r="D905" s="9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11"/>
      <c r="D906" s="9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11"/>
      <c r="D907" s="9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11"/>
      <c r="D908" s="9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11"/>
      <c r="D909" s="9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11"/>
      <c r="D910" s="9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11"/>
      <c r="D911" s="9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11"/>
      <c r="D912" s="9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11"/>
      <c r="D913" s="9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11"/>
      <c r="D914" s="9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11"/>
      <c r="D915" s="9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11"/>
      <c r="D916" s="9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11"/>
      <c r="D917" s="9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11"/>
      <c r="D918" s="9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11"/>
      <c r="D919" s="9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11"/>
      <c r="D920" s="9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11"/>
      <c r="D921" s="9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11"/>
      <c r="D922" s="9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11"/>
      <c r="D923" s="9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11"/>
      <c r="D924" s="9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11"/>
      <c r="D925" s="9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11"/>
      <c r="D926" s="9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11"/>
      <c r="D927" s="9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11"/>
      <c r="D928" s="9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11"/>
      <c r="D929" s="9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11"/>
      <c r="D930" s="9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11"/>
      <c r="D931" s="9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11"/>
      <c r="D932" s="9"/>
      <c r="E932" s="10"/>
      <c r="F932" s="10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11"/>
      <c r="D933" s="9"/>
      <c r="E933" s="10"/>
      <c r="F933" s="10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11"/>
      <c r="D934" s="9"/>
      <c r="E934" s="10"/>
      <c r="F934" s="10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11"/>
      <c r="D935" s="9"/>
      <c r="E935" s="10"/>
      <c r="F935" s="10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11"/>
      <c r="D936" s="9"/>
      <c r="E936" s="10"/>
      <c r="F936" s="10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11"/>
      <c r="D937" s="9"/>
      <c r="E937" s="10"/>
      <c r="F937" s="10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11"/>
      <c r="D938" s="9"/>
      <c r="E938" s="10"/>
      <c r="F938" s="10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11"/>
      <c r="D939" s="9"/>
      <c r="E939" s="10"/>
      <c r="F939" s="10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11"/>
      <c r="D940" s="9"/>
      <c r="E940" s="10"/>
      <c r="F940" s="10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11"/>
      <c r="D941" s="9"/>
      <c r="E941" s="10"/>
      <c r="F941" s="10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11"/>
      <c r="D942" s="9"/>
      <c r="E942" s="10"/>
      <c r="F942" s="10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11"/>
      <c r="D943" s="9"/>
      <c r="E943" s="10"/>
      <c r="F943" s="10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11"/>
      <c r="D944" s="9"/>
      <c r="E944" s="10"/>
      <c r="F944" s="10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11"/>
      <c r="D945" s="9"/>
      <c r="E945" s="10"/>
      <c r="F945" s="10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11"/>
      <c r="D946" s="9"/>
      <c r="E946" s="10"/>
      <c r="F946" s="10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11"/>
      <c r="D947" s="9"/>
      <c r="E947" s="10"/>
      <c r="F947" s="10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11"/>
      <c r="D948" s="9"/>
      <c r="E948" s="10"/>
      <c r="F948" s="10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11"/>
      <c r="D949" s="9"/>
      <c r="E949" s="10"/>
      <c r="F949" s="10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11"/>
      <c r="D950" s="9"/>
      <c r="E950" s="10"/>
      <c r="F950" s="10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11"/>
      <c r="D951" s="9"/>
      <c r="E951" s="10"/>
      <c r="F951" s="10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11"/>
      <c r="D952" s="9"/>
      <c r="E952" s="10"/>
      <c r="F952" s="10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11"/>
      <c r="D953" s="9"/>
      <c r="E953" s="10"/>
      <c r="F953" s="10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11"/>
      <c r="D954" s="9"/>
      <c r="E954" s="10"/>
      <c r="F954" s="10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11"/>
      <c r="D955" s="9"/>
      <c r="E955" s="10"/>
      <c r="F955" s="10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11"/>
      <c r="D956" s="9"/>
      <c r="E956" s="10"/>
      <c r="F956" s="10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11"/>
      <c r="D957" s="9"/>
      <c r="E957" s="10"/>
      <c r="F957" s="10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11"/>
      <c r="D958" s="9"/>
      <c r="E958" s="10"/>
      <c r="F958" s="10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11"/>
      <c r="D959" s="9"/>
      <c r="E959" s="10"/>
      <c r="F959" s="10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11"/>
      <c r="D960" s="9"/>
      <c r="E960" s="10"/>
      <c r="F960" s="10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11"/>
      <c r="D961" s="9"/>
      <c r="E961" s="10"/>
      <c r="F961" s="10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11"/>
      <c r="D962" s="9"/>
      <c r="E962" s="10"/>
      <c r="F962" s="10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11"/>
      <c r="D963" s="9"/>
      <c r="E963" s="10"/>
      <c r="F963" s="10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11"/>
      <c r="D964" s="9"/>
      <c r="E964" s="10"/>
      <c r="F964" s="10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11"/>
      <c r="D965" s="9"/>
      <c r="E965" s="10"/>
      <c r="F965" s="10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11"/>
      <c r="D966" s="9"/>
      <c r="E966" s="10"/>
      <c r="F966" s="10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11"/>
      <c r="D967" s="9"/>
      <c r="E967" s="10"/>
      <c r="F967" s="10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11"/>
      <c r="D968" s="9"/>
      <c r="E968" s="10"/>
      <c r="F968" s="10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11"/>
      <c r="D969" s="9"/>
      <c r="E969" s="10"/>
      <c r="F969" s="10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11"/>
      <c r="D970" s="9"/>
      <c r="E970" s="10"/>
      <c r="F970" s="10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11"/>
      <c r="D971" s="9"/>
      <c r="E971" s="10"/>
      <c r="F971" s="10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11"/>
      <c r="D972" s="9"/>
      <c r="E972" s="10"/>
      <c r="F972" s="10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11"/>
      <c r="D973" s="9"/>
      <c r="E973" s="10"/>
      <c r="F973" s="10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11"/>
      <c r="D974" s="9"/>
      <c r="E974" s="10"/>
      <c r="F974" s="10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11"/>
      <c r="D975" s="9"/>
      <c r="E975" s="10"/>
      <c r="F975" s="10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11"/>
      <c r="D976" s="9"/>
      <c r="E976" s="10"/>
      <c r="F976" s="10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11"/>
      <c r="D977" s="9"/>
      <c r="E977" s="10"/>
      <c r="F977" s="10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11"/>
      <c r="D978" s="9"/>
      <c r="E978" s="10"/>
      <c r="F978" s="10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11"/>
      <c r="D979" s="9"/>
      <c r="E979" s="10"/>
      <c r="F979" s="10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11"/>
      <c r="D980" s="9"/>
      <c r="E980" s="10"/>
      <c r="F980" s="10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11"/>
      <c r="D981" s="9"/>
      <c r="E981" s="10"/>
      <c r="F981" s="10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11"/>
      <c r="D982" s="9"/>
      <c r="E982" s="10"/>
      <c r="F982" s="10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11"/>
      <c r="D983" s="9"/>
      <c r="E983" s="10"/>
      <c r="F983" s="10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11"/>
      <c r="D984" s="9"/>
      <c r="E984" s="10"/>
      <c r="F984" s="10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11"/>
      <c r="D985" s="9"/>
      <c r="E985" s="10"/>
      <c r="F985" s="10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11"/>
      <c r="D986" s="9"/>
      <c r="E986" s="10"/>
      <c r="F986" s="10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11"/>
      <c r="D987" s="9"/>
      <c r="E987" s="10"/>
      <c r="F987" s="10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11"/>
      <c r="D988" s="9"/>
      <c r="E988" s="10"/>
      <c r="F988" s="10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11"/>
      <c r="D989" s="9"/>
      <c r="E989" s="10"/>
      <c r="F989" s="10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11"/>
      <c r="D990" s="9"/>
      <c r="E990" s="10"/>
      <c r="F990" s="10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11"/>
      <c r="D991" s="9"/>
      <c r="E991" s="10"/>
      <c r="F991" s="10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11"/>
      <c r="D992" s="9"/>
      <c r="E992" s="10"/>
      <c r="F992" s="10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11"/>
      <c r="D993" s="9"/>
      <c r="E993" s="10"/>
      <c r="F993" s="10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11"/>
      <c r="D994" s="9"/>
      <c r="E994" s="10"/>
      <c r="F994" s="10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11"/>
      <c r="D995" s="9"/>
      <c r="E995" s="10"/>
      <c r="F995" s="10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11"/>
      <c r="D996" s="9"/>
      <c r="E996" s="10"/>
      <c r="F996" s="10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11"/>
      <c r="D997" s="9"/>
      <c r="E997" s="10"/>
      <c r="F997" s="10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11"/>
      <c r="D998" s="9"/>
      <c r="E998" s="10"/>
      <c r="F998" s="10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11"/>
      <c r="D999" s="9"/>
      <c r="E999" s="10"/>
      <c r="F999" s="10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11"/>
      <c r="D1000" s="9"/>
      <c r="E1000" s="10"/>
      <c r="F1000" s="10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11"/>
      <c r="D1001" s="9"/>
      <c r="E1001" s="10"/>
      <c r="F1001" s="10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8.25"/>
    <col customWidth="1" min="3" max="3" width="28.88"/>
    <col customWidth="1" hidden="1" min="4" max="4" width="7.75"/>
    <col customWidth="1" min="5" max="7" width="11.88"/>
    <col customWidth="1" hidden="1" min="8" max="8" width="8.38"/>
    <col customWidth="1" min="9" max="11" width="8.38"/>
    <col customWidth="1" hidden="1" min="12" max="12" width="9.63"/>
    <col customWidth="1" hidden="1" min="13" max="13" width="7.5"/>
    <col customWidth="1" hidden="1" min="14" max="14" width="12.63"/>
    <col customWidth="1" hidden="1" min="15" max="15" width="6.88"/>
    <col customWidth="1" hidden="1" min="16" max="16" width="12.13"/>
    <col customWidth="1" hidden="1" min="17" max="17" width="10.63"/>
    <col customWidth="1" hidden="1" min="18" max="18" width="5.5"/>
    <col customWidth="1" hidden="1" min="19" max="19" width="7.38"/>
    <col customWidth="1" hidden="1" min="20" max="20" width="6.13"/>
    <col customWidth="1" hidden="1" min="21" max="21" width="6.63"/>
    <col customWidth="1" hidden="1" min="22" max="22" width="3.5"/>
    <col customWidth="1" hidden="1" min="23" max="23" width="7.13"/>
    <col customWidth="1" hidden="1" min="24" max="24" width="7.0"/>
    <col customWidth="1" hidden="1" min="25" max="25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tr">
        <f>IFERROR(__xludf.DUMMYFUNCTION("FILTER(Master!A:Z, Master!S:S = ""X"")"),"Adventuring Gear")</f>
        <v>Adventuring Gear</v>
      </c>
      <c r="B2" s="4" t="str">
        <f>IFERROR(__xludf.DUMMYFUNCTION("""COMPUTED_VALUE"""),"Arcane Focuses")</f>
        <v>Arcane Focuses</v>
      </c>
      <c r="C2" s="4" t="str">
        <f>IFERROR(__xludf.DUMMYFUNCTION("""COMPUTED_VALUE"""),"Crystal")</f>
        <v>Crystal</v>
      </c>
      <c r="D2" s="5">
        <f>IFERROR(__xludf.DUMMYFUNCTION("""COMPUTED_VALUE"""),1.0)</f>
        <v>1</v>
      </c>
      <c r="E2" s="6">
        <f>IFERROR(__xludf.DUMMYFUNCTION("""COMPUTED_VALUE"""),10.0)</f>
        <v>10</v>
      </c>
      <c r="F2" s="6">
        <f>IFERROR(__xludf.DUMMYFUNCTION("""COMPUTED_VALUE"""),7.5)</f>
        <v>7.5</v>
      </c>
      <c r="G2" s="6">
        <f>IFERROR(__xludf.DUMMYFUNCTION("""COMPUTED_VALUE"""),15.0)</f>
        <v>15</v>
      </c>
      <c r="H2" s="4" t="str">
        <f>IFERROR(__xludf.DUMMYFUNCTION("""COMPUTED_VALUE"""),"PHB 2024")</f>
        <v>PHB 2024</v>
      </c>
      <c r="I2" s="4" t="str">
        <f>IFERROR(__xludf.DUMMYFUNCTION("""COMPUTED_VALUE"""),"x")</f>
        <v>x</v>
      </c>
      <c r="J2" s="4" t="str">
        <f>IFERROR(__xludf.DUMMYFUNCTION("""COMPUTED_VALUE"""),"x")</f>
        <v>x</v>
      </c>
      <c r="K2" s="4" t="str">
        <f>IFERROR(__xludf.DUMMYFUNCTION("""COMPUTED_VALUE"""),"x")</f>
        <v>x</v>
      </c>
      <c r="L2" s="7"/>
      <c r="M2" s="7"/>
      <c r="N2" s="7"/>
      <c r="O2" s="7"/>
      <c r="P2" s="7"/>
      <c r="Q2" s="7"/>
      <c r="R2" s="7"/>
      <c r="S2" s="7" t="str">
        <f>IFERROR(__xludf.DUMMYFUNCTION("""COMPUTED_VALUE"""),"x")</f>
        <v>x</v>
      </c>
      <c r="T2" s="4"/>
      <c r="U2" s="7" t="str">
        <f>IFERROR(__xludf.DUMMYFUNCTION("""COMPUTED_VALUE"""),"x")</f>
        <v>x</v>
      </c>
      <c r="V2" s="7"/>
      <c r="W2" s="7"/>
      <c r="X2" s="7"/>
      <c r="Y2" s="7"/>
    </row>
    <row r="3">
      <c r="A3" s="4" t="str">
        <f>IFERROR(__xludf.DUMMYFUNCTION("""COMPUTED_VALUE"""),"Adventuring Gear")</f>
        <v>Adventuring Gear</v>
      </c>
      <c r="B3" s="4" t="str">
        <f>IFERROR(__xludf.DUMMYFUNCTION("""COMPUTED_VALUE"""),"Arcane Focuses")</f>
        <v>Arcane Focuses</v>
      </c>
      <c r="C3" s="4" t="str">
        <f>IFERROR(__xludf.DUMMYFUNCTION("""COMPUTED_VALUE"""),"Orb")</f>
        <v>Orb</v>
      </c>
      <c r="D3" s="5">
        <f>IFERROR(__xludf.DUMMYFUNCTION("""COMPUTED_VALUE"""),3.0)</f>
        <v>3</v>
      </c>
      <c r="E3" s="6">
        <f>IFERROR(__xludf.DUMMYFUNCTION("""COMPUTED_VALUE"""),20.0)</f>
        <v>20</v>
      </c>
      <c r="F3" s="6">
        <f>IFERROR(__xludf.DUMMYFUNCTION("""COMPUTED_VALUE"""),15.0)</f>
        <v>15</v>
      </c>
      <c r="G3" s="6">
        <f>IFERROR(__xludf.DUMMYFUNCTION("""COMPUTED_VALUE"""),30.0)</f>
        <v>30</v>
      </c>
      <c r="H3" s="4" t="str">
        <f>IFERROR(__xludf.DUMMYFUNCTION("""COMPUTED_VALUE"""),"PHB 2024")</f>
        <v>PHB 2024</v>
      </c>
      <c r="I3" s="4"/>
      <c r="J3" s="4"/>
      <c r="K3" s="4" t="str">
        <f>IFERROR(__xludf.DUMMYFUNCTION("""COMPUTED_VALUE"""),"x")</f>
        <v>x</v>
      </c>
      <c r="L3" s="7"/>
      <c r="M3" s="7"/>
      <c r="N3" s="7"/>
      <c r="O3" s="7"/>
      <c r="P3" s="7"/>
      <c r="Q3" s="7"/>
      <c r="R3" s="7"/>
      <c r="S3" s="7" t="str">
        <f>IFERROR(__xludf.DUMMYFUNCTION("""COMPUTED_VALUE"""),"x")</f>
        <v>x</v>
      </c>
      <c r="T3" s="4"/>
      <c r="U3" s="7" t="str">
        <f>IFERROR(__xludf.DUMMYFUNCTION("""COMPUTED_VALUE"""),"x")</f>
        <v>x</v>
      </c>
      <c r="V3" s="7"/>
      <c r="W3" s="7"/>
      <c r="X3" s="7"/>
      <c r="Y3" s="7"/>
    </row>
    <row r="4">
      <c r="A4" s="4" t="str">
        <f>IFERROR(__xludf.DUMMYFUNCTION("""COMPUTED_VALUE"""),"Adventuring Gear")</f>
        <v>Adventuring Gear</v>
      </c>
      <c r="B4" s="4" t="str">
        <f>IFERROR(__xludf.DUMMYFUNCTION("""COMPUTED_VALUE"""),"Holy Symbol")</f>
        <v>Holy Symbol</v>
      </c>
      <c r="C4" s="8" t="str">
        <f>IFERROR(__xludf.DUMMYFUNCTION("""COMPUTED_VALUE"""),"Amulet (worn or held)")</f>
        <v>Amulet (worn or held)</v>
      </c>
      <c r="D4" s="5">
        <f>IFERROR(__xludf.DUMMYFUNCTION("""COMPUTED_VALUE"""),1.0)</f>
        <v>1</v>
      </c>
      <c r="E4" s="6">
        <f>IFERROR(__xludf.DUMMYFUNCTION("""COMPUTED_VALUE"""),5.0)</f>
        <v>5</v>
      </c>
      <c r="F4" s="6">
        <f>IFERROR(__xludf.DUMMYFUNCTION("""COMPUTED_VALUE"""),3.75)</f>
        <v>3.75</v>
      </c>
      <c r="G4" s="6">
        <f>IFERROR(__xludf.DUMMYFUNCTION("""COMPUTED_VALUE"""),7.5)</f>
        <v>7.5</v>
      </c>
      <c r="H4" s="4" t="str">
        <f>IFERROR(__xludf.DUMMYFUNCTION("""COMPUTED_VALUE"""),"PHB 2024")</f>
        <v>PHB 2024</v>
      </c>
      <c r="I4" s="4" t="str">
        <f>IFERROR(__xludf.DUMMYFUNCTION("""COMPUTED_VALUE"""),"x")</f>
        <v>x</v>
      </c>
      <c r="J4" s="4" t="str">
        <f>IFERROR(__xludf.DUMMYFUNCTION("""COMPUTED_VALUE"""),"x")</f>
        <v>x</v>
      </c>
      <c r="K4" s="4" t="str">
        <f>IFERROR(__xludf.DUMMYFUNCTION("""COMPUTED_VALUE"""),"x")</f>
        <v>x</v>
      </c>
      <c r="L4" s="7"/>
      <c r="M4" s="4"/>
      <c r="N4" s="7"/>
      <c r="O4" s="7" t="str">
        <f>IFERROR(__xludf.DUMMYFUNCTION("""COMPUTED_VALUE"""),"x")</f>
        <v>x</v>
      </c>
      <c r="P4" s="7"/>
      <c r="Q4" s="4"/>
      <c r="R4" s="7"/>
      <c r="S4" s="7" t="str">
        <f>IFERROR(__xludf.DUMMYFUNCTION("""COMPUTED_VALUE"""),"x")</f>
        <v>x</v>
      </c>
      <c r="T4" s="7"/>
      <c r="U4" s="7"/>
      <c r="V4" s="7"/>
      <c r="W4" s="7"/>
      <c r="X4" s="7"/>
      <c r="Y4" s="7"/>
    </row>
    <row r="5">
      <c r="A5" s="4" t="str">
        <f>IFERROR(__xludf.DUMMYFUNCTION("""COMPUTED_VALUE"""),"Adventuring Gear")</f>
        <v>Adventuring Gear</v>
      </c>
      <c r="B5" s="4" t="str">
        <f>IFERROR(__xludf.DUMMYFUNCTION("""COMPUTED_VALUE"""),"-")</f>
        <v>-</v>
      </c>
      <c r="C5" s="8" t="str">
        <f>IFERROR(__xludf.DUMMYFUNCTION("""COMPUTED_VALUE"""),"Magnifying Glass")</f>
        <v>Magnifying Glass</v>
      </c>
      <c r="D5" s="5" t="str">
        <f>IFERROR(__xludf.DUMMYFUNCTION("""COMPUTED_VALUE"""),"-")</f>
        <v>-</v>
      </c>
      <c r="E5" s="6">
        <f>IFERROR(__xludf.DUMMYFUNCTION("""COMPUTED_VALUE"""),100.0)</f>
        <v>100</v>
      </c>
      <c r="F5" s="6">
        <f>IFERROR(__xludf.DUMMYFUNCTION("""COMPUTED_VALUE"""),75.0)</f>
        <v>75</v>
      </c>
      <c r="G5" s="6">
        <f>IFERROR(__xludf.DUMMYFUNCTION("""COMPUTED_VALUE"""),150.0)</f>
        <v>150</v>
      </c>
      <c r="H5" s="4" t="str">
        <f>IFERROR(__xludf.DUMMYFUNCTION("""COMPUTED_VALUE"""),"PHB 2024")</f>
        <v>PHB 2024</v>
      </c>
      <c r="I5" s="4"/>
      <c r="J5" s="4"/>
      <c r="K5" s="4" t="str">
        <f>IFERROR(__xludf.DUMMYFUNCTION("""COMPUTED_VALUE"""),"x")</f>
        <v>x</v>
      </c>
      <c r="L5" s="7"/>
      <c r="M5" s="4"/>
      <c r="N5" s="7"/>
      <c r="O5" s="7"/>
      <c r="P5" s="7"/>
      <c r="Q5" s="4"/>
      <c r="R5" s="7"/>
      <c r="S5" s="7" t="str">
        <f>IFERROR(__xludf.DUMMYFUNCTION("""COMPUTED_VALUE"""),"x")</f>
        <v>x</v>
      </c>
      <c r="T5" s="7"/>
      <c r="U5" s="7"/>
      <c r="V5" s="7"/>
      <c r="W5" s="7"/>
      <c r="X5" s="7"/>
      <c r="Y5" s="7"/>
    </row>
    <row r="6">
      <c r="A6" s="4" t="str">
        <f>IFERROR(__xludf.DUMMYFUNCTION("""COMPUTED_VALUE"""),"Tools")</f>
        <v>Tools</v>
      </c>
      <c r="B6" s="4" t="str">
        <f>IFERROR(__xludf.DUMMYFUNCTION("""COMPUTED_VALUE"""),"Artisan's Tools")</f>
        <v>Artisan's Tools</v>
      </c>
      <c r="C6" s="8" t="str">
        <f>IFERROR(__xludf.DUMMYFUNCTION("""COMPUTED_VALUE"""),"Jeweler's Tools")</f>
        <v>Jeweler's Tools</v>
      </c>
      <c r="D6" s="5">
        <f>IFERROR(__xludf.DUMMYFUNCTION("""COMPUTED_VALUE"""),2.0)</f>
        <v>2</v>
      </c>
      <c r="E6" s="6">
        <f>IFERROR(__xludf.DUMMYFUNCTION("""COMPUTED_VALUE"""),25.0)</f>
        <v>25</v>
      </c>
      <c r="F6" s="6">
        <f>IFERROR(__xludf.DUMMYFUNCTION("""COMPUTED_VALUE"""),18.75)</f>
        <v>18.75</v>
      </c>
      <c r="G6" s="6">
        <f>IFERROR(__xludf.DUMMYFUNCTION("""COMPUTED_VALUE"""),37.5)</f>
        <v>37.5</v>
      </c>
      <c r="H6" s="4" t="str">
        <f>IFERROR(__xludf.DUMMYFUNCTION("""COMPUTED_VALUE"""),"PHB 2024")</f>
        <v>PHB 2024</v>
      </c>
      <c r="I6" s="4"/>
      <c r="J6" s="4"/>
      <c r="K6" s="4" t="str">
        <f>IFERROR(__xludf.DUMMYFUNCTION("""COMPUTED_VALUE"""),"x")</f>
        <v>x</v>
      </c>
      <c r="L6" s="7"/>
      <c r="M6" s="7"/>
      <c r="N6" s="7"/>
      <c r="O6" s="7"/>
      <c r="P6" s="7"/>
      <c r="Q6" s="7" t="str">
        <f>IFERROR(__xludf.DUMMYFUNCTION("""COMPUTED_VALUE"""),"x")</f>
        <v>x</v>
      </c>
      <c r="R6" s="7"/>
      <c r="S6" s="7" t="str">
        <f>IFERROR(__xludf.DUMMYFUNCTION("""COMPUTED_VALUE"""),"x")</f>
        <v>x</v>
      </c>
      <c r="T6" s="7"/>
      <c r="U6" s="7"/>
      <c r="V6" s="7"/>
      <c r="W6" s="4"/>
      <c r="X6" s="4"/>
      <c r="Y6" s="4"/>
    </row>
    <row r="7">
      <c r="A7" s="4"/>
      <c r="B7" s="4"/>
      <c r="C7" s="4"/>
      <c r="D7" s="5"/>
      <c r="E7" s="6"/>
      <c r="F7" s="6"/>
      <c r="G7" s="6"/>
      <c r="H7" s="4"/>
      <c r="I7" s="4"/>
      <c r="J7" s="4"/>
      <c r="K7" s="4"/>
      <c r="L7" s="7"/>
      <c r="M7" s="7"/>
      <c r="N7" s="7"/>
      <c r="O7" s="7"/>
      <c r="P7" s="7"/>
      <c r="Q7" s="4"/>
      <c r="R7" s="7"/>
      <c r="S7" s="7"/>
      <c r="T7" s="7"/>
      <c r="U7" s="7"/>
      <c r="V7" s="7"/>
      <c r="W7" s="7"/>
      <c r="X7" s="7"/>
      <c r="Y7" s="7"/>
    </row>
    <row r="8">
      <c r="A8" s="4"/>
      <c r="B8" s="4"/>
      <c r="C8" s="4"/>
      <c r="D8" s="5"/>
      <c r="E8" s="6"/>
      <c r="F8" s="6"/>
      <c r="G8" s="6"/>
      <c r="H8" s="4"/>
      <c r="I8" s="4"/>
      <c r="J8" s="4"/>
      <c r="K8" s="4"/>
      <c r="L8" s="7"/>
      <c r="M8" s="7"/>
      <c r="N8" s="7"/>
      <c r="O8" s="7"/>
      <c r="P8" s="7"/>
      <c r="Q8" s="4"/>
      <c r="R8" s="7"/>
      <c r="S8" s="7"/>
      <c r="T8" s="7"/>
      <c r="U8" s="7"/>
      <c r="V8" s="7"/>
      <c r="W8" s="7"/>
      <c r="X8" s="7"/>
      <c r="Y8" s="7"/>
    </row>
    <row r="9">
      <c r="A9" s="4"/>
      <c r="B9" s="4"/>
      <c r="C9" s="4"/>
      <c r="D9" s="5"/>
      <c r="E9" s="6"/>
      <c r="F9" s="6"/>
      <c r="G9" s="6"/>
      <c r="H9" s="4"/>
      <c r="I9" s="4"/>
      <c r="J9" s="4"/>
      <c r="K9" s="4"/>
      <c r="L9" s="7"/>
      <c r="M9" s="7"/>
      <c r="N9" s="7"/>
      <c r="O9" s="7"/>
      <c r="P9" s="7"/>
      <c r="Q9" s="7"/>
      <c r="R9" s="7"/>
      <c r="S9" s="7"/>
      <c r="T9" s="4"/>
      <c r="U9" s="7"/>
      <c r="V9" s="7"/>
      <c r="W9" s="7"/>
      <c r="X9" s="7"/>
      <c r="Y9" s="7"/>
    </row>
    <row r="10">
      <c r="A10" s="4"/>
      <c r="B10" s="4"/>
      <c r="C10" s="4"/>
      <c r="D10" s="5"/>
      <c r="E10" s="6"/>
      <c r="F10" s="6"/>
      <c r="G10" s="6"/>
      <c r="H10" s="4"/>
      <c r="I10" s="4"/>
      <c r="J10" s="4"/>
      <c r="K10" s="4"/>
      <c r="L10" s="7"/>
      <c r="M10" s="7"/>
      <c r="N10" s="7"/>
      <c r="O10" s="7"/>
      <c r="P10" s="7"/>
      <c r="Q10" s="7"/>
      <c r="R10" s="7"/>
      <c r="S10" s="4"/>
      <c r="T10" s="7"/>
      <c r="U10" s="4"/>
      <c r="V10" s="7"/>
      <c r="W10" s="7"/>
      <c r="X10" s="7"/>
      <c r="Y10" s="7"/>
    </row>
    <row r="11">
      <c r="A11" s="4"/>
      <c r="B11" s="4"/>
      <c r="C11" s="4"/>
      <c r="D11" s="5"/>
      <c r="E11" s="6"/>
      <c r="F11" s="6"/>
      <c r="G11" s="6"/>
      <c r="H11" s="4"/>
      <c r="I11" s="4"/>
      <c r="J11" s="4"/>
      <c r="K11" s="4"/>
      <c r="L11" s="7"/>
      <c r="M11" s="7"/>
      <c r="N11" s="7"/>
      <c r="O11" s="7"/>
      <c r="P11" s="7"/>
      <c r="Q11" s="7"/>
      <c r="R11" s="7"/>
      <c r="S11" s="4"/>
      <c r="T11" s="7"/>
      <c r="U11" s="4"/>
      <c r="V11" s="7"/>
      <c r="W11" s="7"/>
      <c r="X11" s="7"/>
      <c r="Y11" s="7"/>
    </row>
    <row r="12">
      <c r="A12" s="4"/>
      <c r="B12" s="4"/>
      <c r="C12" s="4"/>
      <c r="D12" s="5"/>
      <c r="E12" s="6"/>
      <c r="F12" s="6"/>
      <c r="G12" s="6"/>
      <c r="H12" s="4"/>
      <c r="I12" s="4"/>
      <c r="J12" s="4"/>
      <c r="K12" s="4"/>
      <c r="L12" s="7"/>
      <c r="M12" s="7"/>
      <c r="N12" s="7"/>
      <c r="O12" s="7"/>
      <c r="P12" s="7"/>
      <c r="Q12" s="7"/>
      <c r="R12" s="7"/>
      <c r="S12" s="7"/>
      <c r="T12" s="7"/>
      <c r="U12" s="4"/>
      <c r="V12" s="7"/>
      <c r="W12" s="7"/>
      <c r="X12" s="7"/>
      <c r="Y12" s="7"/>
    </row>
    <row r="13">
      <c r="A13" s="4"/>
      <c r="B13" s="4"/>
      <c r="C13" s="4"/>
      <c r="D13" s="5"/>
      <c r="E13" s="6"/>
      <c r="F13" s="6"/>
      <c r="G13" s="6"/>
      <c r="H13" s="4"/>
      <c r="I13" s="4"/>
      <c r="J13" s="4"/>
      <c r="K13" s="4"/>
      <c r="L13" s="7"/>
      <c r="M13" s="7"/>
      <c r="N13" s="7"/>
      <c r="O13" s="7"/>
      <c r="P13" s="7"/>
      <c r="Q13" s="7"/>
      <c r="R13" s="7"/>
      <c r="S13" s="7"/>
      <c r="T13" s="7"/>
      <c r="U13" s="4"/>
      <c r="V13" s="7"/>
      <c r="W13" s="7"/>
      <c r="X13" s="7"/>
      <c r="Y13" s="7"/>
    </row>
    <row r="14">
      <c r="A14" s="4"/>
      <c r="B14" s="4"/>
      <c r="C14" s="4"/>
      <c r="D14" s="5"/>
      <c r="E14" s="6"/>
      <c r="F14" s="6"/>
      <c r="G14" s="6"/>
      <c r="H14" s="4"/>
      <c r="I14" s="4"/>
      <c r="J14" s="4"/>
      <c r="K14" s="4"/>
      <c r="L14" s="7"/>
      <c r="M14" s="7"/>
      <c r="N14" s="7"/>
      <c r="O14" s="7"/>
      <c r="P14" s="7"/>
      <c r="Q14" s="7"/>
      <c r="R14" s="7"/>
      <c r="S14" s="7"/>
      <c r="T14" s="7"/>
      <c r="U14" s="4"/>
      <c r="V14" s="7"/>
      <c r="W14" s="7"/>
      <c r="X14" s="7"/>
      <c r="Y14" s="7"/>
    </row>
    <row r="15">
      <c r="A15" s="4"/>
      <c r="B15" s="4"/>
      <c r="C15" s="4"/>
      <c r="D15" s="5"/>
      <c r="E15" s="6"/>
      <c r="F15" s="6"/>
      <c r="G15" s="6"/>
      <c r="H15" s="4"/>
      <c r="I15" s="4"/>
      <c r="J15" s="4"/>
      <c r="K15" s="4"/>
      <c r="L15" s="7"/>
      <c r="M15" s="7"/>
      <c r="N15" s="7"/>
      <c r="O15" s="7"/>
      <c r="P15" s="7"/>
      <c r="Q15" s="4"/>
      <c r="R15" s="7"/>
      <c r="S15" s="7"/>
      <c r="T15" s="7"/>
      <c r="U15" s="7"/>
      <c r="V15" s="7"/>
      <c r="W15" s="7"/>
      <c r="X15" s="7"/>
      <c r="Y15" s="7"/>
    </row>
    <row r="16">
      <c r="A16" s="4"/>
      <c r="B16" s="4"/>
      <c r="C16" s="4"/>
      <c r="D16" s="5"/>
      <c r="E16" s="6"/>
      <c r="F16" s="6"/>
      <c r="G16" s="6"/>
      <c r="H16" s="4"/>
      <c r="I16" s="4"/>
      <c r="J16" s="4"/>
      <c r="K16" s="4"/>
      <c r="L16" s="4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4"/>
      <c r="B17" s="4"/>
      <c r="C17" s="4"/>
      <c r="D17" s="5"/>
      <c r="E17" s="6"/>
      <c r="F17" s="6"/>
      <c r="G17" s="6"/>
      <c r="H17" s="4"/>
      <c r="I17" s="4"/>
      <c r="J17" s="4"/>
      <c r="K17" s="4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</row>
    <row r="18">
      <c r="A18" s="4"/>
      <c r="B18" s="4"/>
      <c r="C18" s="4"/>
      <c r="D18" s="5"/>
      <c r="E18" s="6"/>
      <c r="F18" s="6"/>
      <c r="G18" s="6"/>
      <c r="H18" s="4"/>
      <c r="I18" s="4"/>
      <c r="J18" s="4"/>
      <c r="K18" s="4"/>
      <c r="L18" s="7"/>
      <c r="M18" s="7"/>
      <c r="N18" s="7"/>
      <c r="O18" s="7"/>
      <c r="P18" s="7"/>
      <c r="Q18" s="7"/>
      <c r="R18" s="4"/>
      <c r="S18" s="7"/>
      <c r="T18" s="7"/>
      <c r="U18" s="7"/>
      <c r="V18" s="7"/>
      <c r="W18" s="7"/>
      <c r="X18" s="7"/>
      <c r="Y18" s="7"/>
    </row>
    <row r="19">
      <c r="A19" s="4"/>
      <c r="B19" s="4"/>
      <c r="C19" s="4"/>
      <c r="D19" s="5"/>
      <c r="E19" s="6"/>
      <c r="F19" s="6"/>
      <c r="G19" s="6"/>
      <c r="H19" s="4"/>
      <c r="I19" s="4"/>
      <c r="J19" s="4"/>
      <c r="K19" s="4"/>
      <c r="L19" s="7"/>
      <c r="M19" s="7"/>
      <c r="N19" s="7"/>
      <c r="O19" s="7"/>
      <c r="P19" s="7"/>
      <c r="Q19" s="4"/>
      <c r="R19" s="7"/>
      <c r="S19" s="7"/>
      <c r="T19" s="7"/>
      <c r="U19" s="7"/>
      <c r="V19" s="7"/>
      <c r="W19" s="7"/>
      <c r="X19" s="7"/>
      <c r="Y19" s="7"/>
    </row>
    <row r="20">
      <c r="A20" s="4"/>
      <c r="B20" s="4"/>
      <c r="C20" s="4"/>
      <c r="D20" s="5"/>
      <c r="E20" s="6"/>
      <c r="F20" s="6"/>
      <c r="G20" s="6"/>
      <c r="H20" s="4"/>
      <c r="I20" s="4"/>
      <c r="J20" s="4"/>
      <c r="K20" s="4"/>
      <c r="L20" s="4"/>
      <c r="M20" s="7"/>
      <c r="N20" s="7"/>
      <c r="O20" s="4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4"/>
      <c r="B21" s="4"/>
      <c r="C21" s="4"/>
      <c r="D21" s="5"/>
      <c r="E21" s="6"/>
      <c r="F21" s="6"/>
      <c r="G21" s="6"/>
      <c r="H21" s="4"/>
      <c r="I21" s="4"/>
      <c r="J21" s="4"/>
      <c r="K21" s="4"/>
      <c r="L21" s="7"/>
      <c r="M21" s="7"/>
      <c r="N21" s="7"/>
      <c r="O21" s="4"/>
      <c r="P21" s="4"/>
      <c r="Q21" s="4"/>
      <c r="R21" s="7"/>
      <c r="S21" s="7"/>
      <c r="T21" s="7"/>
      <c r="U21" s="7"/>
      <c r="V21" s="7"/>
      <c r="W21" s="7"/>
      <c r="X21" s="7"/>
      <c r="Y21" s="7"/>
    </row>
    <row r="22">
      <c r="A22" s="4"/>
      <c r="B22" s="4"/>
      <c r="C22" s="4"/>
      <c r="D22" s="5"/>
      <c r="E22" s="6"/>
      <c r="F22" s="6"/>
      <c r="G22" s="6"/>
      <c r="H22" s="4"/>
      <c r="I22" s="4"/>
      <c r="J22" s="4"/>
      <c r="K22" s="4"/>
      <c r="L22" s="4"/>
      <c r="M22" s="7"/>
      <c r="N22" s="7"/>
      <c r="O22" s="7"/>
      <c r="P22" s="7"/>
      <c r="Q22" s="4"/>
      <c r="R22" s="7"/>
      <c r="S22" s="7"/>
      <c r="T22" s="7"/>
      <c r="U22" s="7"/>
      <c r="V22" s="7"/>
      <c r="W22" s="7"/>
      <c r="X22" s="7"/>
      <c r="Y22" s="7"/>
    </row>
    <row r="23">
      <c r="A23" s="4"/>
      <c r="B23" s="4"/>
      <c r="C23" s="4"/>
      <c r="D23" s="5"/>
      <c r="E23" s="6"/>
      <c r="F23" s="6"/>
      <c r="G23" s="6"/>
      <c r="H23" s="4"/>
      <c r="I23" s="4"/>
      <c r="J23" s="4"/>
      <c r="K23" s="4"/>
      <c r="L23" s="7"/>
      <c r="M23" s="7"/>
      <c r="N23" s="7"/>
      <c r="O23" s="4"/>
      <c r="P23" s="7"/>
      <c r="Q23" s="7"/>
      <c r="R23" s="7"/>
      <c r="S23" s="7"/>
      <c r="T23" s="7"/>
      <c r="U23" s="4"/>
      <c r="V23" s="7"/>
      <c r="W23" s="7"/>
      <c r="X23" s="7"/>
      <c r="Y23" s="7"/>
    </row>
    <row r="24">
      <c r="A24" s="4"/>
      <c r="B24" s="4"/>
      <c r="C24" s="4"/>
      <c r="D24" s="5"/>
      <c r="E24" s="6"/>
      <c r="F24" s="6"/>
      <c r="G24" s="6"/>
      <c r="H24" s="4"/>
      <c r="I24" s="4"/>
      <c r="J24" s="4"/>
      <c r="K24" s="4"/>
      <c r="L24" s="7"/>
      <c r="M24" s="7"/>
      <c r="N24" s="7"/>
      <c r="O24" s="7"/>
      <c r="P24" s="4"/>
      <c r="Q24" s="4"/>
      <c r="R24" s="7"/>
      <c r="S24" s="7"/>
      <c r="T24" s="7"/>
      <c r="U24" s="4"/>
      <c r="V24" s="7"/>
      <c r="W24" s="7"/>
      <c r="X24" s="7"/>
      <c r="Y24" s="7"/>
    </row>
    <row r="25">
      <c r="A25" s="4"/>
      <c r="B25" s="4"/>
      <c r="C25" s="4"/>
      <c r="D25" s="5"/>
      <c r="E25" s="6"/>
      <c r="F25" s="6"/>
      <c r="G25" s="6"/>
      <c r="H25" s="4"/>
      <c r="I25" s="4"/>
      <c r="J25" s="4"/>
      <c r="K25" s="4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</row>
    <row r="26">
      <c r="A26" s="4"/>
      <c r="B26" s="4"/>
      <c r="C26" s="4"/>
      <c r="D26" s="5"/>
      <c r="E26" s="6"/>
      <c r="F26" s="6"/>
      <c r="G26" s="6"/>
      <c r="H26" s="4"/>
      <c r="I26" s="4"/>
      <c r="J26" s="4"/>
      <c r="K26" s="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4"/>
      <c r="X26" s="7"/>
      <c r="Y26" s="7"/>
    </row>
    <row r="27">
      <c r="A27" s="4"/>
      <c r="B27" s="4"/>
      <c r="C27" s="4"/>
      <c r="D27" s="5"/>
      <c r="E27" s="6"/>
      <c r="F27" s="6"/>
      <c r="G27" s="6"/>
      <c r="H27" s="4"/>
      <c r="I27" s="4"/>
      <c r="J27" s="4"/>
      <c r="K27" s="4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4"/>
      <c r="X27" s="7"/>
      <c r="Y27" s="7"/>
    </row>
    <row r="28">
      <c r="A28" s="4"/>
      <c r="B28" s="4"/>
      <c r="C28" s="4"/>
      <c r="D28" s="5"/>
      <c r="E28" s="6"/>
      <c r="F28" s="6"/>
      <c r="G28" s="6"/>
      <c r="H28" s="4"/>
      <c r="I28" s="4"/>
      <c r="J28" s="4"/>
      <c r="K28" s="4"/>
      <c r="L28" s="7"/>
      <c r="M28" s="7"/>
      <c r="N28" s="7"/>
      <c r="O28" s="4"/>
      <c r="P28" s="4"/>
      <c r="Q28" s="4"/>
      <c r="R28" s="7"/>
      <c r="S28" s="7"/>
      <c r="T28" s="7"/>
      <c r="U28" s="4"/>
      <c r="V28" s="7"/>
      <c r="W28" s="7"/>
      <c r="X28" s="7"/>
      <c r="Y28" s="7"/>
    </row>
    <row r="29">
      <c r="A29" s="4"/>
      <c r="B29" s="4"/>
      <c r="C29" s="4"/>
      <c r="D29" s="5"/>
      <c r="E29" s="6"/>
      <c r="F29" s="6"/>
      <c r="G29" s="6"/>
      <c r="H29" s="4"/>
      <c r="I29" s="4"/>
      <c r="J29" s="4"/>
      <c r="K29" s="4"/>
      <c r="L29" s="7"/>
      <c r="M29" s="4"/>
      <c r="N29" s="7"/>
      <c r="O29" s="7"/>
      <c r="P29" s="7"/>
      <c r="Q29" s="4"/>
      <c r="R29" s="7"/>
      <c r="S29" s="7"/>
      <c r="T29" s="7"/>
      <c r="U29" s="7"/>
      <c r="V29" s="7"/>
      <c r="W29" s="7"/>
      <c r="X29" s="7"/>
      <c r="Y29" s="7"/>
    </row>
    <row r="30">
      <c r="A30" s="4"/>
      <c r="B30" s="4"/>
      <c r="C30" s="8"/>
      <c r="D30" s="5"/>
      <c r="E30" s="6"/>
      <c r="F30" s="6"/>
      <c r="G30" s="6"/>
      <c r="H30" s="4"/>
      <c r="I30" s="4"/>
      <c r="J30" s="4"/>
      <c r="K30" s="4"/>
      <c r="L30" s="7"/>
      <c r="M30" s="7"/>
      <c r="N30" s="7"/>
      <c r="O30" s="4"/>
      <c r="P30" s="7"/>
      <c r="Q30" s="4"/>
      <c r="R30" s="7"/>
      <c r="S30" s="7"/>
      <c r="T30" s="7"/>
      <c r="U30" s="4"/>
      <c r="V30" s="7"/>
      <c r="W30" s="7"/>
      <c r="X30" s="7"/>
      <c r="Y30" s="7"/>
    </row>
    <row r="31">
      <c r="A31" s="4"/>
      <c r="B31" s="4"/>
      <c r="C31" s="8"/>
      <c r="D31" s="5"/>
      <c r="E31" s="6"/>
      <c r="F31" s="6"/>
      <c r="G31" s="6"/>
      <c r="H31" s="4"/>
      <c r="I31" s="4"/>
      <c r="J31" s="4"/>
      <c r="K31" s="4"/>
      <c r="L31" s="4"/>
      <c r="M31" s="7"/>
      <c r="N31" s="7"/>
      <c r="O31" s="7"/>
      <c r="P31" s="7"/>
      <c r="Q31" s="4"/>
      <c r="R31" s="7"/>
      <c r="S31" s="7"/>
      <c r="T31" s="7"/>
      <c r="U31" s="7"/>
      <c r="V31" s="7"/>
      <c r="W31" s="7"/>
      <c r="X31" s="7"/>
      <c r="Y31" s="7"/>
    </row>
    <row r="32">
      <c r="A32" s="4"/>
      <c r="B32" s="4"/>
      <c r="C32" s="8"/>
      <c r="D32" s="5"/>
      <c r="E32" s="6"/>
      <c r="F32" s="6"/>
      <c r="G32" s="6"/>
      <c r="H32" s="4"/>
      <c r="I32" s="4"/>
      <c r="J32" s="4"/>
      <c r="K32" s="4"/>
      <c r="L32" s="7"/>
      <c r="M32" s="7"/>
      <c r="N32" s="7"/>
      <c r="O32" s="7"/>
      <c r="P32" s="4"/>
      <c r="Q32" s="4"/>
      <c r="R32" s="7"/>
      <c r="S32" s="7"/>
      <c r="T32" s="7"/>
      <c r="U32" s="7"/>
      <c r="V32" s="7"/>
      <c r="W32" s="7"/>
      <c r="X32" s="7"/>
      <c r="Y32" s="7"/>
    </row>
    <row r="33">
      <c r="A33" s="4"/>
      <c r="B33" s="4"/>
      <c r="C33" s="8"/>
      <c r="D33" s="5"/>
      <c r="E33" s="6"/>
      <c r="F33" s="6"/>
      <c r="G33" s="6"/>
      <c r="H33" s="4"/>
      <c r="I33" s="4"/>
      <c r="J33" s="4"/>
      <c r="K33" s="4"/>
      <c r="L33" s="7"/>
      <c r="M33" s="7"/>
      <c r="N33" s="7"/>
      <c r="O33" s="7"/>
      <c r="P33" s="7"/>
      <c r="Q33" s="4"/>
      <c r="R33" s="7"/>
      <c r="S33" s="7"/>
      <c r="T33" s="7"/>
      <c r="U33" s="7"/>
      <c r="V33" s="7"/>
      <c r="W33" s="7"/>
      <c r="X33" s="7"/>
      <c r="Y33" s="7"/>
    </row>
    <row r="34">
      <c r="A34" s="4"/>
      <c r="B34" s="4"/>
      <c r="C34" s="8"/>
      <c r="D34" s="5"/>
      <c r="E34" s="6"/>
      <c r="F34" s="6"/>
      <c r="G34" s="6"/>
      <c r="H34" s="4"/>
      <c r="I34" s="4"/>
      <c r="J34" s="4"/>
      <c r="K34" s="4"/>
      <c r="L34" s="7"/>
      <c r="M34" s="7"/>
      <c r="N34" s="7"/>
      <c r="O34" s="7"/>
      <c r="P34" s="4"/>
      <c r="Q34" s="7"/>
      <c r="R34" s="4"/>
      <c r="S34" s="7"/>
      <c r="T34" s="7"/>
      <c r="U34" s="7"/>
      <c r="V34" s="7"/>
      <c r="W34" s="7"/>
      <c r="X34" s="7"/>
      <c r="Y34" s="7"/>
    </row>
    <row r="35">
      <c r="A35" s="4"/>
      <c r="B35" s="4"/>
      <c r="C35" s="8"/>
      <c r="D35" s="5"/>
      <c r="E35" s="6"/>
      <c r="F35" s="6"/>
      <c r="G35" s="6"/>
      <c r="H35" s="4"/>
      <c r="I35" s="4"/>
      <c r="J35" s="4"/>
      <c r="K35" s="4"/>
      <c r="L35" s="7"/>
      <c r="M35" s="7"/>
      <c r="N35" s="7"/>
      <c r="O35" s="7"/>
      <c r="P35" s="7"/>
      <c r="Q35" s="4"/>
      <c r="R35" s="4"/>
      <c r="S35" s="7"/>
      <c r="T35" s="7"/>
      <c r="U35" s="7"/>
      <c r="V35" s="7"/>
      <c r="W35" s="7"/>
      <c r="X35" s="7"/>
      <c r="Y35" s="7"/>
    </row>
    <row r="36">
      <c r="A36" s="4"/>
      <c r="B36" s="4"/>
      <c r="C36" s="8"/>
      <c r="D36" s="5"/>
      <c r="E36" s="6"/>
      <c r="F36" s="6"/>
      <c r="G36" s="6"/>
      <c r="H36" s="4"/>
      <c r="I36" s="4"/>
      <c r="J36" s="4"/>
      <c r="K36" s="4"/>
      <c r="L36" s="7"/>
      <c r="M36" s="7"/>
      <c r="N36" s="7"/>
      <c r="O36" s="7"/>
      <c r="P36" s="7"/>
      <c r="Q36" s="7"/>
      <c r="R36" s="4"/>
      <c r="S36" s="7"/>
      <c r="T36" s="4"/>
      <c r="U36" s="4"/>
      <c r="V36" s="7"/>
      <c r="W36" s="7"/>
      <c r="X36" s="7"/>
      <c r="Y36" s="7"/>
    </row>
    <row r="37">
      <c r="A37" s="4"/>
      <c r="B37" s="4"/>
      <c r="C37" s="8"/>
      <c r="D37" s="5"/>
      <c r="E37" s="6"/>
      <c r="F37" s="6"/>
      <c r="G37" s="6"/>
      <c r="H37" s="4"/>
      <c r="I37" s="4"/>
      <c r="J37" s="4"/>
      <c r="K37" s="4"/>
      <c r="L37" s="7"/>
      <c r="M37" s="7"/>
      <c r="N37" s="7"/>
      <c r="O37" s="7"/>
      <c r="P37" s="7"/>
      <c r="Q37" s="7"/>
      <c r="R37" s="4"/>
      <c r="S37" s="7"/>
      <c r="T37" s="7"/>
      <c r="U37" s="7"/>
      <c r="V37" s="7"/>
      <c r="W37" s="4"/>
      <c r="X37" s="7"/>
      <c r="Y37" s="7"/>
    </row>
    <row r="38">
      <c r="A38" s="4"/>
      <c r="B38" s="4"/>
      <c r="C38" s="8"/>
      <c r="D38" s="5"/>
      <c r="E38" s="6"/>
      <c r="F38" s="6"/>
      <c r="G38" s="6"/>
      <c r="H38" s="4"/>
      <c r="I38" s="4"/>
      <c r="J38" s="4"/>
      <c r="K38" s="4"/>
      <c r="L38" s="4"/>
      <c r="M38" s="7"/>
      <c r="N38" s="7"/>
      <c r="O38" s="7"/>
      <c r="P38" s="7"/>
      <c r="Q38" s="4"/>
      <c r="R38" s="7"/>
      <c r="S38" s="7"/>
      <c r="T38" s="7"/>
      <c r="U38" s="7"/>
      <c r="V38" s="7"/>
      <c r="W38" s="4"/>
      <c r="X38" s="7"/>
      <c r="Y38" s="7"/>
    </row>
    <row r="39">
      <c r="A39" s="4"/>
      <c r="B39" s="4"/>
      <c r="C39" s="8"/>
      <c r="D39" s="5"/>
      <c r="E39" s="6"/>
      <c r="F39" s="6"/>
      <c r="G39" s="6"/>
      <c r="H39" s="4"/>
      <c r="I39" s="4"/>
      <c r="J39" s="4"/>
      <c r="K39" s="4"/>
      <c r="L39" s="7"/>
      <c r="M39" s="7"/>
      <c r="N39" s="7"/>
      <c r="O39" s="4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4"/>
      <c r="B40" s="8"/>
      <c r="C40" s="4"/>
      <c r="D40" s="5"/>
      <c r="E40" s="6"/>
      <c r="F40" s="6"/>
      <c r="G40" s="6"/>
      <c r="H40" s="4"/>
      <c r="I40" s="4"/>
      <c r="J40" s="4"/>
      <c r="K40" s="4"/>
      <c r="L40" s="7"/>
      <c r="M40" s="7"/>
      <c r="N40" s="7"/>
      <c r="O40" s="7"/>
      <c r="P40" s="7"/>
      <c r="Q40" s="7"/>
      <c r="R40" s="7"/>
      <c r="S40" s="7"/>
      <c r="T40" s="7"/>
      <c r="U40" s="4"/>
      <c r="V40" s="7"/>
      <c r="W40" s="7"/>
      <c r="X40" s="7"/>
      <c r="Y40" s="7"/>
    </row>
    <row r="41">
      <c r="A41" s="4"/>
      <c r="B41" s="8"/>
      <c r="C41" s="8"/>
      <c r="D41" s="5"/>
      <c r="E41" s="6"/>
      <c r="F41" s="6"/>
      <c r="G41" s="6"/>
      <c r="H41" s="4"/>
      <c r="I41" s="4"/>
      <c r="J41" s="4"/>
      <c r="K41" s="4"/>
      <c r="L41" s="7"/>
      <c r="M41" s="7"/>
      <c r="N41" s="7"/>
      <c r="O41" s="7"/>
      <c r="P41" s="7"/>
      <c r="Q41" s="7"/>
      <c r="R41" s="7"/>
      <c r="S41" s="7"/>
      <c r="T41" s="7"/>
      <c r="U41" s="4"/>
      <c r="V41" s="7"/>
      <c r="W41" s="7"/>
      <c r="X41" s="7"/>
      <c r="Y41" s="7"/>
    </row>
    <row r="42">
      <c r="A42" s="4"/>
      <c r="B42" s="8"/>
      <c r="C42" s="8"/>
      <c r="D42" s="5"/>
      <c r="E42" s="6"/>
      <c r="F42" s="6"/>
      <c r="G42" s="6"/>
      <c r="H42" s="4"/>
      <c r="I42" s="4"/>
      <c r="J42" s="4"/>
      <c r="K42" s="4"/>
      <c r="L42" s="7"/>
      <c r="M42" s="7"/>
      <c r="N42" s="7"/>
      <c r="O42" s="7"/>
      <c r="P42" s="7"/>
      <c r="Q42" s="7"/>
      <c r="R42" s="7"/>
      <c r="S42" s="7"/>
      <c r="T42" s="7"/>
      <c r="U42" s="4"/>
      <c r="V42" s="7"/>
      <c r="W42" s="7"/>
      <c r="X42" s="7"/>
      <c r="Y42" s="7"/>
    </row>
    <row r="43">
      <c r="A43" s="4"/>
      <c r="B43" s="4"/>
      <c r="C43" s="8"/>
      <c r="D43" s="5"/>
      <c r="E43" s="6"/>
      <c r="F43" s="6"/>
      <c r="G43" s="6"/>
      <c r="H43" s="4"/>
      <c r="I43" s="4"/>
      <c r="J43" s="4"/>
      <c r="K43" s="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4"/>
      <c r="B44" s="4"/>
      <c r="C44" s="8"/>
      <c r="D44" s="5"/>
      <c r="E44" s="6"/>
      <c r="F44" s="6"/>
      <c r="G44" s="6"/>
      <c r="H44" s="4"/>
      <c r="I44" s="4"/>
      <c r="J44" s="4"/>
      <c r="K44" s="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4"/>
      <c r="B45" s="4"/>
      <c r="C45" s="8"/>
      <c r="D45" s="5"/>
      <c r="E45" s="6"/>
      <c r="F45" s="6"/>
      <c r="G45" s="6"/>
      <c r="H45" s="4"/>
      <c r="I45" s="4"/>
      <c r="J45" s="4"/>
      <c r="K45" s="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4"/>
      <c r="B46" s="4"/>
      <c r="C46" s="8"/>
      <c r="D46" s="5"/>
      <c r="E46" s="6"/>
      <c r="F46" s="6"/>
      <c r="G46" s="6"/>
      <c r="H46" s="4"/>
      <c r="I46" s="4"/>
      <c r="J46" s="4"/>
      <c r="K46" s="4"/>
      <c r="L46" s="7"/>
      <c r="M46" s="7"/>
      <c r="N46" s="7"/>
      <c r="O46" s="4"/>
      <c r="P46" s="4"/>
      <c r="Q46" s="4"/>
      <c r="R46" s="7"/>
      <c r="S46" s="7"/>
      <c r="T46" s="4"/>
      <c r="U46" s="7"/>
      <c r="V46" s="7"/>
      <c r="W46" s="7"/>
      <c r="X46" s="7"/>
      <c r="Y46" s="7"/>
    </row>
    <row r="47">
      <c r="A47" s="4"/>
      <c r="B47" s="4"/>
      <c r="C47" s="8"/>
      <c r="D47" s="5"/>
      <c r="E47" s="6"/>
      <c r="F47" s="6"/>
      <c r="G47" s="6"/>
      <c r="H47" s="4"/>
      <c r="I47" s="4"/>
      <c r="J47" s="4"/>
      <c r="K47" s="4"/>
      <c r="L47" s="4"/>
      <c r="M47" s="7"/>
      <c r="N47" s="7"/>
      <c r="O47" s="7"/>
      <c r="P47" s="7"/>
      <c r="Q47" s="4"/>
      <c r="R47" s="7"/>
      <c r="S47" s="7"/>
      <c r="T47" s="7"/>
      <c r="U47" s="7"/>
      <c r="V47" s="7"/>
      <c r="W47" s="4"/>
      <c r="X47" s="7"/>
      <c r="Y47" s="7"/>
    </row>
    <row r="48">
      <c r="A48" s="4"/>
      <c r="B48" s="4"/>
      <c r="C48" s="8"/>
      <c r="D48" s="5"/>
      <c r="E48" s="6"/>
      <c r="F48" s="6"/>
      <c r="G48" s="6"/>
      <c r="H48" s="4"/>
      <c r="I48" s="4"/>
      <c r="J48" s="4"/>
      <c r="K48" s="4"/>
      <c r="L48" s="7"/>
      <c r="M48" s="7"/>
      <c r="N48" s="7"/>
      <c r="O48" s="4"/>
      <c r="P48" s="7"/>
      <c r="Q48" s="4"/>
      <c r="R48" s="7"/>
      <c r="S48" s="7"/>
      <c r="T48" s="7"/>
      <c r="U48" s="7"/>
      <c r="V48" s="7"/>
      <c r="W48" s="7"/>
      <c r="X48" s="7"/>
      <c r="Y48" s="7"/>
    </row>
    <row r="49">
      <c r="A49" s="4"/>
      <c r="B49" s="4"/>
      <c r="C49" s="8"/>
      <c r="D49" s="5"/>
      <c r="E49" s="6"/>
      <c r="F49" s="6"/>
      <c r="G49" s="6"/>
      <c r="H49" s="4"/>
      <c r="I49" s="4"/>
      <c r="J49" s="4"/>
      <c r="K49" s="4"/>
      <c r="L49" s="7"/>
      <c r="M49" s="7"/>
      <c r="N49" s="7"/>
      <c r="O49" s="4"/>
      <c r="P49" s="7"/>
      <c r="Q49" s="7"/>
      <c r="R49" s="7"/>
      <c r="S49" s="4"/>
      <c r="T49" s="7"/>
      <c r="U49" s="7"/>
      <c r="V49" s="7"/>
      <c r="W49" s="7"/>
      <c r="X49" s="7"/>
      <c r="Y49" s="7"/>
    </row>
    <row r="50">
      <c r="A50" s="4"/>
      <c r="B50" s="4"/>
      <c r="C50" s="8"/>
      <c r="D50" s="5"/>
      <c r="E50" s="6"/>
      <c r="F50" s="6"/>
      <c r="G50" s="6"/>
      <c r="H50" s="4"/>
      <c r="I50" s="4"/>
      <c r="J50" s="4"/>
      <c r="K50" s="4"/>
      <c r="L50" s="7"/>
      <c r="M50" s="7"/>
      <c r="N50" s="7"/>
      <c r="O50" s="4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4"/>
      <c r="B51" s="4"/>
      <c r="C51" s="8"/>
      <c r="D51" s="5"/>
      <c r="E51" s="6"/>
      <c r="F51" s="6"/>
      <c r="G51" s="6"/>
      <c r="H51" s="4"/>
      <c r="I51" s="4"/>
      <c r="J51" s="4"/>
      <c r="K51" s="4"/>
      <c r="L51" s="7"/>
      <c r="M51" s="7"/>
      <c r="N51" s="7"/>
      <c r="O51" s="4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4"/>
      <c r="B52" s="4"/>
      <c r="C52" s="8"/>
      <c r="D52" s="5"/>
      <c r="E52" s="6"/>
      <c r="F52" s="6"/>
      <c r="G52" s="6"/>
      <c r="H52" s="4"/>
      <c r="I52" s="4"/>
      <c r="J52" s="4"/>
      <c r="K52" s="4"/>
      <c r="L52" s="7"/>
      <c r="M52" s="7"/>
      <c r="N52" s="7"/>
      <c r="O52" s="4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4"/>
      <c r="B53" s="4"/>
      <c r="C53" s="8"/>
      <c r="D53" s="5"/>
      <c r="E53" s="6"/>
      <c r="F53" s="6"/>
      <c r="G53" s="6"/>
      <c r="H53" s="4"/>
      <c r="I53" s="4"/>
      <c r="J53" s="4"/>
      <c r="K53" s="4"/>
      <c r="L53" s="4"/>
      <c r="M53" s="7"/>
      <c r="N53" s="7"/>
      <c r="O53" s="7"/>
      <c r="P53" s="7"/>
      <c r="Q53" s="4"/>
      <c r="R53" s="7"/>
      <c r="S53" s="7"/>
      <c r="T53" s="7"/>
      <c r="U53" s="7"/>
      <c r="V53" s="7"/>
      <c r="W53" s="7"/>
      <c r="X53" s="7"/>
      <c r="Y53" s="7"/>
    </row>
    <row r="54">
      <c r="A54" s="4"/>
      <c r="B54" s="4"/>
      <c r="C54" s="8"/>
      <c r="D54" s="5"/>
      <c r="E54" s="6"/>
      <c r="F54" s="6"/>
      <c r="G54" s="6"/>
      <c r="H54" s="4"/>
      <c r="I54" s="4"/>
      <c r="J54" s="4"/>
      <c r="K54" s="4"/>
      <c r="L54" s="7"/>
      <c r="M54" s="7"/>
      <c r="N54" s="7"/>
      <c r="O54" s="4"/>
      <c r="P54" s="4"/>
      <c r="Q54" s="4"/>
      <c r="R54" s="7"/>
      <c r="S54" s="7"/>
      <c r="T54" s="7"/>
      <c r="U54" s="4"/>
      <c r="V54" s="7"/>
      <c r="W54" s="4"/>
      <c r="X54" s="7"/>
      <c r="Y54" s="7"/>
    </row>
    <row r="55">
      <c r="A55" s="4"/>
      <c r="B55" s="4"/>
      <c r="C55" s="8"/>
      <c r="D55" s="5"/>
      <c r="E55" s="6"/>
      <c r="F55" s="6"/>
      <c r="G55" s="6"/>
      <c r="H55" s="4"/>
      <c r="I55" s="4"/>
      <c r="J55" s="4"/>
      <c r="K55" s="4"/>
      <c r="L55" s="7"/>
      <c r="M55" s="7"/>
      <c r="N55" s="7"/>
      <c r="O55" s="4"/>
      <c r="P55" s="4"/>
      <c r="Q55" s="4"/>
      <c r="R55" s="7"/>
      <c r="S55" s="7"/>
      <c r="T55" s="7"/>
      <c r="U55" s="4"/>
      <c r="V55" s="7"/>
      <c r="W55" s="4"/>
      <c r="X55" s="7"/>
      <c r="Y55" s="7"/>
    </row>
    <row r="56">
      <c r="A56" s="4"/>
      <c r="B56" s="4"/>
      <c r="C56" s="8"/>
      <c r="D56" s="5"/>
      <c r="E56" s="6"/>
      <c r="F56" s="6"/>
      <c r="G56" s="6"/>
      <c r="H56" s="4"/>
      <c r="I56" s="4"/>
      <c r="J56" s="4"/>
      <c r="K56" s="4"/>
      <c r="L56" s="7"/>
      <c r="M56" s="7"/>
      <c r="N56" s="7"/>
      <c r="O56" s="7"/>
      <c r="P56" s="4"/>
      <c r="Q56" s="4"/>
      <c r="R56" s="7"/>
      <c r="S56" s="7"/>
      <c r="T56" s="7"/>
      <c r="U56" s="7"/>
      <c r="V56" s="7"/>
      <c r="W56" s="7"/>
      <c r="X56" s="7"/>
      <c r="Y56" s="7"/>
    </row>
    <row r="57">
      <c r="A57" s="4"/>
      <c r="B57" s="4"/>
      <c r="C57" s="8"/>
      <c r="D57" s="5"/>
      <c r="E57" s="6"/>
      <c r="F57" s="6"/>
      <c r="G57" s="6"/>
      <c r="H57" s="4"/>
      <c r="I57" s="4"/>
      <c r="J57" s="4"/>
      <c r="K57" s="4"/>
      <c r="L57" s="7"/>
      <c r="M57" s="7"/>
      <c r="N57" s="7"/>
      <c r="O57" s="7"/>
      <c r="P57" s="4"/>
      <c r="Q57" s="4"/>
      <c r="R57" s="7"/>
      <c r="S57" s="7"/>
      <c r="T57" s="7"/>
      <c r="U57" s="7"/>
      <c r="V57" s="7"/>
      <c r="W57" s="7"/>
      <c r="X57" s="7"/>
      <c r="Y57" s="7"/>
    </row>
    <row r="58">
      <c r="A58" s="4"/>
      <c r="B58" s="4"/>
      <c r="C58" s="8"/>
      <c r="D58" s="5"/>
      <c r="E58" s="6"/>
      <c r="F58" s="6"/>
      <c r="G58" s="6"/>
      <c r="H58" s="4"/>
      <c r="I58" s="4"/>
      <c r="J58" s="4"/>
      <c r="K58" s="4"/>
      <c r="L58" s="4"/>
      <c r="M58" s="7"/>
      <c r="N58" s="7"/>
      <c r="O58" s="4"/>
      <c r="P58" s="4"/>
      <c r="Q58" s="7"/>
      <c r="R58" s="7"/>
      <c r="S58" s="7"/>
      <c r="T58" s="7"/>
      <c r="U58" s="7"/>
      <c r="V58" s="7"/>
      <c r="W58" s="7"/>
      <c r="X58" s="7"/>
      <c r="Y58" s="7"/>
    </row>
    <row r="59">
      <c r="A59" s="4"/>
      <c r="B59" s="4"/>
      <c r="C59" s="8"/>
      <c r="D59" s="5"/>
      <c r="E59" s="6"/>
      <c r="F59" s="6"/>
      <c r="G59" s="6"/>
      <c r="H59" s="4"/>
      <c r="I59" s="4"/>
      <c r="J59" s="4"/>
      <c r="K59" s="4"/>
      <c r="L59" s="4"/>
      <c r="M59" s="7"/>
      <c r="N59" s="7"/>
      <c r="O59" s="7"/>
      <c r="P59" s="7"/>
      <c r="Q59" s="4"/>
      <c r="R59" s="7"/>
      <c r="S59" s="7"/>
      <c r="T59" s="7"/>
      <c r="U59" s="7"/>
      <c r="V59" s="7"/>
      <c r="W59" s="4"/>
      <c r="X59" s="7"/>
      <c r="Y59" s="7"/>
    </row>
    <row r="60">
      <c r="A60" s="4"/>
      <c r="B60" s="4"/>
      <c r="C60" s="8"/>
      <c r="D60" s="5"/>
      <c r="E60" s="6"/>
      <c r="F60" s="6"/>
      <c r="G60" s="6"/>
      <c r="H60" s="4"/>
      <c r="I60" s="4"/>
      <c r="J60" s="4"/>
      <c r="K60" s="4"/>
      <c r="L60" s="4"/>
      <c r="M60" s="7"/>
      <c r="N60" s="7"/>
      <c r="O60" s="4"/>
      <c r="P60" s="4"/>
      <c r="Q60" s="4"/>
      <c r="R60" s="7"/>
      <c r="S60" s="7"/>
      <c r="T60" s="7"/>
      <c r="U60" s="7"/>
      <c r="V60" s="7"/>
      <c r="W60" s="7"/>
      <c r="X60" s="7"/>
      <c r="Y60" s="7"/>
    </row>
    <row r="61">
      <c r="A61" s="4"/>
      <c r="B61" s="4"/>
      <c r="C61" s="8"/>
      <c r="D61" s="5"/>
      <c r="E61" s="6"/>
      <c r="F61" s="6"/>
      <c r="G61" s="6"/>
      <c r="H61" s="4"/>
      <c r="I61" s="4"/>
      <c r="J61" s="4"/>
      <c r="K61" s="4"/>
      <c r="L61" s="4"/>
      <c r="M61" s="7"/>
      <c r="N61" s="7"/>
      <c r="O61" s="7"/>
      <c r="P61" s="4"/>
      <c r="Q61" s="4"/>
      <c r="R61" s="7"/>
      <c r="S61" s="7"/>
      <c r="T61" s="7"/>
      <c r="U61" s="7"/>
      <c r="V61" s="7"/>
      <c r="W61" s="4"/>
      <c r="X61" s="7"/>
      <c r="Y61" s="7"/>
    </row>
    <row r="62">
      <c r="A62" s="4"/>
      <c r="B62" s="4"/>
      <c r="C62" s="8"/>
      <c r="D62" s="5"/>
      <c r="E62" s="6"/>
      <c r="F62" s="6"/>
      <c r="G62" s="6"/>
      <c r="H62" s="4"/>
      <c r="I62" s="4"/>
      <c r="J62" s="4"/>
      <c r="K62" s="4"/>
      <c r="L62" s="7"/>
      <c r="M62" s="7"/>
      <c r="N62" s="7"/>
      <c r="O62" s="4"/>
      <c r="P62" s="7"/>
      <c r="Q62" s="7"/>
      <c r="R62" s="7"/>
      <c r="S62" s="4"/>
      <c r="T62" s="7"/>
      <c r="U62" s="7"/>
      <c r="V62" s="7"/>
      <c r="W62" s="7"/>
      <c r="X62" s="7"/>
      <c r="Y62" s="7"/>
    </row>
    <row r="63">
      <c r="A63" s="4"/>
      <c r="B63" s="4"/>
      <c r="C63" s="8"/>
      <c r="D63" s="5"/>
      <c r="E63" s="6"/>
      <c r="F63" s="6"/>
      <c r="G63" s="6"/>
      <c r="H63" s="4"/>
      <c r="I63" s="4"/>
      <c r="J63" s="4"/>
      <c r="K63" s="4"/>
      <c r="L63" s="4"/>
      <c r="M63" s="7"/>
      <c r="N63" s="7"/>
      <c r="O63" s="7"/>
      <c r="P63" s="7"/>
      <c r="Q63" s="7"/>
      <c r="R63" s="7"/>
      <c r="S63" s="7"/>
      <c r="T63" s="7"/>
      <c r="U63" s="7"/>
      <c r="V63" s="7"/>
      <c r="W63" s="4"/>
      <c r="X63" s="7"/>
      <c r="Y63" s="7"/>
    </row>
    <row r="64">
      <c r="A64" s="4"/>
      <c r="B64" s="4"/>
      <c r="C64" s="8"/>
      <c r="D64" s="5"/>
      <c r="E64" s="6"/>
      <c r="F64" s="6"/>
      <c r="G64" s="6"/>
      <c r="H64" s="4"/>
      <c r="I64" s="4"/>
      <c r="J64" s="4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4"/>
      <c r="B65" s="4"/>
      <c r="C65" s="8"/>
      <c r="D65" s="5"/>
      <c r="E65" s="6"/>
      <c r="F65" s="6"/>
      <c r="G65" s="6"/>
      <c r="H65" s="4"/>
      <c r="I65" s="4"/>
      <c r="J65" s="4"/>
      <c r="K65" s="4"/>
      <c r="L65" s="4"/>
      <c r="M65" s="7"/>
      <c r="N65" s="7"/>
      <c r="O65" s="7"/>
      <c r="P65" s="4"/>
      <c r="Q65" s="4"/>
      <c r="R65" s="7"/>
      <c r="S65" s="7"/>
      <c r="T65" s="7"/>
      <c r="U65" s="7"/>
      <c r="V65" s="7"/>
      <c r="W65" s="7"/>
      <c r="X65" s="7"/>
      <c r="Y65" s="7"/>
    </row>
    <row r="66">
      <c r="A66" s="4"/>
      <c r="B66" s="4"/>
      <c r="C66" s="8"/>
      <c r="D66" s="5"/>
      <c r="E66" s="6"/>
      <c r="F66" s="6"/>
      <c r="G66" s="6"/>
      <c r="H66" s="4"/>
      <c r="I66" s="4"/>
      <c r="J66" s="4"/>
      <c r="K66" s="4"/>
      <c r="L66" s="7"/>
      <c r="M66" s="7"/>
      <c r="N66" s="7"/>
      <c r="O66" s="7"/>
      <c r="P66" s="4"/>
      <c r="Q66" s="7"/>
      <c r="R66" s="7"/>
      <c r="S66" s="7"/>
      <c r="T66" s="7"/>
      <c r="U66" s="7"/>
      <c r="V66" s="7"/>
      <c r="W66" s="7"/>
      <c r="X66" s="7"/>
      <c r="Y66" s="7"/>
    </row>
    <row r="67">
      <c r="A67" s="4"/>
      <c r="B67" s="4"/>
      <c r="C67" s="8"/>
      <c r="D67" s="5"/>
      <c r="E67" s="6"/>
      <c r="F67" s="6"/>
      <c r="G67" s="6"/>
      <c r="H67" s="4"/>
      <c r="I67" s="4"/>
      <c r="J67" s="4"/>
      <c r="K67" s="4"/>
      <c r="L67" s="7"/>
      <c r="M67" s="7"/>
      <c r="N67" s="7"/>
      <c r="O67" s="4"/>
      <c r="P67" s="7"/>
      <c r="Q67" s="7"/>
      <c r="R67" s="7"/>
      <c r="S67" s="7"/>
      <c r="T67" s="4"/>
      <c r="U67" s="7"/>
      <c r="V67" s="7"/>
      <c r="W67" s="4"/>
      <c r="X67" s="7"/>
      <c r="Y67" s="7"/>
    </row>
    <row r="68">
      <c r="A68" s="4"/>
      <c r="B68" s="4"/>
      <c r="C68" s="8"/>
      <c r="D68" s="5"/>
      <c r="E68" s="6"/>
      <c r="F68" s="6"/>
      <c r="G68" s="6"/>
      <c r="H68" s="4"/>
      <c r="I68" s="4"/>
      <c r="J68" s="4"/>
      <c r="K68" s="4"/>
      <c r="L68" s="7"/>
      <c r="M68" s="7"/>
      <c r="N68" s="7"/>
      <c r="O68" s="4"/>
      <c r="P68" s="4"/>
      <c r="Q68" s="4"/>
      <c r="R68" s="7"/>
      <c r="S68" s="7"/>
      <c r="T68" s="7"/>
      <c r="U68" s="4"/>
      <c r="V68" s="7"/>
      <c r="W68" s="7"/>
      <c r="X68" s="7"/>
      <c r="Y68" s="7"/>
    </row>
    <row r="69">
      <c r="A69" s="4"/>
      <c r="B69" s="4"/>
      <c r="C69" s="8"/>
      <c r="D69" s="5"/>
      <c r="E69" s="6"/>
      <c r="F69" s="6"/>
      <c r="G69" s="6"/>
      <c r="H69" s="4"/>
      <c r="I69" s="4"/>
      <c r="J69" s="4"/>
      <c r="K69" s="4"/>
      <c r="L69" s="7"/>
      <c r="M69" s="7"/>
      <c r="N69" s="7"/>
      <c r="O69" s="4"/>
      <c r="P69" s="4"/>
      <c r="Q69" s="4"/>
      <c r="R69" s="7"/>
      <c r="S69" s="7"/>
      <c r="T69" s="7"/>
      <c r="U69" s="4"/>
      <c r="V69" s="7"/>
      <c r="W69" s="7"/>
      <c r="X69" s="7"/>
      <c r="Y69" s="7"/>
    </row>
    <row r="70">
      <c r="A70" s="4"/>
      <c r="B70" s="4"/>
      <c r="C70" s="8"/>
      <c r="D70" s="5"/>
      <c r="E70" s="6"/>
      <c r="F70" s="6"/>
      <c r="G70" s="6"/>
      <c r="H70" s="4"/>
      <c r="I70" s="4"/>
      <c r="J70" s="4"/>
      <c r="K70" s="4"/>
      <c r="L70" s="7"/>
      <c r="M70" s="7"/>
      <c r="N70" s="7"/>
      <c r="O70" s="4"/>
      <c r="P70" s="7"/>
      <c r="Q70" s="7"/>
      <c r="R70" s="7"/>
      <c r="S70" s="7"/>
      <c r="T70" s="4"/>
      <c r="U70" s="7"/>
      <c r="V70" s="7"/>
      <c r="W70" s="7"/>
      <c r="X70" s="7"/>
      <c r="Y70" s="7"/>
    </row>
    <row r="71">
      <c r="A71" s="4"/>
      <c r="B71" s="4"/>
      <c r="C71" s="8"/>
      <c r="D71" s="5"/>
      <c r="E71" s="6"/>
      <c r="F71" s="6"/>
      <c r="G71" s="6"/>
      <c r="H71" s="4"/>
      <c r="I71" s="4"/>
      <c r="J71" s="4"/>
      <c r="K71" s="4"/>
      <c r="L71" s="7"/>
      <c r="M71" s="7"/>
      <c r="N71" s="7"/>
      <c r="O71" s="7"/>
      <c r="P71" s="7"/>
      <c r="Q71" s="7"/>
      <c r="R71" s="7"/>
      <c r="S71" s="7"/>
      <c r="T71" s="4"/>
      <c r="U71" s="7"/>
      <c r="V71" s="7"/>
      <c r="W71" s="4"/>
      <c r="X71" s="7"/>
      <c r="Y71" s="7"/>
    </row>
    <row r="72">
      <c r="A72" s="4"/>
      <c r="B72" s="4"/>
      <c r="C72" s="8"/>
      <c r="D72" s="5"/>
      <c r="E72" s="6"/>
      <c r="F72" s="6"/>
      <c r="G72" s="6"/>
      <c r="H72" s="4"/>
      <c r="I72" s="4"/>
      <c r="J72" s="4"/>
      <c r="K72" s="4"/>
      <c r="L72" s="7"/>
      <c r="M72" s="7"/>
      <c r="N72" s="7"/>
      <c r="O72" s="7"/>
      <c r="P72" s="7"/>
      <c r="Q72" s="4"/>
      <c r="R72" s="7"/>
      <c r="S72" s="7"/>
      <c r="T72" s="7"/>
      <c r="U72" s="7"/>
      <c r="V72" s="7"/>
      <c r="W72" s="7"/>
      <c r="X72" s="7"/>
      <c r="Y72" s="7"/>
    </row>
    <row r="73">
      <c r="A73" s="4"/>
      <c r="B73" s="4"/>
      <c r="C73" s="8"/>
      <c r="D73" s="5"/>
      <c r="E73" s="6"/>
      <c r="F73" s="6"/>
      <c r="G73" s="6"/>
      <c r="H73" s="4"/>
      <c r="I73" s="4"/>
      <c r="J73" s="4"/>
      <c r="K73" s="4"/>
      <c r="L73" s="4"/>
      <c r="M73" s="7"/>
      <c r="N73" s="7"/>
      <c r="O73" s="7"/>
      <c r="P73" s="4"/>
      <c r="Q73" s="4"/>
      <c r="R73" s="7"/>
      <c r="S73" s="7"/>
      <c r="T73" s="7"/>
      <c r="U73" s="7"/>
      <c r="V73" s="7"/>
      <c r="W73" s="7"/>
      <c r="X73" s="7"/>
      <c r="Y73" s="7"/>
    </row>
    <row r="74">
      <c r="A74" s="4"/>
      <c r="B74" s="4"/>
      <c r="C74" s="8"/>
      <c r="D74" s="5"/>
      <c r="E74" s="6"/>
      <c r="F74" s="6"/>
      <c r="G74" s="6"/>
      <c r="H74" s="4"/>
      <c r="I74" s="4"/>
      <c r="J74" s="4"/>
      <c r="K74" s="4"/>
      <c r="L74" s="7"/>
      <c r="M74" s="7"/>
      <c r="N74" s="7"/>
      <c r="O74" s="4"/>
      <c r="P74" s="7"/>
      <c r="Q74" s="7"/>
      <c r="R74" s="7"/>
      <c r="S74" s="7"/>
      <c r="T74" s="4"/>
      <c r="U74" s="7"/>
      <c r="V74" s="7"/>
      <c r="W74" s="7"/>
      <c r="X74" s="7"/>
      <c r="Y74" s="7"/>
    </row>
    <row r="75">
      <c r="A75" s="4"/>
      <c r="B75" s="4"/>
      <c r="C75" s="8"/>
      <c r="D75" s="5"/>
      <c r="E75" s="6"/>
      <c r="F75" s="6"/>
      <c r="G75" s="6"/>
      <c r="H75" s="4"/>
      <c r="I75" s="4"/>
      <c r="J75" s="4"/>
      <c r="K75" s="4"/>
      <c r="L75" s="7"/>
      <c r="M75" s="7"/>
      <c r="N75" s="7"/>
      <c r="O75" s="7"/>
      <c r="P75" s="4"/>
      <c r="Q75" s="4"/>
      <c r="R75" s="4"/>
      <c r="S75" s="7"/>
      <c r="T75" s="4"/>
      <c r="U75" s="4"/>
      <c r="V75" s="7"/>
      <c r="W75" s="4"/>
      <c r="X75" s="4"/>
      <c r="Y75" s="4"/>
    </row>
    <row r="76">
      <c r="A76" s="4"/>
      <c r="B76" s="4"/>
      <c r="C76" s="8"/>
      <c r="D76" s="5"/>
      <c r="E76" s="6"/>
      <c r="F76" s="6"/>
      <c r="G76" s="6"/>
      <c r="H76" s="4"/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4"/>
      <c r="B77" s="4"/>
      <c r="C77" s="8"/>
      <c r="D77" s="5"/>
      <c r="E77" s="6"/>
      <c r="F77" s="6"/>
      <c r="G77" s="6"/>
      <c r="H77" s="4"/>
      <c r="I77" s="4"/>
      <c r="J77" s="4"/>
      <c r="K77" s="4"/>
      <c r="L77" s="7"/>
      <c r="M77" s="4"/>
      <c r="N77" s="7"/>
      <c r="O77" s="7"/>
      <c r="P77" s="7"/>
      <c r="Q77" s="4"/>
      <c r="R77" s="7"/>
      <c r="S77" s="7"/>
      <c r="T77" s="7"/>
      <c r="U77" s="7"/>
      <c r="V77" s="7"/>
      <c r="W77" s="7"/>
      <c r="X77" s="7"/>
      <c r="Y77" s="7"/>
    </row>
    <row r="78">
      <c r="A78" s="4"/>
      <c r="B78" s="4"/>
      <c r="C78" s="8"/>
      <c r="D78" s="5"/>
      <c r="E78" s="6"/>
      <c r="F78" s="6"/>
      <c r="G78" s="6"/>
      <c r="H78" s="4"/>
      <c r="I78" s="4"/>
      <c r="J78" s="4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"/>
      <c r="X78" s="7"/>
      <c r="Y78" s="7"/>
    </row>
    <row r="79">
      <c r="A79" s="4"/>
      <c r="B79" s="4"/>
      <c r="C79" s="8"/>
      <c r="D79" s="5"/>
      <c r="E79" s="6"/>
      <c r="F79" s="6"/>
      <c r="G79" s="6"/>
      <c r="H79" s="4"/>
      <c r="I79" s="4"/>
      <c r="J79" s="4"/>
      <c r="K79" s="4"/>
      <c r="L79" s="7"/>
      <c r="M79" s="7"/>
      <c r="N79" s="7"/>
      <c r="O79" s="4"/>
      <c r="P79" s="7"/>
      <c r="Q79" s="4"/>
      <c r="R79" s="4"/>
      <c r="S79" s="7"/>
      <c r="T79" s="7"/>
      <c r="U79" s="4"/>
      <c r="V79" s="7"/>
      <c r="W79" s="7"/>
      <c r="X79" s="7"/>
      <c r="Y79" s="7"/>
    </row>
    <row r="80">
      <c r="A80" s="4"/>
      <c r="B80" s="4"/>
      <c r="C80" s="8"/>
      <c r="D80" s="5"/>
      <c r="E80" s="6"/>
      <c r="F80" s="6"/>
      <c r="G80" s="6"/>
      <c r="H80" s="4"/>
      <c r="I80" s="4"/>
      <c r="J80" s="4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4"/>
      <c r="B81" s="4"/>
      <c r="C81" s="8"/>
      <c r="D81" s="5"/>
      <c r="E81" s="6"/>
      <c r="F81" s="6"/>
      <c r="G81" s="6"/>
      <c r="H81" s="4"/>
      <c r="I81" s="4"/>
      <c r="J81" s="4"/>
      <c r="K81" s="4"/>
      <c r="L81" s="7"/>
      <c r="M81" s="7"/>
      <c r="N81" s="7"/>
      <c r="O81" s="7"/>
      <c r="P81" s="4"/>
      <c r="Q81" s="4"/>
      <c r="R81" s="7"/>
      <c r="S81" s="7"/>
      <c r="T81" s="7"/>
      <c r="U81" s="7"/>
      <c r="V81" s="7"/>
      <c r="W81" s="4"/>
      <c r="X81" s="7"/>
      <c r="Y81" s="7"/>
    </row>
    <row r="82">
      <c r="A82" s="4"/>
      <c r="B82" s="4"/>
      <c r="C82" s="8"/>
      <c r="D82" s="5"/>
      <c r="E82" s="6"/>
      <c r="F82" s="6"/>
      <c r="G82" s="6"/>
      <c r="H82" s="4"/>
      <c r="I82" s="4"/>
      <c r="J82" s="4"/>
      <c r="K82" s="4"/>
      <c r="L82" s="7"/>
      <c r="M82" s="7"/>
      <c r="N82" s="7"/>
      <c r="O82" s="7"/>
      <c r="P82" s="4"/>
      <c r="Q82" s="4"/>
      <c r="R82" s="4"/>
      <c r="S82" s="7"/>
      <c r="T82" s="7"/>
      <c r="U82" s="7"/>
      <c r="V82" s="7"/>
      <c r="W82" s="7"/>
      <c r="X82" s="7"/>
      <c r="Y82" s="7"/>
    </row>
    <row r="83">
      <c r="A83" s="4"/>
      <c r="B83" s="4"/>
      <c r="C83" s="8"/>
      <c r="D83" s="5"/>
      <c r="E83" s="6"/>
      <c r="F83" s="6"/>
      <c r="G83" s="6"/>
      <c r="H83" s="4"/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4"/>
      <c r="B84" s="4"/>
      <c r="C84" s="8"/>
      <c r="D84" s="5"/>
      <c r="E84" s="6"/>
      <c r="F84" s="6"/>
      <c r="G84" s="6"/>
      <c r="H84" s="4"/>
      <c r="I84" s="4"/>
      <c r="J84" s="4"/>
      <c r="K84" s="4"/>
      <c r="L84" s="7"/>
      <c r="M84" s="7"/>
      <c r="N84" s="7"/>
      <c r="O84" s="7"/>
      <c r="P84" s="4"/>
      <c r="Q84" s="4"/>
      <c r="R84" s="7"/>
      <c r="S84" s="7"/>
      <c r="T84" s="7"/>
      <c r="U84" s="7"/>
      <c r="V84" s="7"/>
      <c r="W84" s="7"/>
      <c r="X84" s="7"/>
      <c r="Y84" s="7"/>
    </row>
    <row r="85">
      <c r="A85" s="4"/>
      <c r="B85" s="4"/>
      <c r="C85" s="8"/>
      <c r="D85" s="5"/>
      <c r="E85" s="6"/>
      <c r="F85" s="6"/>
      <c r="G85" s="6"/>
      <c r="H85" s="4"/>
      <c r="I85" s="4"/>
      <c r="J85" s="4"/>
      <c r="K85" s="4"/>
      <c r="L85" s="7"/>
      <c r="M85" s="7"/>
      <c r="N85" s="7"/>
      <c r="O85" s="7"/>
      <c r="P85" s="7"/>
      <c r="Q85" s="4"/>
      <c r="R85" s="7"/>
      <c r="S85" s="7"/>
      <c r="T85" s="7"/>
      <c r="U85" s="7"/>
      <c r="V85" s="7"/>
      <c r="W85" s="7"/>
      <c r="X85" s="7"/>
      <c r="Y85" s="7"/>
    </row>
    <row r="86">
      <c r="A86" s="4"/>
      <c r="B86" s="4"/>
      <c r="C86" s="8"/>
      <c r="D86" s="5"/>
      <c r="E86" s="6"/>
      <c r="F86" s="6"/>
      <c r="G86" s="6"/>
      <c r="H86" s="4"/>
      <c r="I86" s="4"/>
      <c r="J86" s="4"/>
      <c r="K86" s="4"/>
      <c r="L86" s="7"/>
      <c r="M86" s="7"/>
      <c r="N86" s="7"/>
      <c r="O86" s="7"/>
      <c r="P86" s="7"/>
      <c r="Q86" s="7"/>
      <c r="R86" s="7"/>
      <c r="S86" s="7"/>
      <c r="T86" s="7"/>
      <c r="U86" s="4"/>
      <c r="V86" s="7"/>
      <c r="W86" s="7"/>
      <c r="X86" s="7"/>
      <c r="Y86" s="7"/>
    </row>
    <row r="87">
      <c r="A87" s="4"/>
      <c r="B87" s="4"/>
      <c r="C87" s="8"/>
      <c r="D87" s="5"/>
      <c r="E87" s="6"/>
      <c r="F87" s="6"/>
      <c r="G87" s="6"/>
      <c r="H87" s="4"/>
      <c r="I87" s="4"/>
      <c r="J87" s="4"/>
      <c r="K87" s="4"/>
      <c r="L87" s="7"/>
      <c r="M87" s="7"/>
      <c r="N87" s="7"/>
      <c r="O87" s="7"/>
      <c r="P87" s="7"/>
      <c r="Q87" s="7"/>
      <c r="R87" s="7"/>
      <c r="S87" s="7"/>
      <c r="T87" s="7"/>
      <c r="U87" s="4"/>
      <c r="V87" s="7"/>
      <c r="W87" s="7"/>
      <c r="X87" s="7"/>
      <c r="Y87" s="7"/>
    </row>
    <row r="88">
      <c r="A88" s="4"/>
      <c r="B88" s="4"/>
      <c r="C88" s="8"/>
      <c r="D88" s="5"/>
      <c r="E88" s="6"/>
      <c r="F88" s="6"/>
      <c r="G88" s="6"/>
      <c r="H88" s="4"/>
      <c r="I88" s="4"/>
      <c r="J88" s="4"/>
      <c r="K88" s="4"/>
      <c r="L88" s="4"/>
      <c r="M88" s="7"/>
      <c r="N88" s="7"/>
      <c r="O88" s="7"/>
      <c r="P88" s="7"/>
      <c r="Q88" s="7"/>
      <c r="R88" s="7"/>
      <c r="S88" s="7"/>
      <c r="T88" s="7"/>
      <c r="U88" s="7"/>
      <c r="V88" s="7"/>
      <c r="W88" s="4"/>
      <c r="X88" s="7"/>
      <c r="Y88" s="7"/>
    </row>
    <row r="89">
      <c r="A89" s="4"/>
      <c r="B89" s="4"/>
      <c r="C89" s="8"/>
      <c r="D89" s="5"/>
      <c r="E89" s="6"/>
      <c r="F89" s="6"/>
      <c r="G89" s="6"/>
      <c r="H89" s="4"/>
      <c r="I89" s="4"/>
      <c r="J89" s="4"/>
      <c r="K89" s="4"/>
      <c r="L89" s="7"/>
      <c r="M89" s="7"/>
      <c r="N89" s="7"/>
      <c r="O89" s="7"/>
      <c r="P89" s="7"/>
      <c r="Q89" s="4"/>
      <c r="R89" s="7"/>
      <c r="S89" s="7"/>
      <c r="T89" s="7"/>
      <c r="U89" s="7"/>
      <c r="V89" s="7"/>
      <c r="W89" s="7"/>
      <c r="X89" s="7"/>
      <c r="Y89" s="7"/>
    </row>
    <row r="90">
      <c r="A90" s="4"/>
      <c r="B90" s="4"/>
      <c r="C90" s="8"/>
      <c r="D90" s="5"/>
      <c r="E90" s="6"/>
      <c r="F90" s="6"/>
      <c r="G90" s="6"/>
      <c r="H90" s="4"/>
      <c r="I90" s="4"/>
      <c r="J90" s="4"/>
      <c r="K90" s="4"/>
      <c r="L90" s="7"/>
      <c r="M90" s="7"/>
      <c r="N90" s="7"/>
      <c r="O90" s="7"/>
      <c r="P90" s="4"/>
      <c r="Q90" s="7"/>
      <c r="R90" s="7"/>
      <c r="S90" s="7"/>
      <c r="T90" s="7"/>
      <c r="U90" s="7"/>
      <c r="V90" s="7"/>
      <c r="W90" s="7"/>
      <c r="X90" s="7"/>
      <c r="Y90" s="7"/>
    </row>
    <row r="91">
      <c r="A91" s="4"/>
      <c r="B91" s="4"/>
      <c r="C91" s="8"/>
      <c r="D91" s="5"/>
      <c r="E91" s="6"/>
      <c r="F91" s="6"/>
      <c r="G91" s="6"/>
      <c r="H91" s="4"/>
      <c r="I91" s="4"/>
      <c r="J91" s="4"/>
      <c r="K91" s="4"/>
      <c r="L91" s="7"/>
      <c r="M91" s="7"/>
      <c r="N91" s="7"/>
      <c r="O91" s="7"/>
      <c r="P91" s="7"/>
      <c r="Q91" s="4"/>
      <c r="R91" s="4"/>
      <c r="S91" s="7"/>
      <c r="T91" s="7"/>
      <c r="U91" s="7"/>
      <c r="V91" s="7"/>
      <c r="W91" s="7"/>
      <c r="X91" s="7"/>
      <c r="Y91" s="7"/>
    </row>
    <row r="92">
      <c r="A92" s="4"/>
      <c r="B92" s="4"/>
      <c r="C92" s="8"/>
      <c r="D92" s="5"/>
      <c r="E92" s="6"/>
      <c r="F92" s="6"/>
      <c r="G92" s="6"/>
      <c r="H92" s="4"/>
      <c r="I92" s="4"/>
      <c r="J92" s="4"/>
      <c r="K92" s="4"/>
      <c r="L92" s="7"/>
      <c r="M92" s="7"/>
      <c r="N92" s="7"/>
      <c r="O92" s="7"/>
      <c r="P92" s="7"/>
      <c r="Q92" s="4"/>
      <c r="R92" s="7"/>
      <c r="S92" s="7"/>
      <c r="T92" s="7"/>
      <c r="U92" s="7"/>
      <c r="V92" s="7"/>
      <c r="W92" s="7"/>
      <c r="X92" s="7"/>
      <c r="Y92" s="7"/>
    </row>
    <row r="93">
      <c r="A93" s="4"/>
      <c r="B93" s="4"/>
      <c r="C93" s="8"/>
      <c r="D93" s="5"/>
      <c r="E93" s="6"/>
      <c r="F93" s="6"/>
      <c r="G93" s="6"/>
      <c r="H93" s="4"/>
      <c r="I93" s="4"/>
      <c r="J93" s="4"/>
      <c r="K93" s="4"/>
      <c r="L93" s="7"/>
      <c r="M93" s="7"/>
      <c r="N93" s="7"/>
      <c r="O93" s="4"/>
      <c r="P93" s="7"/>
      <c r="Q93" s="4"/>
      <c r="R93" s="7"/>
      <c r="S93" s="7"/>
      <c r="T93" s="7"/>
      <c r="U93" s="7"/>
      <c r="V93" s="7"/>
      <c r="W93" s="7"/>
      <c r="X93" s="7"/>
      <c r="Y93" s="7"/>
    </row>
    <row r="94">
      <c r="A94" s="4"/>
      <c r="B94" s="4"/>
      <c r="C94" s="8"/>
      <c r="D94" s="5"/>
      <c r="E94" s="6"/>
      <c r="F94" s="6"/>
      <c r="G94" s="6"/>
      <c r="H94" s="4"/>
      <c r="I94" s="4"/>
      <c r="J94" s="4"/>
      <c r="K94" s="4"/>
      <c r="L94" s="7"/>
      <c r="M94" s="7"/>
      <c r="N94" s="7"/>
      <c r="O94" s="4"/>
      <c r="P94" s="4"/>
      <c r="Q94" s="4"/>
      <c r="R94" s="7"/>
      <c r="S94" s="7"/>
      <c r="T94" s="4"/>
      <c r="U94" s="4"/>
      <c r="V94" s="7"/>
      <c r="W94" s="4"/>
      <c r="X94" s="7"/>
      <c r="Y94" s="7"/>
    </row>
    <row r="95">
      <c r="A95" s="4"/>
      <c r="B95" s="4"/>
      <c r="C95" s="8"/>
      <c r="D95" s="5"/>
      <c r="E95" s="6"/>
      <c r="F95" s="6"/>
      <c r="G95" s="6"/>
      <c r="H95" s="4"/>
      <c r="I95" s="4"/>
      <c r="J95" s="4"/>
      <c r="K95" s="4"/>
      <c r="L95" s="7"/>
      <c r="M95" s="7"/>
      <c r="N95" s="4"/>
      <c r="O95" s="4"/>
      <c r="P95" s="7"/>
      <c r="Q95" s="4"/>
      <c r="R95" s="7"/>
      <c r="S95" s="7"/>
      <c r="T95" s="7"/>
      <c r="U95" s="7"/>
      <c r="V95" s="7"/>
      <c r="W95" s="7"/>
      <c r="X95" s="7"/>
      <c r="Y95" s="7"/>
    </row>
    <row r="96">
      <c r="A96" s="4"/>
      <c r="B96" s="4"/>
      <c r="C96" s="8"/>
      <c r="D96" s="5"/>
      <c r="E96" s="6"/>
      <c r="F96" s="6"/>
      <c r="G96" s="6"/>
      <c r="H96" s="4"/>
      <c r="I96" s="4"/>
      <c r="J96" s="4"/>
      <c r="K96" s="4"/>
      <c r="L96" s="7"/>
      <c r="M96" s="7"/>
      <c r="N96" s="7"/>
      <c r="O96" s="7"/>
      <c r="P96" s="7"/>
      <c r="Q96" s="4"/>
      <c r="R96" s="7"/>
      <c r="S96" s="7"/>
      <c r="T96" s="7"/>
      <c r="U96" s="7"/>
      <c r="V96" s="7"/>
      <c r="W96" s="7"/>
      <c r="X96" s="7"/>
      <c r="Y96" s="7"/>
    </row>
    <row r="97">
      <c r="A97" s="4"/>
      <c r="B97" s="4"/>
      <c r="C97" s="8"/>
      <c r="D97" s="5"/>
      <c r="E97" s="6"/>
      <c r="F97" s="6"/>
      <c r="G97" s="6"/>
      <c r="H97" s="4"/>
      <c r="I97" s="4"/>
      <c r="J97" s="4"/>
      <c r="K97" s="4"/>
      <c r="L97" s="4"/>
      <c r="M97" s="7"/>
      <c r="N97" s="7"/>
      <c r="O97" s="7"/>
      <c r="P97" s="7"/>
      <c r="Q97" s="4"/>
      <c r="R97" s="7"/>
      <c r="S97" s="7"/>
      <c r="T97" s="7"/>
      <c r="U97" s="7"/>
      <c r="V97" s="7"/>
      <c r="W97" s="4"/>
      <c r="X97" s="7"/>
      <c r="Y97" s="7"/>
    </row>
    <row r="98">
      <c r="A98" s="4"/>
      <c r="B98" s="4"/>
      <c r="C98" s="8"/>
      <c r="D98" s="5"/>
      <c r="E98" s="6"/>
      <c r="F98" s="6"/>
      <c r="G98" s="6"/>
      <c r="H98" s="4"/>
      <c r="I98" s="4"/>
      <c r="J98" s="4"/>
      <c r="K98" s="4"/>
      <c r="L98" s="7"/>
      <c r="M98" s="7"/>
      <c r="N98" s="7"/>
      <c r="O98" s="7"/>
      <c r="P98" s="7"/>
      <c r="Q98" s="4"/>
      <c r="R98" s="7"/>
      <c r="S98" s="7"/>
      <c r="T98" s="7"/>
      <c r="U98" s="7"/>
      <c r="V98" s="7"/>
      <c r="W98" s="7"/>
      <c r="X98" s="7"/>
      <c r="Y98" s="7"/>
    </row>
    <row r="99">
      <c r="A99" s="4"/>
      <c r="B99" s="4"/>
      <c r="C99" s="8"/>
      <c r="D99" s="5"/>
      <c r="E99" s="6"/>
      <c r="F99" s="6"/>
      <c r="G99" s="6"/>
      <c r="H99" s="4"/>
      <c r="I99" s="4"/>
      <c r="J99" s="4"/>
      <c r="K99" s="4"/>
      <c r="L99" s="4"/>
      <c r="M99" s="7"/>
      <c r="N99" s="7"/>
      <c r="O99" s="7"/>
      <c r="P99" s="7"/>
      <c r="Q99" s="4"/>
      <c r="R99" s="7"/>
      <c r="S99" s="7"/>
      <c r="T99" s="7"/>
      <c r="U99" s="7"/>
      <c r="V99" s="7"/>
      <c r="W99" s="7"/>
      <c r="X99" s="7"/>
      <c r="Y99" s="7"/>
    </row>
    <row r="100">
      <c r="A100" s="4"/>
      <c r="B100" s="4"/>
      <c r="C100" s="8"/>
      <c r="D100" s="5"/>
      <c r="E100" s="6"/>
      <c r="F100" s="6"/>
      <c r="G100" s="6"/>
      <c r="H100" s="4"/>
      <c r="I100" s="4"/>
      <c r="J100" s="4"/>
      <c r="K100" s="4"/>
      <c r="L100" s="4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4"/>
      <c r="B101" s="4"/>
      <c r="C101" s="8"/>
      <c r="D101" s="5"/>
      <c r="E101" s="6"/>
      <c r="F101" s="6"/>
      <c r="G101" s="6"/>
      <c r="H101" s="4"/>
      <c r="I101" s="4"/>
      <c r="J101" s="4"/>
      <c r="K101" s="4"/>
      <c r="L101" s="4"/>
      <c r="M101" s="7"/>
      <c r="N101" s="7"/>
      <c r="O101" s="7"/>
      <c r="P101" s="7"/>
      <c r="Q101" s="4"/>
      <c r="R101" s="7"/>
      <c r="S101" s="7"/>
      <c r="T101" s="7"/>
      <c r="U101" s="7"/>
      <c r="V101" s="7"/>
      <c r="W101" s="7"/>
      <c r="X101" s="7"/>
      <c r="Y101" s="7"/>
    </row>
    <row r="102">
      <c r="A102" s="4"/>
      <c r="B102" s="4"/>
      <c r="C102" s="8"/>
      <c r="D102" s="5"/>
      <c r="E102" s="6"/>
      <c r="F102" s="6"/>
      <c r="G102" s="6"/>
      <c r="H102" s="4"/>
      <c r="I102" s="4"/>
      <c r="J102" s="4"/>
      <c r="K102" s="4"/>
      <c r="L102" s="4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4"/>
      <c r="B103" s="4"/>
      <c r="C103" s="8"/>
      <c r="D103" s="5"/>
      <c r="E103" s="6"/>
      <c r="F103" s="6"/>
      <c r="G103" s="6"/>
      <c r="H103" s="4"/>
      <c r="I103" s="4"/>
      <c r="J103" s="4"/>
      <c r="K103" s="4"/>
      <c r="L103" s="7"/>
      <c r="M103" s="7"/>
      <c r="N103" s="7"/>
      <c r="O103" s="7"/>
      <c r="P103" s="7"/>
      <c r="Q103" s="4"/>
      <c r="R103" s="7"/>
      <c r="S103" s="7"/>
      <c r="T103" s="7"/>
      <c r="U103" s="4"/>
      <c r="V103" s="7"/>
      <c r="W103" s="7"/>
      <c r="X103" s="7"/>
      <c r="Y103" s="7"/>
    </row>
    <row r="104">
      <c r="A104" s="4"/>
      <c r="B104" s="4"/>
      <c r="C104" s="8"/>
      <c r="D104" s="5"/>
      <c r="E104" s="6"/>
      <c r="F104" s="6"/>
      <c r="G104" s="6"/>
      <c r="H104" s="4"/>
      <c r="I104" s="4"/>
      <c r="J104" s="4"/>
      <c r="K104" s="4"/>
      <c r="L104" s="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4"/>
      <c r="B105" s="4"/>
      <c r="C105" s="8"/>
      <c r="D105" s="5"/>
      <c r="E105" s="6"/>
      <c r="F105" s="6"/>
      <c r="G105" s="6"/>
      <c r="H105" s="4"/>
      <c r="I105" s="4"/>
      <c r="J105" s="4"/>
      <c r="K105" s="4"/>
      <c r="L105" s="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4"/>
      <c r="B106" s="4"/>
      <c r="C106" s="8"/>
      <c r="D106" s="5"/>
      <c r="E106" s="6"/>
      <c r="F106" s="6"/>
      <c r="G106" s="6"/>
      <c r="H106" s="4"/>
      <c r="I106" s="4"/>
      <c r="J106" s="4"/>
      <c r="K106" s="4"/>
      <c r="L106" s="4"/>
      <c r="M106" s="7"/>
      <c r="N106" s="7"/>
      <c r="O106" s="7"/>
      <c r="P106" s="7"/>
      <c r="Q106" s="4"/>
      <c r="R106" s="7"/>
      <c r="S106" s="7"/>
      <c r="T106" s="7"/>
      <c r="U106" s="7"/>
      <c r="V106" s="7"/>
      <c r="W106" s="4"/>
      <c r="X106" s="7"/>
      <c r="Y106" s="7"/>
    </row>
    <row r="107">
      <c r="A107" s="4"/>
      <c r="B107" s="4"/>
      <c r="C107" s="8"/>
      <c r="D107" s="5"/>
      <c r="E107" s="6"/>
      <c r="F107" s="6"/>
      <c r="G107" s="6"/>
      <c r="H107" s="4"/>
      <c r="I107" s="4"/>
      <c r="J107" s="4"/>
      <c r="K107" s="4"/>
      <c r="L107" s="7"/>
      <c r="M107" s="4"/>
      <c r="N107" s="7"/>
      <c r="O107" s="7"/>
      <c r="P107" s="7"/>
      <c r="Q107" s="4"/>
      <c r="R107" s="7"/>
      <c r="S107" s="7"/>
      <c r="T107" s="7"/>
      <c r="U107" s="7"/>
      <c r="V107" s="7"/>
      <c r="W107" s="4"/>
      <c r="X107" s="7"/>
      <c r="Y107" s="7"/>
    </row>
    <row r="108">
      <c r="A108" s="4"/>
      <c r="B108" s="4"/>
      <c r="C108" s="8"/>
      <c r="D108" s="5"/>
      <c r="E108" s="6"/>
      <c r="F108" s="6"/>
      <c r="G108" s="6"/>
      <c r="H108" s="4"/>
      <c r="I108" s="4"/>
      <c r="J108" s="4"/>
      <c r="K108" s="4"/>
      <c r="L108" s="7"/>
      <c r="M108" s="4"/>
      <c r="N108" s="7"/>
      <c r="O108" s="7"/>
      <c r="P108" s="7"/>
      <c r="Q108" s="4"/>
      <c r="R108" s="7"/>
      <c r="S108" s="7"/>
      <c r="T108" s="7"/>
      <c r="U108" s="7"/>
      <c r="V108" s="7"/>
      <c r="W108" s="4"/>
      <c r="X108" s="7"/>
      <c r="Y108" s="7"/>
    </row>
    <row r="109">
      <c r="A109" s="4"/>
      <c r="B109" s="4"/>
      <c r="C109" s="8"/>
      <c r="D109" s="5"/>
      <c r="E109" s="6"/>
      <c r="F109" s="6"/>
      <c r="G109" s="6"/>
      <c r="H109" s="4"/>
      <c r="I109" s="4"/>
      <c r="J109" s="4"/>
      <c r="K109" s="4"/>
      <c r="L109" s="7"/>
      <c r="M109" s="7"/>
      <c r="N109" s="4"/>
      <c r="O109" s="7"/>
      <c r="P109" s="7"/>
      <c r="Q109" s="4"/>
      <c r="R109" s="7"/>
      <c r="S109" s="7"/>
      <c r="T109" s="7"/>
      <c r="U109" s="7"/>
      <c r="V109" s="7"/>
      <c r="W109" s="7"/>
      <c r="X109" s="7"/>
      <c r="Y109" s="7"/>
    </row>
    <row r="110">
      <c r="A110" s="4"/>
      <c r="B110" s="4"/>
      <c r="C110" s="8"/>
      <c r="D110" s="5"/>
      <c r="E110" s="6"/>
      <c r="F110" s="6"/>
      <c r="G110" s="6"/>
      <c r="H110" s="4"/>
      <c r="I110" s="4"/>
      <c r="J110" s="4"/>
      <c r="K110" s="4"/>
      <c r="L110" s="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4"/>
      <c r="B111" s="4"/>
      <c r="C111" s="8"/>
      <c r="D111" s="5"/>
      <c r="E111" s="6"/>
      <c r="F111" s="6"/>
      <c r="G111" s="6"/>
      <c r="H111" s="4"/>
      <c r="I111" s="4"/>
      <c r="J111" s="4"/>
      <c r="K111" s="4"/>
      <c r="L111" s="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4"/>
      <c r="B112" s="4"/>
      <c r="C112" s="8"/>
      <c r="D112" s="5"/>
      <c r="E112" s="6"/>
      <c r="F112" s="6"/>
      <c r="G112" s="6"/>
      <c r="H112" s="4"/>
      <c r="I112" s="4"/>
      <c r="J112" s="4"/>
      <c r="K112" s="4"/>
      <c r="L112" s="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4"/>
      <c r="B113" s="4"/>
      <c r="C113" s="8"/>
      <c r="D113" s="5"/>
      <c r="E113" s="6"/>
      <c r="F113" s="6"/>
      <c r="G113" s="6"/>
      <c r="H113" s="4"/>
      <c r="I113" s="4"/>
      <c r="J113" s="4"/>
      <c r="K113" s="4"/>
      <c r="L113" s="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4"/>
      <c r="B114" s="4"/>
      <c r="C114" s="8"/>
      <c r="D114" s="5"/>
      <c r="E114" s="6"/>
      <c r="F114" s="6"/>
      <c r="G114" s="6"/>
      <c r="H114" s="4"/>
      <c r="I114" s="4"/>
      <c r="J114" s="4"/>
      <c r="K114" s="4"/>
      <c r="L114" s="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4"/>
      <c r="B115" s="4"/>
      <c r="C115" s="8"/>
      <c r="D115" s="5"/>
      <c r="E115" s="6"/>
      <c r="F115" s="6"/>
      <c r="G115" s="6"/>
      <c r="H115" s="4"/>
      <c r="I115" s="4"/>
      <c r="J115" s="4"/>
      <c r="K115" s="4"/>
      <c r="L115" s="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4"/>
      <c r="B116" s="4"/>
      <c r="C116" s="8"/>
      <c r="D116" s="5"/>
      <c r="E116" s="6"/>
      <c r="F116" s="6"/>
      <c r="G116" s="6"/>
      <c r="H116" s="4"/>
      <c r="I116" s="4"/>
      <c r="J116" s="4"/>
      <c r="K116" s="4"/>
      <c r="L116" s="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4"/>
      <c r="B117" s="4"/>
      <c r="C117" s="8"/>
      <c r="D117" s="5"/>
      <c r="E117" s="6"/>
      <c r="F117" s="6"/>
      <c r="G117" s="6"/>
      <c r="H117" s="4"/>
      <c r="I117" s="4"/>
      <c r="J117" s="4"/>
      <c r="K117" s="4"/>
      <c r="L117" s="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4"/>
      <c r="B118" s="4"/>
      <c r="C118" s="8"/>
      <c r="D118" s="5"/>
      <c r="E118" s="6"/>
      <c r="F118" s="6"/>
      <c r="G118" s="6"/>
      <c r="H118" s="4"/>
      <c r="I118" s="4"/>
      <c r="J118" s="4"/>
      <c r="K118" s="4"/>
      <c r="L118" s="4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4"/>
      <c r="B119" s="4"/>
      <c r="C119" s="8"/>
      <c r="D119" s="5"/>
      <c r="E119" s="6"/>
      <c r="F119" s="6"/>
      <c r="G119" s="6"/>
      <c r="H119" s="4"/>
      <c r="I119" s="4"/>
      <c r="J119" s="4"/>
      <c r="K119" s="4"/>
      <c r="L119" s="4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4"/>
      <c r="B120" s="4"/>
      <c r="C120" s="8"/>
      <c r="D120" s="5"/>
      <c r="E120" s="6"/>
      <c r="F120" s="6"/>
      <c r="G120" s="6"/>
      <c r="H120" s="4"/>
      <c r="I120" s="4"/>
      <c r="J120" s="4"/>
      <c r="K120" s="4"/>
      <c r="L120" s="4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4"/>
      <c r="B121" s="4"/>
      <c r="C121" s="8"/>
      <c r="D121" s="5"/>
      <c r="E121" s="6"/>
      <c r="F121" s="6"/>
      <c r="G121" s="6"/>
      <c r="H121" s="4"/>
      <c r="I121" s="4"/>
      <c r="J121" s="4"/>
      <c r="K121" s="4"/>
      <c r="L121" s="4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"/>
      <c r="X121" s="7"/>
      <c r="Y121" s="7"/>
    </row>
    <row r="122">
      <c r="A122" s="4"/>
      <c r="B122" s="4"/>
      <c r="C122" s="8"/>
      <c r="D122" s="5"/>
      <c r="E122" s="6"/>
      <c r="F122" s="6"/>
      <c r="G122" s="6"/>
      <c r="H122" s="4"/>
      <c r="I122" s="4"/>
      <c r="J122" s="4"/>
      <c r="K122" s="4"/>
      <c r="L122" s="4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4"/>
      <c r="B123" s="4"/>
      <c r="C123" s="8"/>
      <c r="D123" s="5"/>
      <c r="E123" s="6"/>
      <c r="F123" s="6"/>
      <c r="G123" s="6"/>
      <c r="H123" s="4"/>
      <c r="I123" s="4"/>
      <c r="J123" s="4"/>
      <c r="K123" s="4"/>
      <c r="L123" s="4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"/>
      <c r="X123" s="7"/>
      <c r="Y123" s="7"/>
    </row>
    <row r="124">
      <c r="A124" s="4"/>
      <c r="B124" s="4"/>
      <c r="C124" s="8"/>
      <c r="D124" s="5"/>
      <c r="E124" s="6"/>
      <c r="F124" s="6"/>
      <c r="G124" s="6"/>
      <c r="H124" s="4"/>
      <c r="I124" s="4"/>
      <c r="J124" s="4"/>
      <c r="K124" s="4"/>
      <c r="L124" s="4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4"/>
      <c r="B125" s="4"/>
      <c r="C125" s="8"/>
      <c r="D125" s="5"/>
      <c r="E125" s="6"/>
      <c r="F125" s="6"/>
      <c r="G125" s="6"/>
      <c r="H125" s="4"/>
      <c r="I125" s="4"/>
      <c r="J125" s="4"/>
      <c r="K125" s="4"/>
      <c r="L125" s="4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4"/>
      <c r="B126" s="4"/>
      <c r="C126" s="8"/>
      <c r="D126" s="5"/>
      <c r="E126" s="6"/>
      <c r="F126" s="6"/>
      <c r="G126" s="6"/>
      <c r="H126" s="4"/>
      <c r="I126" s="4"/>
      <c r="J126" s="4"/>
      <c r="K126" s="4"/>
      <c r="L126" s="4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4"/>
      <c r="B127" s="4"/>
      <c r="C127" s="8"/>
      <c r="D127" s="5"/>
      <c r="E127" s="6"/>
      <c r="F127" s="6"/>
      <c r="G127" s="6"/>
      <c r="H127" s="4"/>
      <c r="I127" s="4"/>
      <c r="J127" s="4"/>
      <c r="K127" s="4"/>
      <c r="L127" s="7"/>
      <c r="M127" s="7"/>
      <c r="N127" s="7"/>
      <c r="O127" s="7"/>
      <c r="P127" s="7"/>
      <c r="Q127" s="4"/>
      <c r="R127" s="7"/>
      <c r="S127" s="7"/>
      <c r="T127" s="7"/>
      <c r="U127" s="7"/>
      <c r="V127" s="7"/>
      <c r="W127" s="7"/>
      <c r="X127" s="7"/>
      <c r="Y127" s="7"/>
    </row>
    <row r="128">
      <c r="A128" s="4"/>
      <c r="B128" s="4"/>
      <c r="C128" s="8"/>
      <c r="D128" s="5"/>
      <c r="E128" s="6"/>
      <c r="F128" s="6"/>
      <c r="G128" s="6"/>
      <c r="H128" s="4"/>
      <c r="I128" s="4"/>
      <c r="J128" s="4"/>
      <c r="K128" s="4"/>
      <c r="L128" s="7"/>
      <c r="M128" s="7"/>
      <c r="N128" s="7"/>
      <c r="O128" s="7"/>
      <c r="P128" s="7"/>
      <c r="Q128" s="4"/>
      <c r="R128" s="7"/>
      <c r="S128" s="7"/>
      <c r="T128" s="7"/>
      <c r="U128" s="7"/>
      <c r="V128" s="7"/>
      <c r="W128" s="4"/>
      <c r="X128" s="7"/>
      <c r="Y128" s="7"/>
    </row>
    <row r="129">
      <c r="A129" s="4"/>
      <c r="B129" s="4"/>
      <c r="C129" s="8"/>
      <c r="D129" s="5"/>
      <c r="E129" s="6"/>
      <c r="F129" s="6"/>
      <c r="G129" s="6"/>
      <c r="H129" s="4"/>
      <c r="I129" s="4"/>
      <c r="J129" s="4"/>
      <c r="K129" s="4"/>
      <c r="L129" s="7"/>
      <c r="M129" s="4"/>
      <c r="N129" s="7"/>
      <c r="O129" s="7"/>
      <c r="P129" s="7"/>
      <c r="Q129" s="4"/>
      <c r="R129" s="7"/>
      <c r="S129" s="7"/>
      <c r="T129" s="7"/>
      <c r="U129" s="7"/>
      <c r="V129" s="7"/>
      <c r="W129" s="4"/>
      <c r="X129" s="7"/>
      <c r="Y129" s="7"/>
    </row>
    <row r="130">
      <c r="A130" s="4"/>
      <c r="B130" s="4"/>
      <c r="C130" s="8"/>
      <c r="D130" s="5"/>
      <c r="E130" s="6"/>
      <c r="F130" s="6"/>
      <c r="G130" s="6"/>
      <c r="H130" s="4"/>
      <c r="I130" s="4"/>
      <c r="J130" s="4"/>
      <c r="K130" s="4"/>
      <c r="L130" s="7"/>
      <c r="M130" s="4"/>
      <c r="N130" s="7"/>
      <c r="O130" s="7"/>
      <c r="P130" s="7"/>
      <c r="Q130" s="4"/>
      <c r="R130" s="7"/>
      <c r="S130" s="7"/>
      <c r="T130" s="7"/>
      <c r="U130" s="7"/>
      <c r="V130" s="7"/>
      <c r="W130" s="4"/>
      <c r="X130" s="7"/>
      <c r="Y130" s="7"/>
    </row>
    <row r="131">
      <c r="A131" s="4"/>
      <c r="B131" s="4"/>
      <c r="C131" s="8"/>
      <c r="D131" s="5"/>
      <c r="E131" s="6"/>
      <c r="F131" s="6"/>
      <c r="G131" s="6"/>
      <c r="H131" s="4"/>
      <c r="I131" s="4"/>
      <c r="J131" s="4"/>
      <c r="K131" s="4"/>
      <c r="L131" s="7"/>
      <c r="M131" s="4"/>
      <c r="N131" s="7"/>
      <c r="O131" s="7"/>
      <c r="P131" s="7"/>
      <c r="Q131" s="4"/>
      <c r="R131" s="7"/>
      <c r="S131" s="7"/>
      <c r="T131" s="7"/>
      <c r="U131" s="7"/>
      <c r="V131" s="7"/>
      <c r="W131" s="4"/>
      <c r="X131" s="7"/>
      <c r="Y131" s="7"/>
    </row>
    <row r="132">
      <c r="A132" s="4"/>
      <c r="B132" s="4"/>
      <c r="C132" s="8"/>
      <c r="D132" s="5"/>
      <c r="E132" s="6"/>
      <c r="F132" s="6"/>
      <c r="G132" s="6"/>
      <c r="H132" s="4"/>
      <c r="I132" s="4"/>
      <c r="J132" s="4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"/>
      <c r="X132" s="4"/>
      <c r="Y132" s="4"/>
    </row>
    <row r="133">
      <c r="A133" s="4"/>
      <c r="B133" s="4"/>
      <c r="C133" s="8"/>
      <c r="D133" s="5"/>
      <c r="E133" s="6"/>
      <c r="F133" s="6"/>
      <c r="G133" s="6"/>
      <c r="H133" s="4"/>
      <c r="I133" s="4"/>
      <c r="J133" s="4"/>
      <c r="K133" s="4"/>
      <c r="L133" s="7"/>
      <c r="M133" s="7"/>
      <c r="N133" s="7"/>
      <c r="O133" s="7"/>
      <c r="P133" s="7"/>
      <c r="Q133" s="4"/>
      <c r="R133" s="7"/>
      <c r="S133" s="7"/>
      <c r="T133" s="7"/>
      <c r="U133" s="7"/>
      <c r="V133" s="7"/>
      <c r="W133" s="4"/>
      <c r="X133" s="4"/>
      <c r="Y133" s="4"/>
    </row>
    <row r="134">
      <c r="A134" s="4"/>
      <c r="B134" s="4"/>
      <c r="C134" s="8"/>
      <c r="D134" s="5"/>
      <c r="E134" s="6"/>
      <c r="F134" s="6"/>
      <c r="G134" s="6"/>
      <c r="H134" s="4"/>
      <c r="I134" s="4"/>
      <c r="J134" s="4"/>
      <c r="K134" s="4"/>
      <c r="L134" s="7"/>
      <c r="M134" s="7"/>
      <c r="N134" s="7"/>
      <c r="O134" s="7"/>
      <c r="P134" s="7"/>
      <c r="Q134" s="4"/>
      <c r="R134" s="7"/>
      <c r="S134" s="7"/>
      <c r="T134" s="7"/>
      <c r="U134" s="7"/>
      <c r="V134" s="7"/>
      <c r="W134" s="4"/>
      <c r="X134" s="7"/>
      <c r="Y134" s="7"/>
    </row>
    <row r="135">
      <c r="A135" s="4"/>
      <c r="B135" s="4"/>
      <c r="C135" s="8"/>
      <c r="D135" s="5"/>
      <c r="E135" s="6"/>
      <c r="F135" s="6"/>
      <c r="G135" s="6"/>
      <c r="H135" s="4"/>
      <c r="I135" s="4"/>
      <c r="J135" s="4"/>
      <c r="K135" s="4"/>
      <c r="L135" s="7"/>
      <c r="M135" s="7"/>
      <c r="N135" s="4"/>
      <c r="O135" s="7"/>
      <c r="P135" s="7"/>
      <c r="Q135" s="4"/>
      <c r="R135" s="7"/>
      <c r="S135" s="7"/>
      <c r="T135" s="7"/>
      <c r="U135" s="7"/>
      <c r="V135" s="7"/>
      <c r="W135" s="4"/>
      <c r="X135" s="7"/>
      <c r="Y135" s="7"/>
    </row>
    <row r="136">
      <c r="A136" s="4"/>
      <c r="B136" s="4"/>
      <c r="C136" s="8"/>
      <c r="D136" s="5"/>
      <c r="E136" s="6"/>
      <c r="F136" s="6"/>
      <c r="G136" s="6"/>
      <c r="H136" s="4"/>
      <c r="I136" s="4"/>
      <c r="J136" s="4"/>
      <c r="K136" s="4"/>
      <c r="L136" s="7"/>
      <c r="M136" s="7"/>
      <c r="N136" s="4"/>
      <c r="O136" s="7"/>
      <c r="P136" s="7"/>
      <c r="Q136" s="4"/>
      <c r="R136" s="7"/>
      <c r="S136" s="7"/>
      <c r="T136" s="7"/>
      <c r="U136" s="7"/>
      <c r="V136" s="7"/>
      <c r="W136" s="4"/>
      <c r="X136" s="7"/>
      <c r="Y136" s="7"/>
    </row>
    <row r="137">
      <c r="A137" s="4"/>
      <c r="B137" s="4"/>
      <c r="C137" s="8"/>
      <c r="D137" s="5"/>
      <c r="E137" s="6"/>
      <c r="F137" s="6"/>
      <c r="G137" s="6"/>
      <c r="H137" s="4"/>
      <c r="I137" s="4"/>
      <c r="J137" s="4"/>
      <c r="K137" s="4"/>
      <c r="L137" s="7"/>
      <c r="M137" s="7"/>
      <c r="N137" s="4"/>
      <c r="O137" s="7"/>
      <c r="P137" s="7"/>
      <c r="Q137" s="4"/>
      <c r="R137" s="7"/>
      <c r="S137" s="7"/>
      <c r="T137" s="7"/>
      <c r="U137" s="7"/>
      <c r="V137" s="7"/>
      <c r="W137" s="7"/>
      <c r="X137" s="7"/>
      <c r="Y137" s="7"/>
    </row>
    <row r="138">
      <c r="A138" s="4"/>
      <c r="B138" s="4"/>
      <c r="C138" s="8"/>
      <c r="D138" s="5"/>
      <c r="E138" s="6"/>
      <c r="F138" s="6"/>
      <c r="G138" s="6"/>
      <c r="H138" s="4"/>
      <c r="I138" s="4"/>
      <c r="J138" s="4"/>
      <c r="K138" s="4"/>
      <c r="L138" s="4"/>
      <c r="M138" s="7"/>
      <c r="N138" s="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4"/>
      <c r="B139" s="4"/>
      <c r="C139" s="8"/>
      <c r="D139" s="5"/>
      <c r="E139" s="6"/>
      <c r="F139" s="6"/>
      <c r="G139" s="6"/>
      <c r="H139" s="4"/>
      <c r="I139" s="4"/>
      <c r="J139" s="4"/>
      <c r="K139" s="4"/>
      <c r="L139" s="4"/>
      <c r="M139" s="7"/>
      <c r="N139" s="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4"/>
      <c r="B140" s="4"/>
      <c r="C140" s="8"/>
      <c r="D140" s="5"/>
      <c r="E140" s="6"/>
      <c r="F140" s="6"/>
      <c r="G140" s="6"/>
      <c r="H140" s="4"/>
      <c r="I140" s="4"/>
      <c r="J140" s="4"/>
      <c r="K140" s="4"/>
      <c r="L140" s="4"/>
      <c r="M140" s="7"/>
      <c r="N140" s="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4"/>
      <c r="B141" s="4"/>
      <c r="C141" s="8"/>
      <c r="D141" s="5"/>
      <c r="E141" s="6"/>
      <c r="F141" s="6"/>
      <c r="G141" s="6"/>
      <c r="H141" s="4"/>
      <c r="I141" s="4"/>
      <c r="J141" s="4"/>
      <c r="K141" s="4"/>
      <c r="L141" s="4"/>
      <c r="M141" s="7"/>
      <c r="N141" s="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4"/>
      <c r="B142" s="4"/>
      <c r="C142" s="8"/>
      <c r="D142" s="5"/>
      <c r="E142" s="6"/>
      <c r="F142" s="6"/>
      <c r="G142" s="6"/>
      <c r="H142" s="4"/>
      <c r="I142" s="4"/>
      <c r="J142" s="4"/>
      <c r="K142" s="4"/>
      <c r="L142" s="4"/>
      <c r="M142" s="7"/>
      <c r="N142" s="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4"/>
      <c r="B143" s="4"/>
      <c r="C143" s="8"/>
      <c r="D143" s="5"/>
      <c r="E143" s="6"/>
      <c r="F143" s="6"/>
      <c r="G143" s="6"/>
      <c r="H143" s="4"/>
      <c r="I143" s="4"/>
      <c r="J143" s="4"/>
      <c r="K143" s="4"/>
      <c r="L143" s="4"/>
      <c r="M143" s="7"/>
      <c r="N143" s="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4"/>
      <c r="B144" s="4"/>
      <c r="C144" s="8"/>
      <c r="D144" s="5"/>
      <c r="E144" s="6"/>
      <c r="F144" s="6"/>
      <c r="G144" s="6"/>
      <c r="H144" s="4"/>
      <c r="I144" s="4"/>
      <c r="J144" s="4"/>
      <c r="K144" s="4"/>
      <c r="L144" s="4"/>
      <c r="M144" s="7"/>
      <c r="N144" s="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4"/>
      <c r="B145" s="4"/>
      <c r="C145" s="8"/>
      <c r="D145" s="5"/>
      <c r="E145" s="6"/>
      <c r="F145" s="6"/>
      <c r="G145" s="6"/>
      <c r="H145" s="4"/>
      <c r="I145" s="4"/>
      <c r="J145" s="4"/>
      <c r="K145" s="4"/>
      <c r="L145" s="4"/>
      <c r="M145" s="7"/>
      <c r="N145" s="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4"/>
      <c r="B146" s="4"/>
      <c r="C146" s="4"/>
      <c r="D146" s="5"/>
      <c r="E146" s="6"/>
      <c r="F146" s="6"/>
      <c r="G146" s="6"/>
      <c r="H146" s="4"/>
      <c r="I146" s="4"/>
      <c r="J146" s="4"/>
      <c r="K146" s="4"/>
      <c r="L146" s="7"/>
      <c r="M146" s="7"/>
      <c r="N146" s="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4"/>
      <c r="B147" s="4"/>
      <c r="C147" s="8"/>
      <c r="D147" s="5"/>
      <c r="E147" s="6"/>
      <c r="F147" s="6"/>
      <c r="G147" s="6"/>
      <c r="H147" s="4"/>
      <c r="I147" s="4"/>
      <c r="J147" s="4"/>
      <c r="K147" s="4"/>
      <c r="L147" s="7"/>
      <c r="M147" s="7"/>
      <c r="N147" s="7"/>
      <c r="O147" s="7"/>
      <c r="P147" s="7"/>
      <c r="Q147" s="7"/>
      <c r="R147" s="7"/>
      <c r="S147" s="7"/>
      <c r="T147" s="4"/>
      <c r="U147" s="4"/>
      <c r="V147" s="7"/>
      <c r="W147" s="7"/>
      <c r="X147" s="7"/>
      <c r="Y147" s="7"/>
    </row>
    <row r="148">
      <c r="A148" s="4"/>
      <c r="B148" s="4"/>
      <c r="C148" s="8"/>
      <c r="D148" s="5"/>
      <c r="E148" s="6"/>
      <c r="F148" s="6"/>
      <c r="G148" s="6"/>
      <c r="H148" s="4"/>
      <c r="I148" s="4"/>
      <c r="J148" s="4"/>
      <c r="K148" s="4"/>
      <c r="L148" s="7"/>
      <c r="M148" s="7"/>
      <c r="N148" s="7"/>
      <c r="O148" s="7"/>
      <c r="P148" s="7"/>
      <c r="Q148" s="7"/>
      <c r="R148" s="7"/>
      <c r="S148" s="7"/>
      <c r="T148" s="4"/>
      <c r="U148" s="7"/>
      <c r="V148" s="7"/>
      <c r="W148" s="7"/>
      <c r="X148" s="7"/>
      <c r="Y148" s="7"/>
    </row>
    <row r="149">
      <c r="A149" s="4"/>
      <c r="B149" s="4"/>
      <c r="C149" s="8"/>
      <c r="D149" s="5"/>
      <c r="E149" s="6"/>
      <c r="F149" s="6"/>
      <c r="G149" s="6"/>
      <c r="H149" s="4"/>
      <c r="I149" s="4"/>
      <c r="J149" s="4"/>
      <c r="K149" s="4"/>
      <c r="L149" s="7"/>
      <c r="M149" s="7"/>
      <c r="N149" s="7"/>
      <c r="O149" s="4"/>
      <c r="P149" s="7"/>
      <c r="Q149" s="7"/>
      <c r="R149" s="7"/>
      <c r="S149" s="7"/>
      <c r="T149" s="7"/>
      <c r="U149" s="4"/>
      <c r="V149" s="7"/>
      <c r="W149" s="7"/>
      <c r="X149" s="7"/>
      <c r="Y149" s="7"/>
    </row>
    <row r="150">
      <c r="A150" s="4"/>
      <c r="B150" s="4"/>
      <c r="C150" s="8"/>
      <c r="D150" s="5"/>
      <c r="E150" s="6"/>
      <c r="F150" s="6"/>
      <c r="G150" s="6"/>
      <c r="H150" s="4"/>
      <c r="I150" s="4"/>
      <c r="J150" s="4"/>
      <c r="K150" s="4"/>
      <c r="L150" s="4"/>
      <c r="M150" s="7"/>
      <c r="N150" s="7"/>
      <c r="O150" s="7"/>
      <c r="P150" s="4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4"/>
      <c r="B151" s="4"/>
      <c r="C151" s="8"/>
      <c r="D151" s="5"/>
      <c r="E151" s="6"/>
      <c r="F151" s="6"/>
      <c r="G151" s="6"/>
      <c r="H151" s="4"/>
      <c r="I151" s="4"/>
      <c r="J151" s="4"/>
      <c r="K151" s="4"/>
      <c r="L151" s="7"/>
      <c r="M151" s="7"/>
      <c r="N151" s="7"/>
      <c r="O151" s="7"/>
      <c r="P151" s="7"/>
      <c r="Q151" s="4"/>
      <c r="R151" s="7"/>
      <c r="S151" s="7"/>
      <c r="T151" s="7"/>
      <c r="U151" s="7"/>
      <c r="V151" s="7"/>
      <c r="W151" s="7"/>
      <c r="X151" s="7"/>
      <c r="Y151" s="7"/>
    </row>
    <row r="152">
      <c r="A152" s="4"/>
      <c r="B152" s="4"/>
      <c r="C152" s="8"/>
      <c r="D152" s="5"/>
      <c r="E152" s="6"/>
      <c r="F152" s="6"/>
      <c r="G152" s="6"/>
      <c r="H152" s="4"/>
      <c r="I152" s="4"/>
      <c r="J152" s="4"/>
      <c r="K152" s="4"/>
      <c r="L152" s="7"/>
      <c r="M152" s="7"/>
      <c r="N152" s="4"/>
      <c r="O152" s="7"/>
      <c r="P152" s="4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4"/>
      <c r="B153" s="4"/>
      <c r="C153" s="8"/>
      <c r="D153" s="5"/>
      <c r="E153" s="6"/>
      <c r="F153" s="6"/>
      <c r="G153" s="6"/>
      <c r="H153" s="4"/>
      <c r="I153" s="4"/>
      <c r="J153" s="4"/>
      <c r="K153" s="4"/>
      <c r="L153" s="7"/>
      <c r="M153" s="7"/>
      <c r="N153" s="7"/>
      <c r="O153" s="7"/>
      <c r="P153" s="4"/>
      <c r="Q153" s="7"/>
      <c r="R153" s="7"/>
      <c r="S153" s="7"/>
      <c r="T153" s="4"/>
      <c r="U153" s="7"/>
      <c r="V153" s="7"/>
      <c r="W153" s="7"/>
      <c r="X153" s="7"/>
      <c r="Y153" s="7"/>
    </row>
    <row r="154">
      <c r="A154" s="4"/>
      <c r="B154" s="4"/>
      <c r="C154" s="8"/>
      <c r="D154" s="5"/>
      <c r="E154" s="6"/>
      <c r="F154" s="6"/>
      <c r="G154" s="6"/>
      <c r="H154" s="4"/>
      <c r="I154" s="4"/>
      <c r="J154" s="4"/>
      <c r="K154" s="4"/>
      <c r="L154" s="7"/>
      <c r="M154" s="7"/>
      <c r="N154" s="7"/>
      <c r="O154" s="7"/>
      <c r="P154" s="4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4"/>
      <c r="B155" s="4"/>
      <c r="C155" s="8"/>
      <c r="D155" s="5"/>
      <c r="E155" s="6"/>
      <c r="F155" s="6"/>
      <c r="G155" s="6"/>
      <c r="H155" s="4"/>
      <c r="I155" s="4"/>
      <c r="J155" s="4"/>
      <c r="K155" s="4"/>
      <c r="L155" s="7"/>
      <c r="M155" s="7"/>
      <c r="N155" s="7"/>
      <c r="O155" s="7"/>
      <c r="P155" s="7"/>
      <c r="Q155" s="4"/>
      <c r="R155" s="7"/>
      <c r="S155" s="4"/>
      <c r="T155" s="7"/>
      <c r="U155" s="7"/>
      <c r="V155" s="7"/>
      <c r="W155" s="7"/>
      <c r="X155" s="7"/>
      <c r="Y155" s="7"/>
    </row>
    <row r="156">
      <c r="A156" s="4"/>
      <c r="B156" s="4"/>
      <c r="C156" s="8"/>
      <c r="D156" s="5"/>
      <c r="E156" s="6"/>
      <c r="F156" s="6"/>
      <c r="G156" s="6"/>
      <c r="H156" s="4"/>
      <c r="I156" s="4"/>
      <c r="J156" s="4"/>
      <c r="K156" s="4"/>
      <c r="L156" s="7"/>
      <c r="M156" s="7"/>
      <c r="N156" s="4"/>
      <c r="O156" s="7"/>
      <c r="P156" s="4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4"/>
      <c r="B157" s="4"/>
      <c r="C157" s="8"/>
      <c r="D157" s="5"/>
      <c r="E157" s="6"/>
      <c r="F157" s="6"/>
      <c r="G157" s="6"/>
      <c r="H157" s="4"/>
      <c r="I157" s="4"/>
      <c r="J157" s="4"/>
      <c r="K157" s="4"/>
      <c r="L157" s="4"/>
      <c r="M157" s="7"/>
      <c r="N157" s="7"/>
      <c r="O157" s="7"/>
      <c r="P157" s="4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4"/>
      <c r="B158" s="4"/>
      <c r="C158" s="8"/>
      <c r="D158" s="5"/>
      <c r="E158" s="6"/>
      <c r="F158" s="6"/>
      <c r="G158" s="6"/>
      <c r="H158" s="4"/>
      <c r="I158" s="4"/>
      <c r="J158" s="4"/>
      <c r="K158" s="4"/>
      <c r="L158" s="7"/>
      <c r="M158" s="7"/>
      <c r="N158" s="7"/>
      <c r="O158" s="7"/>
      <c r="P158" s="4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4"/>
      <c r="B159" s="4"/>
      <c r="C159" s="8"/>
      <c r="D159" s="5"/>
      <c r="E159" s="6"/>
      <c r="F159" s="6"/>
      <c r="G159" s="6"/>
      <c r="H159" s="4"/>
      <c r="I159" s="4"/>
      <c r="J159" s="4"/>
      <c r="K159" s="4"/>
      <c r="L159" s="7"/>
      <c r="M159" s="7"/>
      <c r="N159" s="7"/>
      <c r="O159" s="7"/>
      <c r="P159" s="4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4"/>
      <c r="B160" s="4"/>
      <c r="C160" s="8"/>
      <c r="D160" s="5"/>
      <c r="E160" s="6"/>
      <c r="F160" s="6"/>
      <c r="G160" s="6"/>
      <c r="H160" s="4"/>
      <c r="I160" s="4"/>
      <c r="J160" s="4"/>
      <c r="K160" s="4"/>
      <c r="L160" s="4"/>
      <c r="M160" s="7"/>
      <c r="N160" s="7"/>
      <c r="O160" s="7"/>
      <c r="P160" s="4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4"/>
      <c r="B161" s="4"/>
      <c r="C161" s="8"/>
      <c r="D161" s="5"/>
      <c r="E161" s="6"/>
      <c r="F161" s="6"/>
      <c r="G161" s="6"/>
      <c r="H161" s="4"/>
      <c r="I161" s="4"/>
      <c r="J161" s="4"/>
      <c r="K161" s="4"/>
      <c r="L161" s="4"/>
      <c r="M161" s="7"/>
      <c r="N161" s="7"/>
      <c r="O161" s="7"/>
      <c r="P161" s="7"/>
      <c r="Q161" s="4"/>
      <c r="R161" s="7"/>
      <c r="S161" s="7"/>
      <c r="T161" s="7"/>
      <c r="U161" s="7"/>
      <c r="V161" s="7"/>
      <c r="W161" s="7"/>
      <c r="X161" s="7"/>
      <c r="Y161" s="7"/>
    </row>
    <row r="162">
      <c r="A162" s="4"/>
      <c r="B162" s="4"/>
      <c r="C162" s="8"/>
      <c r="D162" s="5"/>
      <c r="E162" s="6"/>
      <c r="F162" s="6"/>
      <c r="G162" s="6"/>
      <c r="H162" s="4"/>
      <c r="I162" s="4"/>
      <c r="J162" s="4"/>
      <c r="K162" s="4"/>
      <c r="L162" s="7"/>
      <c r="M162" s="7"/>
      <c r="N162" s="7"/>
      <c r="O162" s="7"/>
      <c r="P162" s="4"/>
      <c r="Q162" s="7"/>
      <c r="R162" s="4"/>
      <c r="S162" s="7"/>
      <c r="T162" s="7"/>
      <c r="U162" s="7"/>
      <c r="V162" s="7"/>
      <c r="W162" s="7"/>
      <c r="X162" s="7"/>
      <c r="Y162" s="7"/>
    </row>
    <row r="163">
      <c r="A163" s="4"/>
      <c r="B163" s="4"/>
      <c r="C163" s="8"/>
      <c r="D163" s="5"/>
      <c r="E163" s="6"/>
      <c r="F163" s="6"/>
      <c r="G163" s="6"/>
      <c r="H163" s="4"/>
      <c r="I163" s="4"/>
      <c r="J163" s="4"/>
      <c r="K163" s="4"/>
      <c r="L163" s="7"/>
      <c r="M163" s="7"/>
      <c r="N163" s="7"/>
      <c r="O163" s="7"/>
      <c r="P163" s="4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4"/>
      <c r="B164" s="4"/>
      <c r="C164" s="8"/>
      <c r="D164" s="5"/>
      <c r="E164" s="6"/>
      <c r="F164" s="6"/>
      <c r="G164" s="6"/>
      <c r="H164" s="4"/>
      <c r="I164" s="4"/>
      <c r="J164" s="4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"/>
      <c r="X164" s="7"/>
      <c r="Y164" s="7"/>
    </row>
    <row r="165">
      <c r="A165" s="4"/>
      <c r="B165" s="4"/>
      <c r="C165" s="8"/>
      <c r="D165" s="5"/>
      <c r="E165" s="6"/>
      <c r="F165" s="6"/>
      <c r="G165" s="6"/>
      <c r="H165" s="4"/>
      <c r="I165" s="4"/>
      <c r="J165" s="4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"/>
      <c r="X165" s="7"/>
      <c r="Y165" s="7"/>
    </row>
    <row r="166">
      <c r="A166" s="4"/>
      <c r="B166" s="8"/>
      <c r="C166" s="4"/>
      <c r="D166" s="5"/>
      <c r="E166" s="6"/>
      <c r="F166" s="6"/>
      <c r="G166" s="6"/>
      <c r="H166" s="4"/>
      <c r="I166" s="4"/>
      <c r="J166" s="4"/>
      <c r="K166" s="4"/>
      <c r="L166" s="7"/>
      <c r="M166" s="7"/>
      <c r="N166" s="7"/>
      <c r="O166" s="7"/>
      <c r="P166" s="4"/>
      <c r="Q166" s="7"/>
      <c r="R166" s="7"/>
      <c r="S166" s="7"/>
      <c r="T166" s="7"/>
      <c r="U166" s="7"/>
      <c r="V166" s="7"/>
      <c r="W166" s="4"/>
      <c r="X166" s="7"/>
      <c r="Y166" s="7"/>
    </row>
    <row r="167">
      <c r="A167" s="4"/>
      <c r="B167" s="8"/>
      <c r="C167" s="8"/>
      <c r="D167" s="5"/>
      <c r="E167" s="6"/>
      <c r="F167" s="6"/>
      <c r="G167" s="6"/>
      <c r="H167" s="4"/>
      <c r="I167" s="4"/>
      <c r="J167" s="4"/>
      <c r="K167" s="4"/>
      <c r="L167" s="7"/>
      <c r="M167" s="7"/>
      <c r="N167" s="7"/>
      <c r="O167" s="7"/>
      <c r="P167" s="4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4"/>
      <c r="B168" s="8"/>
      <c r="C168" s="8"/>
      <c r="D168" s="5"/>
      <c r="E168" s="6"/>
      <c r="F168" s="6"/>
      <c r="G168" s="6"/>
      <c r="H168" s="4"/>
      <c r="I168" s="4"/>
      <c r="J168" s="4"/>
      <c r="K168" s="4"/>
      <c r="L168" s="7"/>
      <c r="M168" s="7"/>
      <c r="N168" s="7"/>
      <c r="O168" s="7"/>
      <c r="P168" s="4"/>
      <c r="Q168" s="7"/>
      <c r="R168" s="7"/>
      <c r="S168" s="7"/>
      <c r="T168" s="7"/>
      <c r="U168" s="7"/>
      <c r="V168" s="7"/>
      <c r="W168" s="4"/>
      <c r="X168" s="7"/>
      <c r="Y168" s="7"/>
    </row>
    <row r="169">
      <c r="A169" s="4"/>
      <c r="B169" s="8"/>
      <c r="C169" s="8"/>
      <c r="D169" s="5"/>
      <c r="E169" s="6"/>
      <c r="F169" s="6"/>
      <c r="G169" s="6"/>
      <c r="H169" s="4"/>
      <c r="I169" s="4"/>
      <c r="J169" s="4"/>
      <c r="K169" s="4"/>
      <c r="L169" s="7"/>
      <c r="M169" s="7"/>
      <c r="N169" s="7"/>
      <c r="O169" s="7"/>
      <c r="P169" s="4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4"/>
      <c r="B170" s="4"/>
      <c r="C170" s="8"/>
      <c r="D170" s="5"/>
      <c r="E170" s="6"/>
      <c r="F170" s="6"/>
      <c r="G170" s="6"/>
      <c r="H170" s="4"/>
      <c r="I170" s="4"/>
      <c r="J170" s="4"/>
      <c r="K170" s="4"/>
      <c r="L170" s="7"/>
      <c r="M170" s="7"/>
      <c r="N170" s="7"/>
      <c r="O170" s="4"/>
      <c r="P170" s="7"/>
      <c r="Q170" s="4"/>
      <c r="R170" s="7"/>
      <c r="S170" s="7"/>
      <c r="T170" s="7"/>
      <c r="U170" s="7"/>
      <c r="V170" s="7"/>
      <c r="W170" s="7"/>
      <c r="X170" s="7"/>
      <c r="Y170" s="7"/>
    </row>
    <row r="171">
      <c r="A171" s="4"/>
      <c r="B171" s="4"/>
      <c r="C171" s="8"/>
      <c r="D171" s="5"/>
      <c r="E171" s="6"/>
      <c r="F171" s="6"/>
      <c r="G171" s="6"/>
      <c r="H171" s="4"/>
      <c r="I171" s="4"/>
      <c r="J171" s="4"/>
      <c r="K171" s="4"/>
      <c r="L171" s="7"/>
      <c r="M171" s="7"/>
      <c r="N171" s="4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7"/>
    </row>
    <row r="172">
      <c r="A172" s="4"/>
      <c r="B172" s="4"/>
      <c r="C172" s="8"/>
      <c r="D172" s="5"/>
      <c r="E172" s="6"/>
      <c r="F172" s="6"/>
      <c r="G172" s="6"/>
      <c r="H172" s="4"/>
      <c r="I172" s="4"/>
      <c r="J172" s="4"/>
      <c r="K172" s="4"/>
      <c r="L172" s="7"/>
      <c r="M172" s="7"/>
      <c r="N172" s="4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7"/>
    </row>
    <row r="173">
      <c r="A173" s="4"/>
      <c r="B173" s="4"/>
      <c r="C173" s="8"/>
      <c r="D173" s="5"/>
      <c r="E173" s="6"/>
      <c r="F173" s="6"/>
      <c r="G173" s="6"/>
      <c r="H173" s="4"/>
      <c r="I173" s="4"/>
      <c r="J173" s="4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7"/>
    </row>
    <row r="174">
      <c r="A174" s="4"/>
      <c r="B174" s="4"/>
      <c r="C174" s="8"/>
      <c r="D174" s="5"/>
      <c r="E174" s="6"/>
      <c r="F174" s="6"/>
      <c r="G174" s="6"/>
      <c r="H174" s="4"/>
      <c r="I174" s="4"/>
      <c r="J174" s="4"/>
      <c r="K174" s="4"/>
      <c r="L174" s="7"/>
      <c r="M174" s="7"/>
      <c r="N174" s="7"/>
      <c r="O174" s="4"/>
      <c r="P174" s="7"/>
      <c r="Q174" s="7"/>
      <c r="R174" s="7"/>
      <c r="S174" s="7"/>
      <c r="T174" s="7"/>
      <c r="U174" s="7"/>
      <c r="V174" s="7"/>
      <c r="W174" s="7"/>
      <c r="X174" s="4"/>
      <c r="Y174" s="7"/>
    </row>
    <row r="175">
      <c r="A175" s="4"/>
      <c r="B175" s="4"/>
      <c r="C175" s="8"/>
      <c r="D175" s="5"/>
      <c r="E175" s="6"/>
      <c r="F175" s="6"/>
      <c r="G175" s="6"/>
      <c r="H175" s="4"/>
      <c r="I175" s="4"/>
      <c r="J175" s="4"/>
      <c r="K175" s="4"/>
      <c r="L175" s="7"/>
      <c r="M175" s="7"/>
      <c r="N175" s="7"/>
      <c r="O175" s="4"/>
      <c r="P175" s="7"/>
      <c r="Q175" s="7"/>
      <c r="R175" s="7"/>
      <c r="S175" s="7"/>
      <c r="T175" s="7"/>
      <c r="U175" s="7"/>
      <c r="V175" s="7"/>
      <c r="W175" s="7"/>
      <c r="X175" s="4"/>
      <c r="Y175" s="7"/>
    </row>
    <row r="176">
      <c r="A176" s="4"/>
      <c r="B176" s="4"/>
      <c r="C176" s="8"/>
      <c r="D176" s="5"/>
      <c r="E176" s="6"/>
      <c r="F176" s="6"/>
      <c r="G176" s="6"/>
      <c r="H176" s="4"/>
      <c r="I176" s="4"/>
      <c r="J176" s="4"/>
      <c r="K176" s="4"/>
      <c r="L176" s="7"/>
      <c r="M176" s="7"/>
      <c r="N176" s="7"/>
      <c r="O176" s="4"/>
      <c r="P176" s="7"/>
      <c r="Q176" s="7"/>
      <c r="R176" s="7"/>
      <c r="S176" s="7"/>
      <c r="T176" s="7"/>
      <c r="U176" s="7"/>
      <c r="V176" s="7"/>
      <c r="W176" s="7"/>
      <c r="X176" s="4"/>
      <c r="Y176" s="7"/>
    </row>
    <row r="177">
      <c r="A177" s="4"/>
      <c r="B177" s="4"/>
      <c r="C177" s="8"/>
      <c r="D177" s="5"/>
      <c r="E177" s="6"/>
      <c r="F177" s="6"/>
      <c r="G177" s="6"/>
      <c r="H177" s="4"/>
      <c r="I177" s="4"/>
      <c r="J177" s="4"/>
      <c r="K177" s="4"/>
      <c r="L177" s="7"/>
      <c r="M177" s="7"/>
      <c r="N177" s="7"/>
      <c r="O177" s="4"/>
      <c r="P177" s="7"/>
      <c r="Q177" s="7"/>
      <c r="R177" s="7"/>
      <c r="S177" s="7"/>
      <c r="T177" s="7"/>
      <c r="U177" s="7"/>
      <c r="V177" s="7"/>
      <c r="W177" s="7"/>
      <c r="X177" s="4"/>
      <c r="Y177" s="7"/>
    </row>
    <row r="178">
      <c r="A178" s="4"/>
      <c r="B178" s="4"/>
      <c r="C178" s="8"/>
      <c r="D178" s="5"/>
      <c r="E178" s="6"/>
      <c r="F178" s="6"/>
      <c r="G178" s="6"/>
      <c r="H178" s="4"/>
      <c r="I178" s="4"/>
      <c r="J178" s="4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7"/>
    </row>
    <row r="179">
      <c r="A179" s="4"/>
      <c r="B179" s="4"/>
      <c r="C179" s="8"/>
      <c r="D179" s="5"/>
      <c r="E179" s="6"/>
      <c r="F179" s="6"/>
      <c r="G179" s="6"/>
      <c r="H179" s="4"/>
      <c r="I179" s="4"/>
      <c r="J179" s="4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7"/>
    </row>
    <row r="180">
      <c r="A180" s="4"/>
      <c r="B180" s="4"/>
      <c r="C180" s="8"/>
      <c r="D180" s="5"/>
      <c r="E180" s="6"/>
      <c r="F180" s="6"/>
      <c r="G180" s="6"/>
      <c r="H180" s="4"/>
      <c r="I180" s="4"/>
      <c r="J180" s="4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7"/>
    </row>
    <row r="181">
      <c r="A181" s="4"/>
      <c r="B181" s="4"/>
      <c r="C181" s="8"/>
      <c r="D181" s="5"/>
      <c r="E181" s="6"/>
      <c r="F181" s="6"/>
      <c r="G181" s="6"/>
      <c r="H181" s="4"/>
      <c r="I181" s="4"/>
      <c r="J181" s="4"/>
      <c r="K181" s="4"/>
      <c r="L181" s="7"/>
      <c r="M181" s="7"/>
      <c r="N181" s="7"/>
      <c r="O181" s="7"/>
      <c r="P181" s="7"/>
      <c r="Q181" s="4"/>
      <c r="R181" s="7"/>
      <c r="S181" s="7"/>
      <c r="T181" s="7"/>
      <c r="U181" s="7"/>
      <c r="V181" s="7"/>
      <c r="W181" s="4"/>
      <c r="X181" s="7"/>
      <c r="Y181" s="7"/>
    </row>
    <row r="182">
      <c r="A182" s="4"/>
      <c r="B182" s="4"/>
      <c r="C182" s="8"/>
      <c r="D182" s="5"/>
      <c r="E182" s="6"/>
      <c r="F182" s="6"/>
      <c r="G182" s="6"/>
      <c r="H182" s="4"/>
      <c r="I182" s="4"/>
      <c r="J182" s="4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"/>
      <c r="X182" s="7"/>
      <c r="Y182" s="7"/>
    </row>
    <row r="183">
      <c r="A183" s="4"/>
      <c r="B183" s="4"/>
      <c r="C183" s="8"/>
      <c r="D183" s="5"/>
      <c r="E183" s="6"/>
      <c r="F183" s="6"/>
      <c r="G183" s="6"/>
      <c r="H183" s="4"/>
      <c r="I183" s="4"/>
      <c r="J183" s="4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"/>
      <c r="X183" s="7"/>
      <c r="Y183" s="7"/>
    </row>
    <row r="184">
      <c r="A184" s="4"/>
      <c r="B184" s="4"/>
      <c r="C184" s="8"/>
      <c r="D184" s="5"/>
      <c r="E184" s="6"/>
      <c r="F184" s="6"/>
      <c r="G184" s="6"/>
      <c r="H184" s="4"/>
      <c r="I184" s="4"/>
      <c r="J184" s="4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4"/>
      <c r="W184" s="7"/>
      <c r="X184" s="7"/>
      <c r="Y184" s="7"/>
    </row>
    <row r="185">
      <c r="A185" s="4"/>
      <c r="B185" s="4"/>
      <c r="C185" s="8"/>
      <c r="D185" s="5"/>
      <c r="E185" s="6"/>
      <c r="F185" s="6"/>
      <c r="G185" s="6"/>
      <c r="H185" s="4"/>
      <c r="I185" s="4"/>
      <c r="J185" s="4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4"/>
      <c r="W185" s="7"/>
      <c r="X185" s="7"/>
      <c r="Y185" s="7"/>
    </row>
    <row r="186">
      <c r="A186" s="4"/>
      <c r="B186" s="4"/>
      <c r="C186" s="8"/>
      <c r="D186" s="5"/>
      <c r="E186" s="6"/>
      <c r="F186" s="6"/>
      <c r="G186" s="6"/>
      <c r="H186" s="4"/>
      <c r="I186" s="4"/>
      <c r="J186" s="4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4"/>
      <c r="W186" s="7"/>
      <c r="X186" s="7"/>
      <c r="Y186" s="7"/>
    </row>
    <row r="187">
      <c r="A187" s="4"/>
      <c r="B187" s="4"/>
      <c r="C187" s="8"/>
      <c r="D187" s="5"/>
      <c r="E187" s="6"/>
      <c r="F187" s="6"/>
      <c r="G187" s="6"/>
      <c r="H187" s="4"/>
      <c r="I187" s="4"/>
      <c r="J187" s="4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4"/>
      <c r="W187" s="7"/>
      <c r="X187" s="7"/>
      <c r="Y187" s="7"/>
    </row>
    <row r="188">
      <c r="A188" s="4"/>
      <c r="B188" s="4"/>
      <c r="C188" s="8"/>
      <c r="D188" s="5"/>
      <c r="E188" s="6"/>
      <c r="F188" s="6"/>
      <c r="G188" s="6"/>
      <c r="H188" s="4"/>
      <c r="I188" s="4"/>
      <c r="J188" s="4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4"/>
      <c r="W188" s="7"/>
      <c r="X188" s="7"/>
      <c r="Y188" s="7"/>
    </row>
    <row r="189">
      <c r="A189" s="4"/>
      <c r="B189" s="4"/>
      <c r="C189" s="8"/>
      <c r="D189" s="5"/>
      <c r="E189" s="6"/>
      <c r="F189" s="6"/>
      <c r="G189" s="6"/>
      <c r="H189" s="4"/>
      <c r="I189" s="4"/>
      <c r="J189" s="4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4"/>
      <c r="W189" s="7"/>
      <c r="X189" s="7"/>
      <c r="Y189" s="7"/>
    </row>
    <row r="190">
      <c r="A190" s="4"/>
      <c r="B190" s="4"/>
      <c r="C190" s="8"/>
      <c r="D190" s="5"/>
      <c r="E190" s="6"/>
      <c r="F190" s="6"/>
      <c r="G190" s="6"/>
      <c r="H190" s="4"/>
      <c r="I190" s="4"/>
      <c r="J190" s="4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4"/>
      <c r="W190" s="7"/>
      <c r="X190" s="7"/>
      <c r="Y190" s="7"/>
    </row>
    <row r="191">
      <c r="A191" s="4"/>
      <c r="B191" s="4"/>
      <c r="C191" s="8"/>
      <c r="D191" s="5"/>
      <c r="E191" s="6"/>
      <c r="F191" s="6"/>
      <c r="G191" s="6"/>
      <c r="H191" s="4"/>
      <c r="I191" s="4"/>
      <c r="J191" s="4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4"/>
      <c r="W191" s="7"/>
      <c r="X191" s="7"/>
      <c r="Y191" s="7"/>
    </row>
    <row r="192">
      <c r="A192" s="4"/>
      <c r="B192" s="4"/>
      <c r="C192" s="8"/>
      <c r="D192" s="5"/>
      <c r="E192" s="6"/>
      <c r="F192" s="6"/>
      <c r="G192" s="6"/>
      <c r="H192" s="4"/>
      <c r="I192" s="4"/>
      <c r="J192" s="4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4"/>
      <c r="W192" s="7"/>
      <c r="X192" s="7"/>
      <c r="Y192" s="7"/>
    </row>
    <row r="193">
      <c r="A193" s="4"/>
      <c r="B193" s="4"/>
      <c r="C193" s="8"/>
      <c r="D193" s="5"/>
      <c r="E193" s="6"/>
      <c r="F193" s="6"/>
      <c r="G193" s="6"/>
      <c r="H193" s="4"/>
      <c r="I193" s="4"/>
      <c r="J193" s="4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4"/>
      <c r="W193" s="7"/>
      <c r="X193" s="7"/>
      <c r="Y193" s="7"/>
    </row>
    <row r="194">
      <c r="A194" s="4"/>
      <c r="B194" s="4"/>
      <c r="C194" s="8"/>
      <c r="D194" s="5"/>
      <c r="E194" s="6"/>
      <c r="F194" s="6"/>
      <c r="G194" s="6"/>
      <c r="H194" s="4"/>
      <c r="I194" s="4"/>
      <c r="J194" s="4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4"/>
      <c r="W194" s="7"/>
      <c r="X194" s="7"/>
      <c r="Y194" s="7"/>
    </row>
    <row r="195">
      <c r="A195" s="4"/>
      <c r="B195" s="4"/>
      <c r="C195" s="8"/>
      <c r="D195" s="5"/>
      <c r="E195" s="6"/>
      <c r="F195" s="6"/>
      <c r="G195" s="6"/>
      <c r="H195" s="4"/>
      <c r="I195" s="4"/>
      <c r="J195" s="4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4"/>
      <c r="W195" s="7"/>
      <c r="X195" s="7"/>
      <c r="Y195" s="7"/>
    </row>
    <row r="196">
      <c r="A196" s="4"/>
      <c r="B196" s="4"/>
      <c r="C196" s="8"/>
      <c r="D196" s="5"/>
      <c r="E196" s="6"/>
      <c r="F196" s="6"/>
      <c r="G196" s="6"/>
      <c r="H196" s="4"/>
      <c r="I196" s="4"/>
      <c r="J196" s="4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4"/>
      <c r="W196" s="7"/>
      <c r="X196" s="7"/>
      <c r="Y196" s="7"/>
    </row>
    <row r="197">
      <c r="A197" s="4"/>
      <c r="B197" s="4"/>
      <c r="C197" s="8"/>
      <c r="D197" s="5"/>
      <c r="E197" s="6"/>
      <c r="F197" s="6"/>
      <c r="G197" s="6"/>
      <c r="H197" s="4"/>
      <c r="I197" s="4"/>
      <c r="J197" s="4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4"/>
      <c r="W197" s="7"/>
      <c r="X197" s="7"/>
      <c r="Y197" s="7"/>
    </row>
    <row r="198">
      <c r="A198" s="4"/>
      <c r="B198" s="4"/>
      <c r="C198" s="8"/>
      <c r="D198" s="5"/>
      <c r="E198" s="6"/>
      <c r="F198" s="6"/>
      <c r="G198" s="6"/>
      <c r="H198" s="4"/>
      <c r="I198" s="4"/>
      <c r="J198" s="4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4"/>
      <c r="W198" s="7"/>
      <c r="X198" s="7"/>
      <c r="Y198" s="7"/>
    </row>
    <row r="199">
      <c r="A199" s="4"/>
      <c r="B199" s="4"/>
      <c r="C199" s="8"/>
      <c r="D199" s="5"/>
      <c r="E199" s="6"/>
      <c r="F199" s="6"/>
      <c r="G199" s="6"/>
      <c r="H199" s="4"/>
      <c r="I199" s="4"/>
      <c r="J199" s="4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4"/>
      <c r="W199" s="7"/>
      <c r="X199" s="7"/>
      <c r="Y199" s="7"/>
    </row>
    <row r="200">
      <c r="A200" s="4"/>
      <c r="B200" s="4"/>
      <c r="C200" s="8"/>
      <c r="D200" s="5"/>
      <c r="E200" s="6"/>
      <c r="F200" s="6"/>
      <c r="G200" s="6"/>
      <c r="H200" s="4"/>
      <c r="I200" s="4"/>
      <c r="J200" s="4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4"/>
      <c r="W200" s="7"/>
      <c r="X200" s="7"/>
      <c r="Y200" s="7"/>
    </row>
    <row r="201">
      <c r="A201" s="4"/>
      <c r="B201" s="4"/>
      <c r="C201" s="8"/>
      <c r="D201" s="5"/>
      <c r="E201" s="6"/>
      <c r="F201" s="6"/>
      <c r="G201" s="6"/>
      <c r="H201" s="4"/>
      <c r="I201" s="4"/>
      <c r="J201" s="4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4"/>
      <c r="B202" s="4"/>
      <c r="C202" s="8"/>
      <c r="D202" s="5"/>
      <c r="E202" s="6"/>
      <c r="F202" s="6"/>
      <c r="G202" s="6"/>
      <c r="H202" s="4"/>
      <c r="I202" s="4"/>
      <c r="J202" s="4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4"/>
      <c r="B203" s="4"/>
      <c r="C203" s="8"/>
      <c r="D203" s="5"/>
      <c r="E203" s="6"/>
      <c r="F203" s="6"/>
      <c r="G203" s="6"/>
      <c r="H203" s="4"/>
      <c r="I203" s="4"/>
      <c r="J203" s="4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4"/>
      <c r="B204" s="4"/>
      <c r="C204" s="8"/>
      <c r="D204" s="5"/>
      <c r="E204" s="6"/>
      <c r="F204" s="6"/>
      <c r="G204" s="6"/>
      <c r="H204" s="4"/>
      <c r="I204" s="4"/>
      <c r="J204" s="4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4"/>
      <c r="B205" s="4"/>
      <c r="C205" s="8"/>
      <c r="D205" s="5"/>
      <c r="E205" s="6"/>
      <c r="F205" s="6"/>
      <c r="G205" s="6"/>
      <c r="H205" s="4"/>
      <c r="I205" s="4"/>
      <c r="J205" s="4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4"/>
      <c r="B206" s="4"/>
      <c r="C206" s="8"/>
      <c r="D206" s="5"/>
      <c r="E206" s="6"/>
      <c r="F206" s="6"/>
      <c r="G206" s="6"/>
      <c r="H206" s="4"/>
      <c r="I206" s="4"/>
      <c r="J206" s="4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4"/>
      <c r="B207" s="4"/>
      <c r="C207" s="8"/>
      <c r="D207" s="5"/>
      <c r="E207" s="6"/>
      <c r="F207" s="6"/>
      <c r="G207" s="6"/>
      <c r="H207" s="4"/>
      <c r="I207" s="4"/>
      <c r="J207" s="4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4"/>
      <c r="B208" s="4"/>
      <c r="C208" s="8"/>
      <c r="D208" s="5"/>
      <c r="E208" s="6"/>
      <c r="F208" s="6"/>
      <c r="G208" s="6"/>
      <c r="H208" s="4"/>
      <c r="I208" s="4"/>
      <c r="J208" s="4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4"/>
      <c r="B209" s="4"/>
      <c r="C209" s="8"/>
      <c r="D209" s="5"/>
      <c r="E209" s="6"/>
      <c r="F209" s="6"/>
      <c r="G209" s="6"/>
      <c r="H209" s="4"/>
      <c r="I209" s="4"/>
      <c r="J209" s="4"/>
      <c r="K209" s="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4"/>
      <c r="B210" s="4"/>
      <c r="C210" s="8"/>
      <c r="D210" s="5"/>
      <c r="E210" s="6"/>
      <c r="F210" s="6"/>
      <c r="G210" s="6"/>
      <c r="H210" s="4"/>
      <c r="I210" s="4"/>
      <c r="J210" s="4"/>
      <c r="K210" s="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4"/>
      <c r="B211" s="4"/>
      <c r="C211" s="8"/>
      <c r="D211" s="5"/>
      <c r="E211" s="6"/>
      <c r="F211" s="6"/>
      <c r="G211" s="6"/>
      <c r="H211" s="4"/>
      <c r="I211" s="4"/>
      <c r="J211" s="4"/>
      <c r="K211" s="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4"/>
      <c r="B212" s="4"/>
      <c r="C212" s="8"/>
      <c r="D212" s="5"/>
      <c r="E212" s="6"/>
      <c r="F212" s="6"/>
      <c r="G212" s="6"/>
      <c r="H212" s="4"/>
      <c r="I212" s="4"/>
      <c r="J212" s="4"/>
      <c r="K212" s="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4"/>
      <c r="B213" s="4"/>
      <c r="C213" s="8"/>
      <c r="D213" s="5"/>
      <c r="E213" s="6"/>
      <c r="F213" s="6"/>
      <c r="G213" s="6"/>
      <c r="H213" s="4"/>
      <c r="I213" s="4"/>
      <c r="J213" s="4"/>
      <c r="K213" s="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4"/>
      <c r="B214" s="4"/>
      <c r="C214" s="8"/>
      <c r="D214" s="5"/>
      <c r="E214" s="6"/>
      <c r="F214" s="6"/>
      <c r="G214" s="6"/>
      <c r="H214" s="4"/>
      <c r="I214" s="4"/>
      <c r="J214" s="4"/>
      <c r="K214" s="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4"/>
      <c r="B215" s="4"/>
      <c r="C215" s="8"/>
      <c r="D215" s="5"/>
      <c r="E215" s="6"/>
      <c r="F215" s="6"/>
      <c r="G215" s="6"/>
      <c r="H215" s="4"/>
      <c r="I215" s="4"/>
      <c r="J215" s="4"/>
      <c r="K215" s="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4"/>
      <c r="B216" s="4"/>
      <c r="C216" s="8"/>
      <c r="D216" s="5"/>
      <c r="E216" s="6"/>
      <c r="F216" s="6"/>
      <c r="G216" s="6"/>
      <c r="H216" s="4"/>
      <c r="I216" s="4"/>
      <c r="J216" s="4"/>
      <c r="K216" s="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4"/>
      <c r="B217" s="4"/>
      <c r="C217" s="8"/>
      <c r="D217" s="5"/>
      <c r="E217" s="6"/>
      <c r="F217" s="6"/>
      <c r="G217" s="6"/>
      <c r="H217" s="4"/>
      <c r="I217" s="4"/>
      <c r="J217" s="4"/>
      <c r="K217" s="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4"/>
      <c r="B218" s="4"/>
      <c r="C218" s="8"/>
      <c r="D218" s="5"/>
      <c r="E218" s="6"/>
      <c r="F218" s="6"/>
      <c r="G218" s="6"/>
      <c r="H218" s="4"/>
      <c r="I218" s="4"/>
      <c r="J218" s="4"/>
      <c r="K218" s="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4"/>
      <c r="B219" s="4"/>
      <c r="C219" s="8"/>
      <c r="D219" s="5"/>
      <c r="E219" s="6"/>
      <c r="F219" s="6"/>
      <c r="G219" s="6"/>
      <c r="H219" s="4"/>
      <c r="I219" s="4"/>
      <c r="J219" s="4"/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4"/>
      <c r="B220" s="4"/>
      <c r="C220" s="8"/>
      <c r="D220" s="5"/>
      <c r="E220" s="6"/>
      <c r="F220" s="6"/>
      <c r="G220" s="6"/>
      <c r="H220" s="4"/>
      <c r="I220" s="4"/>
      <c r="J220" s="4"/>
      <c r="K220" s="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4"/>
      <c r="B221" s="4"/>
      <c r="C221" s="8"/>
      <c r="D221" s="5"/>
      <c r="E221" s="6"/>
      <c r="F221" s="6"/>
      <c r="G221" s="6"/>
      <c r="H221" s="4"/>
      <c r="I221" s="4"/>
      <c r="J221" s="4"/>
      <c r="K221" s="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4"/>
      <c r="B222" s="4"/>
      <c r="C222" s="8"/>
      <c r="D222" s="5"/>
      <c r="E222" s="6"/>
      <c r="F222" s="6"/>
      <c r="G222" s="6"/>
      <c r="H222" s="4"/>
      <c r="I222" s="4"/>
      <c r="J222" s="4"/>
      <c r="K222" s="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4"/>
      <c r="B223" s="4"/>
      <c r="C223" s="8"/>
      <c r="D223" s="5"/>
      <c r="E223" s="6"/>
      <c r="F223" s="6"/>
      <c r="G223" s="6"/>
      <c r="H223" s="4"/>
      <c r="I223" s="4"/>
      <c r="J223" s="4"/>
      <c r="K223" s="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4"/>
      <c r="B224" s="4"/>
      <c r="C224" s="8"/>
      <c r="D224" s="5"/>
      <c r="E224" s="6"/>
      <c r="F224" s="6"/>
      <c r="G224" s="6"/>
      <c r="H224" s="4"/>
      <c r="I224" s="4"/>
      <c r="J224" s="4"/>
      <c r="K224" s="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4"/>
      <c r="B225" s="4"/>
      <c r="C225" s="8"/>
      <c r="D225" s="5"/>
      <c r="E225" s="6"/>
      <c r="F225" s="6"/>
      <c r="G225" s="6"/>
      <c r="H225" s="4"/>
      <c r="I225" s="4"/>
      <c r="J225" s="4"/>
      <c r="K225" s="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4"/>
      <c r="B226" s="4"/>
      <c r="C226" s="8"/>
      <c r="D226" s="5"/>
      <c r="E226" s="6"/>
      <c r="F226" s="6"/>
      <c r="G226" s="6"/>
      <c r="H226" s="4"/>
      <c r="I226" s="4"/>
      <c r="J226" s="4"/>
      <c r="K226" s="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4"/>
      <c r="B227" s="4"/>
      <c r="C227" s="8"/>
      <c r="D227" s="5"/>
      <c r="E227" s="6"/>
      <c r="F227" s="6"/>
      <c r="G227" s="6"/>
      <c r="H227" s="4"/>
      <c r="I227" s="4"/>
      <c r="J227" s="4"/>
      <c r="K227" s="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4"/>
      <c r="B228" s="4"/>
      <c r="C228" s="8"/>
      <c r="D228" s="5"/>
      <c r="E228" s="6"/>
      <c r="F228" s="6"/>
      <c r="G228" s="6"/>
      <c r="H228" s="4"/>
      <c r="I228" s="4"/>
      <c r="J228" s="4"/>
      <c r="K228" s="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4"/>
      <c r="B229" s="4"/>
      <c r="C229" s="8"/>
      <c r="D229" s="5"/>
      <c r="E229" s="6"/>
      <c r="F229" s="6"/>
      <c r="G229" s="6"/>
      <c r="H229" s="4"/>
      <c r="I229" s="4"/>
      <c r="J229" s="4"/>
      <c r="K229" s="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4"/>
      <c r="B230" s="4"/>
      <c r="C230" s="4"/>
      <c r="D230" s="5"/>
      <c r="E230" s="6"/>
      <c r="F230" s="6"/>
      <c r="G230" s="6"/>
      <c r="H230" s="4"/>
      <c r="I230" s="4"/>
      <c r="J230" s="4"/>
      <c r="K230" s="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4"/>
      <c r="B231" s="4"/>
      <c r="C231" s="4"/>
      <c r="D231" s="5"/>
      <c r="E231" s="6"/>
      <c r="F231" s="6"/>
      <c r="G231" s="6"/>
      <c r="H231" s="4"/>
      <c r="I231" s="4"/>
      <c r="J231" s="4"/>
      <c r="K231" s="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4"/>
      <c r="B232" s="4"/>
      <c r="C232" s="4"/>
      <c r="D232" s="5"/>
      <c r="E232" s="6"/>
      <c r="F232" s="6"/>
      <c r="G232" s="6"/>
      <c r="H232" s="4"/>
      <c r="I232" s="4"/>
      <c r="J232" s="4"/>
      <c r="K232" s="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4"/>
      <c r="B233" s="4"/>
      <c r="C233" s="8"/>
      <c r="D233" s="5"/>
      <c r="E233" s="6"/>
      <c r="F233" s="6"/>
      <c r="G233" s="6"/>
      <c r="H233" s="4"/>
      <c r="I233" s="4"/>
      <c r="J233" s="4"/>
      <c r="K233" s="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4"/>
      <c r="B234" s="4"/>
      <c r="C234" s="8"/>
      <c r="D234" s="5"/>
      <c r="E234" s="6"/>
      <c r="F234" s="6"/>
      <c r="G234" s="6"/>
      <c r="H234" s="4"/>
      <c r="I234" s="4"/>
      <c r="J234" s="4"/>
      <c r="K234" s="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4"/>
      <c r="B235" s="4"/>
      <c r="C235" s="8"/>
      <c r="D235" s="5"/>
      <c r="E235" s="6"/>
      <c r="F235" s="6"/>
      <c r="G235" s="6"/>
      <c r="H235" s="4"/>
      <c r="I235" s="4"/>
      <c r="J235" s="4"/>
      <c r="K235" s="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4"/>
      <c r="B236" s="4"/>
      <c r="C236" s="8"/>
      <c r="D236" s="5"/>
      <c r="E236" s="6"/>
      <c r="F236" s="6"/>
      <c r="G236" s="6"/>
      <c r="H236" s="4"/>
      <c r="I236" s="4"/>
      <c r="J236" s="4"/>
      <c r="K236" s="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4"/>
      <c r="B237" s="4"/>
      <c r="C237" s="8"/>
      <c r="D237" s="5"/>
      <c r="E237" s="6"/>
      <c r="F237" s="6"/>
      <c r="G237" s="6"/>
      <c r="H237" s="4"/>
      <c r="I237" s="4"/>
      <c r="J237" s="4"/>
      <c r="K237" s="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4"/>
      <c r="B238" s="4"/>
      <c r="C238" s="8"/>
      <c r="D238" s="5"/>
      <c r="E238" s="6"/>
      <c r="F238" s="6"/>
      <c r="G238" s="6"/>
      <c r="H238" s="4"/>
      <c r="I238" s="4"/>
      <c r="J238" s="4"/>
      <c r="K238" s="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4"/>
      <c r="B239" s="4"/>
      <c r="C239" s="8"/>
      <c r="D239" s="5"/>
      <c r="E239" s="6"/>
      <c r="F239" s="6"/>
      <c r="G239" s="6"/>
      <c r="H239" s="4"/>
      <c r="I239" s="4"/>
      <c r="J239" s="4"/>
      <c r="K239" s="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4"/>
      <c r="B240" s="4"/>
      <c r="C240" s="8"/>
      <c r="D240" s="9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11"/>
      <c r="D241" s="9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11"/>
      <c r="D242" s="9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11"/>
      <c r="D243" s="9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11"/>
      <c r="D244" s="9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11"/>
      <c r="D245" s="9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11"/>
      <c r="D246" s="9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11"/>
      <c r="D247" s="9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11"/>
      <c r="D248" s="9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11"/>
      <c r="D249" s="9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11"/>
      <c r="D250" s="9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11"/>
      <c r="D251" s="9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11"/>
      <c r="D252" s="9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11"/>
      <c r="D253" s="9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11"/>
      <c r="D254" s="9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11"/>
      <c r="D255" s="9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11"/>
      <c r="D256" s="9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11"/>
      <c r="D257" s="9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11"/>
      <c r="D258" s="9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11"/>
      <c r="D259" s="9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11"/>
      <c r="D260" s="9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11"/>
      <c r="D261" s="9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11"/>
      <c r="D262" s="9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11"/>
      <c r="D263" s="9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11"/>
      <c r="D264" s="9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11"/>
      <c r="D265" s="9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11"/>
      <c r="D266" s="9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11"/>
      <c r="D267" s="9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11"/>
      <c r="D268" s="9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11"/>
      <c r="D269" s="9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11"/>
      <c r="D270" s="9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11"/>
      <c r="D271" s="9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11"/>
      <c r="D272" s="9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11"/>
      <c r="D273" s="9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11"/>
      <c r="D274" s="9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11"/>
      <c r="D275" s="9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11"/>
      <c r="D276" s="9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11"/>
      <c r="D277" s="9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11"/>
      <c r="D278" s="9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11"/>
      <c r="D279" s="9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11"/>
      <c r="D280" s="9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11"/>
      <c r="D281" s="9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11"/>
      <c r="D282" s="9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11"/>
      <c r="D283" s="9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11"/>
      <c r="D284" s="9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11"/>
      <c r="D285" s="9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11"/>
      <c r="D286" s="9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11"/>
      <c r="D287" s="9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11"/>
      <c r="D288" s="9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11"/>
      <c r="D289" s="9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11"/>
      <c r="D290" s="9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11"/>
      <c r="D291" s="9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11"/>
      <c r="D292" s="9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11"/>
      <c r="D293" s="9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11"/>
      <c r="D294" s="9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11"/>
      <c r="D295" s="9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11"/>
      <c r="D296" s="9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11"/>
      <c r="D297" s="9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11"/>
      <c r="D298" s="9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11"/>
      <c r="D299" s="9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11"/>
      <c r="D300" s="9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11"/>
      <c r="D301" s="9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11"/>
      <c r="D302" s="9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11"/>
      <c r="D303" s="9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11"/>
      <c r="D304" s="9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11"/>
      <c r="D305" s="9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11"/>
      <c r="D306" s="9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11"/>
      <c r="D307" s="9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11"/>
      <c r="D308" s="9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11"/>
      <c r="D309" s="9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11"/>
      <c r="D310" s="9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11"/>
      <c r="D311" s="9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11"/>
      <c r="D312" s="9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11"/>
      <c r="D313" s="9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11"/>
      <c r="D314" s="9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11"/>
      <c r="D315" s="9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11"/>
      <c r="D316" s="9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11"/>
      <c r="D317" s="9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11"/>
      <c r="D318" s="9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11"/>
      <c r="D319" s="9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11"/>
      <c r="D320" s="9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11"/>
      <c r="D321" s="9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11"/>
      <c r="D322" s="9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11"/>
      <c r="D323" s="9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11"/>
      <c r="D324" s="9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11"/>
      <c r="D325" s="9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11"/>
      <c r="D326" s="9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11"/>
      <c r="D327" s="9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11"/>
      <c r="D328" s="9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11"/>
      <c r="D329" s="9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11"/>
      <c r="D330" s="9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11"/>
      <c r="D331" s="9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11"/>
      <c r="D332" s="9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11"/>
      <c r="D333" s="9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11"/>
      <c r="D334" s="9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11"/>
      <c r="D335" s="9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11"/>
      <c r="D336" s="9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11"/>
      <c r="D337" s="9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11"/>
      <c r="D338" s="9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11"/>
      <c r="D339" s="9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11"/>
      <c r="D340" s="9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11"/>
      <c r="D341" s="9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11"/>
      <c r="D342" s="9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11"/>
      <c r="D343" s="9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11"/>
      <c r="D344" s="9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11"/>
      <c r="D345" s="9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11"/>
      <c r="D346" s="9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11"/>
      <c r="D347" s="9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11"/>
      <c r="D348" s="9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11"/>
      <c r="D349" s="9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11"/>
      <c r="D350" s="9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11"/>
      <c r="D351" s="9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11"/>
      <c r="D352" s="9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11"/>
      <c r="D353" s="9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11"/>
      <c r="D354" s="9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11"/>
      <c r="D355" s="9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11"/>
      <c r="D356" s="9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11"/>
      <c r="D357" s="9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11"/>
      <c r="D358" s="9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11"/>
      <c r="D359" s="9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11"/>
      <c r="D360" s="9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11"/>
      <c r="D361" s="9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11"/>
      <c r="D362" s="9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11"/>
      <c r="D363" s="9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11"/>
      <c r="D364" s="9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11"/>
      <c r="D365" s="9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11"/>
      <c r="D366" s="9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11"/>
      <c r="D367" s="9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11"/>
      <c r="D368" s="9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11"/>
      <c r="D369" s="9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11"/>
      <c r="D370" s="9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11"/>
      <c r="D371" s="9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11"/>
      <c r="D372" s="9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11"/>
      <c r="D373" s="9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11"/>
      <c r="D374" s="9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11"/>
      <c r="D375" s="9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11"/>
      <c r="D376" s="9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11"/>
      <c r="D377" s="9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11"/>
      <c r="D378" s="9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11"/>
      <c r="D379" s="9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11"/>
      <c r="D380" s="9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11"/>
      <c r="D381" s="9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11"/>
      <c r="D382" s="9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11"/>
      <c r="D383" s="9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11"/>
      <c r="D384" s="9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11"/>
      <c r="D385" s="9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11"/>
      <c r="D386" s="9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11"/>
      <c r="D387" s="9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11"/>
      <c r="D388" s="9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11"/>
      <c r="D389" s="9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11"/>
      <c r="D390" s="9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11"/>
      <c r="D391" s="9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11"/>
      <c r="D392" s="9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11"/>
      <c r="D393" s="9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11"/>
      <c r="D394" s="9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11"/>
      <c r="D395" s="9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11"/>
      <c r="D396" s="9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11"/>
      <c r="D397" s="9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11"/>
      <c r="D398" s="9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11"/>
      <c r="D399" s="9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11"/>
      <c r="D400" s="9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11"/>
      <c r="D401" s="9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11"/>
      <c r="D402" s="9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11"/>
      <c r="D403" s="9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11"/>
      <c r="D404" s="9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11"/>
      <c r="D405" s="9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11"/>
      <c r="D406" s="9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11"/>
      <c r="D407" s="9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11"/>
      <c r="D408" s="9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11"/>
      <c r="D409" s="9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11"/>
      <c r="D410" s="9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11"/>
      <c r="D411" s="9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11"/>
      <c r="D412" s="9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11"/>
      <c r="D413" s="9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11"/>
      <c r="D414" s="9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11"/>
      <c r="D415" s="9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11"/>
      <c r="D416" s="9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11"/>
      <c r="D417" s="9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11"/>
      <c r="D418" s="9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11"/>
      <c r="D419" s="9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11"/>
      <c r="D420" s="9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11"/>
      <c r="D421" s="9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11"/>
      <c r="D422" s="9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11"/>
      <c r="D423" s="9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11"/>
      <c r="D424" s="9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11"/>
      <c r="D425" s="9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11"/>
      <c r="D426" s="9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11"/>
      <c r="D427" s="9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11"/>
      <c r="D428" s="9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11"/>
      <c r="D429" s="9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11"/>
      <c r="D430" s="9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11"/>
      <c r="D431" s="9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11"/>
      <c r="D432" s="9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11"/>
      <c r="D433" s="9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11"/>
      <c r="D434" s="9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11"/>
      <c r="D435" s="9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11"/>
      <c r="D436" s="9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11"/>
      <c r="D437" s="9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11"/>
      <c r="D438" s="9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11"/>
      <c r="D439" s="9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11"/>
      <c r="D440" s="9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11"/>
      <c r="D441" s="9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11"/>
      <c r="D442" s="9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11"/>
      <c r="D443" s="9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11"/>
      <c r="D444" s="9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11"/>
      <c r="D445" s="9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11"/>
      <c r="D446" s="9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11"/>
      <c r="D447" s="9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11"/>
      <c r="D448" s="9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11"/>
      <c r="D449" s="9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11"/>
      <c r="D450" s="9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11"/>
      <c r="D451" s="9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11"/>
      <c r="D452" s="9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11"/>
      <c r="D453" s="9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11"/>
      <c r="D454" s="9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11"/>
      <c r="D455" s="9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11"/>
      <c r="D456" s="9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11"/>
      <c r="D457" s="9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11"/>
      <c r="D458" s="9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11"/>
      <c r="D459" s="9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11"/>
      <c r="D460" s="9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11"/>
      <c r="D461" s="9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11"/>
      <c r="D462" s="9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11"/>
      <c r="D463" s="9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11"/>
      <c r="D464" s="9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11"/>
      <c r="D465" s="9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11"/>
      <c r="D466" s="9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11"/>
      <c r="D467" s="9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11"/>
      <c r="D468" s="9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11"/>
      <c r="D469" s="9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11"/>
      <c r="D470" s="9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11"/>
      <c r="D471" s="9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11"/>
      <c r="D472" s="9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11"/>
      <c r="D473" s="9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11"/>
      <c r="D474" s="9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11"/>
      <c r="D475" s="9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11"/>
      <c r="D476" s="9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11"/>
      <c r="D477" s="9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11"/>
      <c r="D478" s="9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11"/>
      <c r="D479" s="9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11"/>
      <c r="D480" s="9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11"/>
      <c r="D481" s="9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11"/>
      <c r="D482" s="9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11"/>
      <c r="D483" s="9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11"/>
      <c r="D484" s="9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11"/>
      <c r="D485" s="9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11"/>
      <c r="D486" s="9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11"/>
      <c r="D487" s="9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11"/>
      <c r="D488" s="9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11"/>
      <c r="D489" s="9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11"/>
      <c r="D490" s="9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11"/>
      <c r="D491" s="9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11"/>
      <c r="D492" s="9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11"/>
      <c r="D493" s="9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11"/>
      <c r="D494" s="9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11"/>
      <c r="D495" s="9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11"/>
      <c r="D496" s="9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11"/>
      <c r="D497" s="9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11"/>
      <c r="D498" s="9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11"/>
      <c r="D499" s="9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11"/>
      <c r="D500" s="9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11"/>
      <c r="D501" s="9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11"/>
      <c r="D502" s="9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11"/>
      <c r="D503" s="9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11"/>
      <c r="D504" s="9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11"/>
      <c r="D505" s="9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11"/>
      <c r="D506" s="9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11"/>
      <c r="D507" s="9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11"/>
      <c r="D508" s="9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11"/>
      <c r="D509" s="9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11"/>
      <c r="D510" s="9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11"/>
      <c r="D511" s="9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11"/>
      <c r="D512" s="9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11"/>
      <c r="D513" s="9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11"/>
      <c r="D514" s="9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11"/>
      <c r="D515" s="9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11"/>
      <c r="D516" s="9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11"/>
      <c r="D517" s="9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11"/>
      <c r="D518" s="9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11"/>
      <c r="D519" s="9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11"/>
      <c r="D520" s="9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11"/>
      <c r="D521" s="9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11"/>
      <c r="D522" s="9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11"/>
      <c r="D523" s="9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11"/>
      <c r="D524" s="9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11"/>
      <c r="D525" s="9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11"/>
      <c r="D526" s="9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11"/>
      <c r="D527" s="9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11"/>
      <c r="D528" s="9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11"/>
      <c r="D529" s="9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11"/>
      <c r="D530" s="9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11"/>
      <c r="D531" s="9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11"/>
      <c r="D532" s="9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11"/>
      <c r="D533" s="9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11"/>
      <c r="D534" s="9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11"/>
      <c r="D535" s="9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11"/>
      <c r="D536" s="9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11"/>
      <c r="D537" s="9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11"/>
      <c r="D538" s="9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11"/>
      <c r="D539" s="9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11"/>
      <c r="D540" s="9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11"/>
      <c r="D541" s="9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11"/>
      <c r="D542" s="9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11"/>
      <c r="D543" s="9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11"/>
      <c r="D544" s="9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11"/>
      <c r="D545" s="9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11"/>
      <c r="D546" s="9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11"/>
      <c r="D547" s="9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11"/>
      <c r="D548" s="9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11"/>
      <c r="D549" s="9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11"/>
      <c r="D550" s="9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11"/>
      <c r="D551" s="9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11"/>
      <c r="D552" s="9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11"/>
      <c r="D553" s="9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11"/>
      <c r="D554" s="9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11"/>
      <c r="D555" s="9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11"/>
      <c r="D556" s="9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11"/>
      <c r="D557" s="9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11"/>
      <c r="D558" s="9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11"/>
      <c r="D559" s="9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11"/>
      <c r="D560" s="9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11"/>
      <c r="D561" s="9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11"/>
      <c r="D562" s="9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11"/>
      <c r="D563" s="9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11"/>
      <c r="D564" s="9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11"/>
      <c r="D565" s="9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11"/>
      <c r="D566" s="9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11"/>
      <c r="D567" s="9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11"/>
      <c r="D568" s="9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11"/>
      <c r="D569" s="9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11"/>
      <c r="D570" s="9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11"/>
      <c r="D571" s="9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11"/>
      <c r="D572" s="9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11"/>
      <c r="D573" s="9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11"/>
      <c r="D574" s="9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11"/>
      <c r="D575" s="9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11"/>
      <c r="D576" s="9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11"/>
      <c r="D577" s="9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11"/>
      <c r="D578" s="9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11"/>
      <c r="D579" s="9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11"/>
      <c r="D580" s="9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11"/>
      <c r="D581" s="9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11"/>
      <c r="D582" s="9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11"/>
      <c r="D583" s="9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11"/>
      <c r="D584" s="9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11"/>
      <c r="D585" s="9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11"/>
      <c r="D586" s="9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11"/>
      <c r="D587" s="9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11"/>
      <c r="D588" s="9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11"/>
      <c r="D589" s="9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11"/>
      <c r="D590" s="9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11"/>
      <c r="D591" s="9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11"/>
      <c r="D592" s="9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11"/>
      <c r="D593" s="9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11"/>
      <c r="D594" s="9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11"/>
      <c r="D595" s="9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11"/>
      <c r="D596" s="9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11"/>
      <c r="D597" s="9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11"/>
      <c r="D598" s="9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11"/>
      <c r="D599" s="9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11"/>
      <c r="D600" s="9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11"/>
      <c r="D601" s="9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11"/>
      <c r="D602" s="9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11"/>
      <c r="D603" s="9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11"/>
      <c r="D604" s="9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11"/>
      <c r="D605" s="9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11"/>
      <c r="D606" s="9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11"/>
      <c r="D607" s="9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11"/>
      <c r="D608" s="9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11"/>
      <c r="D609" s="9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11"/>
      <c r="D610" s="9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11"/>
      <c r="D611" s="9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11"/>
      <c r="D612" s="9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11"/>
      <c r="D613" s="9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11"/>
      <c r="D614" s="9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11"/>
      <c r="D615" s="9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11"/>
      <c r="D616" s="9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11"/>
      <c r="D617" s="9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11"/>
      <c r="D618" s="9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11"/>
      <c r="D619" s="9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11"/>
      <c r="D620" s="9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11"/>
      <c r="D621" s="9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11"/>
      <c r="D622" s="9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11"/>
      <c r="D623" s="9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11"/>
      <c r="D624" s="9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11"/>
      <c r="D625" s="9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11"/>
      <c r="D626" s="9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11"/>
      <c r="D627" s="9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11"/>
      <c r="D628" s="9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11"/>
      <c r="D629" s="9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11"/>
      <c r="D630" s="9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11"/>
      <c r="D631" s="9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11"/>
      <c r="D632" s="9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11"/>
      <c r="D633" s="9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11"/>
      <c r="D634" s="9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11"/>
      <c r="D635" s="9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11"/>
      <c r="D636" s="9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11"/>
      <c r="D637" s="9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11"/>
      <c r="D638" s="9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11"/>
      <c r="D639" s="9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11"/>
      <c r="D640" s="9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11"/>
      <c r="D641" s="9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11"/>
      <c r="D642" s="9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11"/>
      <c r="D643" s="9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11"/>
      <c r="D644" s="9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11"/>
      <c r="D645" s="9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11"/>
      <c r="D646" s="9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11"/>
      <c r="D647" s="9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11"/>
      <c r="D648" s="9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11"/>
      <c r="D649" s="9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11"/>
      <c r="D650" s="9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11"/>
      <c r="D651" s="9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11"/>
      <c r="D652" s="9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11"/>
      <c r="D653" s="9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11"/>
      <c r="D654" s="9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11"/>
      <c r="D655" s="9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11"/>
      <c r="D656" s="9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11"/>
      <c r="D657" s="9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11"/>
      <c r="D658" s="9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11"/>
      <c r="D659" s="9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11"/>
      <c r="D660" s="9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11"/>
      <c r="D661" s="9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11"/>
      <c r="D662" s="9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11"/>
      <c r="D663" s="9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11"/>
      <c r="D664" s="9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11"/>
      <c r="D665" s="9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11"/>
      <c r="D666" s="9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11"/>
      <c r="D667" s="9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11"/>
      <c r="D668" s="9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11"/>
      <c r="D669" s="9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11"/>
      <c r="D670" s="9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11"/>
      <c r="D671" s="9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11"/>
      <c r="D672" s="9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11"/>
      <c r="D673" s="9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11"/>
      <c r="D674" s="9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11"/>
      <c r="D675" s="9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11"/>
      <c r="D676" s="9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11"/>
      <c r="D677" s="9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11"/>
      <c r="D678" s="9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11"/>
      <c r="D679" s="9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11"/>
      <c r="D680" s="9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11"/>
      <c r="D681" s="9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11"/>
      <c r="D682" s="9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11"/>
      <c r="D683" s="9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11"/>
      <c r="D684" s="9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11"/>
      <c r="D685" s="9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11"/>
      <c r="D686" s="9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11"/>
      <c r="D687" s="9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11"/>
      <c r="D688" s="9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11"/>
      <c r="D689" s="9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11"/>
      <c r="D690" s="9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11"/>
      <c r="D691" s="9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11"/>
      <c r="D692" s="9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11"/>
      <c r="D693" s="9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11"/>
      <c r="D694" s="9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11"/>
      <c r="D695" s="9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11"/>
      <c r="D696" s="9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11"/>
      <c r="D697" s="9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11"/>
      <c r="D698" s="9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11"/>
      <c r="D699" s="9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11"/>
      <c r="D700" s="9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11"/>
      <c r="D701" s="9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11"/>
      <c r="D702" s="9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11"/>
      <c r="D703" s="9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11"/>
      <c r="D704" s="9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11"/>
      <c r="D705" s="9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11"/>
      <c r="D706" s="9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11"/>
      <c r="D707" s="9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11"/>
      <c r="D708" s="9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11"/>
      <c r="D709" s="9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11"/>
      <c r="D710" s="9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11"/>
      <c r="D711" s="9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11"/>
      <c r="D712" s="9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11"/>
      <c r="D713" s="9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11"/>
      <c r="D714" s="9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11"/>
      <c r="D715" s="9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11"/>
      <c r="D716" s="9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11"/>
      <c r="D717" s="9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11"/>
      <c r="D718" s="9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11"/>
      <c r="D719" s="9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11"/>
      <c r="D720" s="9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11"/>
      <c r="D721" s="9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11"/>
      <c r="D722" s="9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11"/>
      <c r="D723" s="9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11"/>
      <c r="D724" s="9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11"/>
      <c r="D725" s="9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11"/>
      <c r="D726" s="9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11"/>
      <c r="D727" s="9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11"/>
      <c r="D728" s="9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11"/>
      <c r="D729" s="9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11"/>
      <c r="D730" s="9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11"/>
      <c r="D731" s="9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11"/>
      <c r="D732" s="9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11"/>
      <c r="D733" s="9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11"/>
      <c r="D734" s="9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11"/>
      <c r="D735" s="9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11"/>
      <c r="D736" s="9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11"/>
      <c r="D737" s="9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11"/>
      <c r="D738" s="9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11"/>
      <c r="D739" s="9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11"/>
      <c r="D740" s="9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11"/>
      <c r="D741" s="9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11"/>
      <c r="D742" s="9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11"/>
      <c r="D743" s="9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11"/>
      <c r="D744" s="9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11"/>
      <c r="D745" s="9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11"/>
      <c r="D746" s="9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11"/>
      <c r="D747" s="9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11"/>
      <c r="D748" s="9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11"/>
      <c r="D749" s="9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11"/>
      <c r="D750" s="9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11"/>
      <c r="D751" s="9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11"/>
      <c r="D752" s="9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11"/>
      <c r="D753" s="9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11"/>
      <c r="D754" s="9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11"/>
      <c r="D755" s="9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11"/>
      <c r="D756" s="9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11"/>
      <c r="D757" s="9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11"/>
      <c r="D758" s="9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11"/>
      <c r="D759" s="9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11"/>
      <c r="D760" s="9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11"/>
      <c r="D761" s="9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11"/>
      <c r="D762" s="9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11"/>
      <c r="D763" s="9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11"/>
      <c r="D764" s="9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11"/>
      <c r="D765" s="9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11"/>
      <c r="D766" s="9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11"/>
      <c r="D767" s="9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11"/>
      <c r="D768" s="9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11"/>
      <c r="D769" s="9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11"/>
      <c r="D770" s="9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11"/>
      <c r="D771" s="9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11"/>
      <c r="D772" s="9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11"/>
      <c r="D773" s="9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11"/>
      <c r="D774" s="9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11"/>
      <c r="D775" s="9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11"/>
      <c r="D776" s="9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11"/>
      <c r="D777" s="9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11"/>
      <c r="D778" s="9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11"/>
      <c r="D779" s="9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11"/>
      <c r="D780" s="9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11"/>
      <c r="D781" s="9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11"/>
      <c r="D782" s="9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11"/>
      <c r="D783" s="9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11"/>
      <c r="D784" s="9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11"/>
      <c r="D785" s="9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11"/>
      <c r="D786" s="9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11"/>
      <c r="D787" s="9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11"/>
      <c r="D788" s="9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11"/>
      <c r="D789" s="9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11"/>
      <c r="D790" s="9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11"/>
      <c r="D791" s="9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11"/>
      <c r="D792" s="9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11"/>
      <c r="D793" s="9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11"/>
      <c r="D794" s="9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11"/>
      <c r="D795" s="9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11"/>
      <c r="D796" s="9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11"/>
      <c r="D797" s="9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11"/>
      <c r="D798" s="9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11"/>
      <c r="D799" s="9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11"/>
      <c r="D800" s="9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11"/>
      <c r="D801" s="9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11"/>
      <c r="D802" s="9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11"/>
      <c r="D803" s="9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11"/>
      <c r="D804" s="9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11"/>
      <c r="D805" s="9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11"/>
      <c r="D806" s="9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11"/>
      <c r="D807" s="9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11"/>
      <c r="D808" s="9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11"/>
      <c r="D809" s="9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11"/>
      <c r="D810" s="9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11"/>
      <c r="D811" s="9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11"/>
      <c r="D812" s="9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11"/>
      <c r="D813" s="9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11"/>
      <c r="D814" s="9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11"/>
      <c r="D815" s="9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11"/>
      <c r="D816" s="9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11"/>
      <c r="D817" s="9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11"/>
      <c r="D818" s="9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11"/>
      <c r="D819" s="9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11"/>
      <c r="D820" s="9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11"/>
      <c r="D821" s="9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11"/>
      <c r="D822" s="9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11"/>
      <c r="D823" s="9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11"/>
      <c r="D824" s="9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11"/>
      <c r="D825" s="9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11"/>
      <c r="D826" s="9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11"/>
      <c r="D827" s="9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11"/>
      <c r="D828" s="9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11"/>
      <c r="D829" s="9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11"/>
      <c r="D830" s="9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11"/>
      <c r="D831" s="9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11"/>
      <c r="D832" s="9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11"/>
      <c r="D833" s="9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11"/>
      <c r="D834" s="9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11"/>
      <c r="D835" s="9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11"/>
      <c r="D836" s="9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11"/>
      <c r="D837" s="9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11"/>
      <c r="D838" s="9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11"/>
      <c r="D839" s="9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11"/>
      <c r="D840" s="9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11"/>
      <c r="D841" s="9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11"/>
      <c r="D842" s="9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11"/>
      <c r="D843" s="9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11"/>
      <c r="D844" s="9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11"/>
      <c r="D845" s="9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11"/>
      <c r="D846" s="9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11"/>
      <c r="D847" s="9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11"/>
      <c r="D848" s="9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11"/>
      <c r="D849" s="9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11"/>
      <c r="D850" s="9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11"/>
      <c r="D851" s="9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11"/>
      <c r="D852" s="9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11"/>
      <c r="D853" s="9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11"/>
      <c r="D854" s="9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11"/>
      <c r="D855" s="9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11"/>
      <c r="D856" s="9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11"/>
      <c r="D857" s="9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11"/>
      <c r="D858" s="9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11"/>
      <c r="D859" s="9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11"/>
      <c r="D860" s="9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11"/>
      <c r="D861" s="9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11"/>
      <c r="D862" s="9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11"/>
      <c r="D863" s="9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11"/>
      <c r="D864" s="9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11"/>
      <c r="D865" s="9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11"/>
      <c r="D866" s="9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11"/>
      <c r="D867" s="9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11"/>
      <c r="D868" s="9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11"/>
      <c r="D869" s="9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11"/>
      <c r="D870" s="9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11"/>
      <c r="D871" s="9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11"/>
      <c r="D872" s="9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11"/>
      <c r="D873" s="9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11"/>
      <c r="D874" s="9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11"/>
      <c r="D875" s="9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11"/>
      <c r="D876" s="9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11"/>
      <c r="D877" s="9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11"/>
      <c r="D878" s="9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11"/>
      <c r="D879" s="9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11"/>
      <c r="D880" s="9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11"/>
      <c r="D881" s="9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11"/>
      <c r="D882" s="9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11"/>
      <c r="D883" s="9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11"/>
      <c r="D884" s="9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11"/>
      <c r="D885" s="9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11"/>
      <c r="D886" s="9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11"/>
      <c r="D887" s="9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11"/>
      <c r="D888" s="9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11"/>
      <c r="D889" s="9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11"/>
      <c r="D890" s="9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11"/>
      <c r="D891" s="9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11"/>
      <c r="D892" s="9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11"/>
      <c r="D893" s="9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11"/>
      <c r="D894" s="9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11"/>
      <c r="D895" s="9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11"/>
      <c r="D896" s="9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11"/>
      <c r="D897" s="9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11"/>
      <c r="D898" s="9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11"/>
      <c r="D899" s="9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11"/>
      <c r="D900" s="9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11"/>
      <c r="D901" s="9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11"/>
      <c r="D902" s="9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11"/>
      <c r="D903" s="9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11"/>
      <c r="D904" s="9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11"/>
      <c r="D905" s="9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11"/>
      <c r="D906" s="9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11"/>
      <c r="D907" s="9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11"/>
      <c r="D908" s="9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11"/>
      <c r="D909" s="9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11"/>
      <c r="D910" s="9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11"/>
      <c r="D911" s="9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11"/>
      <c r="D912" s="9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11"/>
      <c r="D913" s="9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11"/>
      <c r="D914" s="9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11"/>
      <c r="D915" s="9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11"/>
      <c r="D916" s="9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11"/>
      <c r="D917" s="9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11"/>
      <c r="D918" s="9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11"/>
      <c r="D919" s="9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11"/>
      <c r="D920" s="9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11"/>
      <c r="D921" s="9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11"/>
      <c r="D922" s="9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11"/>
      <c r="D923" s="9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11"/>
      <c r="D924" s="9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11"/>
      <c r="D925" s="9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11"/>
      <c r="D926" s="9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11"/>
      <c r="D927" s="9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11"/>
      <c r="D928" s="9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11"/>
      <c r="D929" s="9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11"/>
      <c r="D930" s="9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11"/>
      <c r="D931" s="9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11"/>
      <c r="D932" s="9"/>
      <c r="E932" s="10"/>
      <c r="F932" s="10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11"/>
      <c r="D933" s="9"/>
      <c r="E933" s="10"/>
      <c r="F933" s="10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11"/>
      <c r="D934" s="9"/>
      <c r="E934" s="10"/>
      <c r="F934" s="10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11"/>
      <c r="D935" s="9"/>
      <c r="E935" s="10"/>
      <c r="F935" s="10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11"/>
      <c r="D936" s="9"/>
      <c r="E936" s="10"/>
      <c r="F936" s="10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11"/>
      <c r="D937" s="9"/>
      <c r="E937" s="10"/>
      <c r="F937" s="10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11"/>
      <c r="D938" s="9"/>
      <c r="E938" s="10"/>
      <c r="F938" s="10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11"/>
      <c r="D939" s="9"/>
      <c r="E939" s="10"/>
      <c r="F939" s="10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11"/>
      <c r="D940" s="9"/>
      <c r="E940" s="10"/>
      <c r="F940" s="10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11"/>
      <c r="D941" s="9"/>
      <c r="E941" s="10"/>
      <c r="F941" s="10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11"/>
      <c r="D942" s="9"/>
      <c r="E942" s="10"/>
      <c r="F942" s="10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11"/>
      <c r="D943" s="9"/>
      <c r="E943" s="10"/>
      <c r="F943" s="10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11"/>
      <c r="D944" s="9"/>
      <c r="E944" s="10"/>
      <c r="F944" s="10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11"/>
      <c r="D945" s="9"/>
      <c r="E945" s="10"/>
      <c r="F945" s="10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11"/>
      <c r="D946" s="9"/>
      <c r="E946" s="10"/>
      <c r="F946" s="10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11"/>
      <c r="D947" s="9"/>
      <c r="E947" s="10"/>
      <c r="F947" s="10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11"/>
      <c r="D948" s="9"/>
      <c r="E948" s="10"/>
      <c r="F948" s="10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11"/>
      <c r="D949" s="9"/>
      <c r="E949" s="10"/>
      <c r="F949" s="10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11"/>
      <c r="D950" s="9"/>
      <c r="E950" s="10"/>
      <c r="F950" s="10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11"/>
      <c r="D951" s="9"/>
      <c r="E951" s="10"/>
      <c r="F951" s="10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11"/>
      <c r="D952" s="9"/>
      <c r="E952" s="10"/>
      <c r="F952" s="10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11"/>
      <c r="D953" s="9"/>
      <c r="E953" s="10"/>
      <c r="F953" s="10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11"/>
      <c r="D954" s="9"/>
      <c r="E954" s="10"/>
      <c r="F954" s="10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11"/>
      <c r="D955" s="9"/>
      <c r="E955" s="10"/>
      <c r="F955" s="10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11"/>
      <c r="D956" s="9"/>
      <c r="E956" s="10"/>
      <c r="F956" s="10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11"/>
      <c r="D957" s="9"/>
      <c r="E957" s="10"/>
      <c r="F957" s="10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11"/>
      <c r="D958" s="9"/>
      <c r="E958" s="10"/>
      <c r="F958" s="10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11"/>
      <c r="D959" s="9"/>
      <c r="E959" s="10"/>
      <c r="F959" s="10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11"/>
      <c r="D960" s="9"/>
      <c r="E960" s="10"/>
      <c r="F960" s="10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11"/>
      <c r="D961" s="9"/>
      <c r="E961" s="10"/>
      <c r="F961" s="10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11"/>
      <c r="D962" s="9"/>
      <c r="E962" s="10"/>
      <c r="F962" s="10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11"/>
      <c r="D963" s="9"/>
      <c r="E963" s="10"/>
      <c r="F963" s="10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11"/>
      <c r="D964" s="9"/>
      <c r="E964" s="10"/>
      <c r="F964" s="10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11"/>
      <c r="D965" s="9"/>
      <c r="E965" s="10"/>
      <c r="F965" s="10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11"/>
      <c r="D966" s="9"/>
      <c r="E966" s="10"/>
      <c r="F966" s="10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11"/>
      <c r="D967" s="9"/>
      <c r="E967" s="10"/>
      <c r="F967" s="10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11"/>
      <c r="D968" s="9"/>
      <c r="E968" s="10"/>
      <c r="F968" s="10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11"/>
      <c r="D969" s="9"/>
      <c r="E969" s="10"/>
      <c r="F969" s="10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11"/>
      <c r="D970" s="9"/>
      <c r="E970" s="10"/>
      <c r="F970" s="10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11"/>
      <c r="D971" s="9"/>
      <c r="E971" s="10"/>
      <c r="F971" s="10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11"/>
      <c r="D972" s="9"/>
      <c r="E972" s="10"/>
      <c r="F972" s="10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11"/>
      <c r="D973" s="9"/>
      <c r="E973" s="10"/>
      <c r="F973" s="10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11"/>
      <c r="D974" s="9"/>
      <c r="E974" s="10"/>
      <c r="F974" s="10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11"/>
      <c r="D975" s="9"/>
      <c r="E975" s="10"/>
      <c r="F975" s="10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11"/>
      <c r="D976" s="9"/>
      <c r="E976" s="10"/>
      <c r="F976" s="10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11"/>
      <c r="D977" s="9"/>
      <c r="E977" s="10"/>
      <c r="F977" s="10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11"/>
      <c r="D978" s="9"/>
      <c r="E978" s="10"/>
      <c r="F978" s="10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11"/>
      <c r="D979" s="9"/>
      <c r="E979" s="10"/>
      <c r="F979" s="10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11"/>
      <c r="D980" s="9"/>
      <c r="E980" s="10"/>
      <c r="F980" s="10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11"/>
      <c r="D981" s="9"/>
      <c r="E981" s="10"/>
      <c r="F981" s="10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11"/>
      <c r="D982" s="9"/>
      <c r="E982" s="10"/>
      <c r="F982" s="10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11"/>
      <c r="D983" s="9"/>
      <c r="E983" s="10"/>
      <c r="F983" s="10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11"/>
      <c r="D984" s="9"/>
      <c r="E984" s="10"/>
      <c r="F984" s="10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11"/>
      <c r="D985" s="9"/>
      <c r="E985" s="10"/>
      <c r="F985" s="10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11"/>
      <c r="D986" s="9"/>
      <c r="E986" s="10"/>
      <c r="F986" s="10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11"/>
      <c r="D987" s="9"/>
      <c r="E987" s="10"/>
      <c r="F987" s="10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11"/>
      <c r="D988" s="9"/>
      <c r="E988" s="10"/>
      <c r="F988" s="10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11"/>
      <c r="D989" s="9"/>
      <c r="E989" s="10"/>
      <c r="F989" s="10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11"/>
      <c r="D990" s="9"/>
      <c r="E990" s="10"/>
      <c r="F990" s="10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11"/>
      <c r="D991" s="9"/>
      <c r="E991" s="10"/>
      <c r="F991" s="10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11"/>
      <c r="D992" s="9"/>
      <c r="E992" s="10"/>
      <c r="F992" s="10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11"/>
      <c r="D993" s="9"/>
      <c r="E993" s="10"/>
      <c r="F993" s="10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11"/>
      <c r="D994" s="9"/>
      <c r="E994" s="10"/>
      <c r="F994" s="10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11"/>
      <c r="D995" s="9"/>
      <c r="E995" s="10"/>
      <c r="F995" s="10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11"/>
      <c r="D996" s="9"/>
      <c r="E996" s="10"/>
      <c r="F996" s="10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11"/>
      <c r="D997" s="9"/>
      <c r="E997" s="10"/>
      <c r="F997" s="10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11"/>
      <c r="D998" s="9"/>
      <c r="E998" s="10"/>
      <c r="F998" s="10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11"/>
      <c r="D999" s="9"/>
      <c r="E999" s="10"/>
      <c r="F999" s="10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11"/>
      <c r="D1000" s="9"/>
      <c r="E1000" s="10"/>
      <c r="F1000" s="10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11"/>
      <c r="D1001" s="9"/>
      <c r="E1001" s="10"/>
      <c r="F1001" s="10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8.25"/>
    <col customWidth="1" min="3" max="3" width="28.88"/>
    <col customWidth="1" hidden="1" min="4" max="4" width="7.75"/>
    <col customWidth="1" min="5" max="7" width="11.88"/>
    <col customWidth="1" hidden="1" min="8" max="8" width="8.38"/>
    <col customWidth="1" min="9" max="11" width="8.38"/>
    <col customWidth="1" hidden="1" min="12" max="12" width="9.63"/>
    <col customWidth="1" hidden="1" min="13" max="13" width="7.5"/>
    <col customWidth="1" hidden="1" min="14" max="14" width="12.63"/>
    <col customWidth="1" hidden="1" min="15" max="15" width="6.88"/>
    <col customWidth="1" hidden="1" min="16" max="16" width="12.13"/>
    <col customWidth="1" hidden="1" min="17" max="17" width="10.63"/>
    <col customWidth="1" hidden="1" min="18" max="18" width="5.5"/>
    <col customWidth="1" hidden="1" min="19" max="19" width="7.38"/>
    <col customWidth="1" hidden="1" min="20" max="20" width="6.13"/>
    <col customWidth="1" hidden="1" min="21" max="21" width="6.63"/>
    <col customWidth="1" hidden="1" min="22" max="22" width="3.5"/>
    <col customWidth="1" hidden="1" min="23" max="23" width="7.13"/>
    <col customWidth="1" hidden="1" min="24" max="24" width="7.0"/>
    <col customWidth="1" hidden="1" min="25" max="25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tr">
        <f>IFERROR(__xludf.DUMMYFUNCTION("FILTER(Master!A:Z, Master!T:T = ""X"")"),"Adventuring Gear")</f>
        <v>Adventuring Gear</v>
      </c>
      <c r="B2" s="4" t="str">
        <f>IFERROR(__xludf.DUMMYFUNCTION("""COMPUTED_VALUE"""),"-")</f>
        <v>-</v>
      </c>
      <c r="C2" s="4" t="str">
        <f>IFERROR(__xludf.DUMMYFUNCTION("""COMPUTED_VALUE"""),"Acid (vial)")</f>
        <v>Acid (vial)</v>
      </c>
      <c r="D2" s="5">
        <f>IFERROR(__xludf.DUMMYFUNCTION("""COMPUTED_VALUE"""),1.0)</f>
        <v>1</v>
      </c>
      <c r="E2" s="6">
        <f>IFERROR(__xludf.DUMMYFUNCTION("""COMPUTED_VALUE"""),25.0)</f>
        <v>25</v>
      </c>
      <c r="F2" s="6">
        <f>IFERROR(__xludf.DUMMYFUNCTION("""COMPUTED_VALUE"""),18.75)</f>
        <v>18.75</v>
      </c>
      <c r="G2" s="6">
        <f>IFERROR(__xludf.DUMMYFUNCTION("""COMPUTED_VALUE"""),37.5)</f>
        <v>37.5</v>
      </c>
      <c r="H2" s="4" t="str">
        <f>IFERROR(__xludf.DUMMYFUNCTION("""COMPUTED_VALUE"""),"PHB 2024")</f>
        <v>PHB 2024</v>
      </c>
      <c r="I2" s="4" t="str">
        <f>IFERROR(__xludf.DUMMYFUNCTION("""COMPUTED_VALUE"""),"x")</f>
        <v>x</v>
      </c>
      <c r="J2" s="4" t="str">
        <f>IFERROR(__xludf.DUMMYFUNCTION("""COMPUTED_VALUE"""),"x")</f>
        <v>x</v>
      </c>
      <c r="K2" s="4" t="str">
        <f>IFERROR(__xludf.DUMMYFUNCTION("""COMPUTED_VALUE"""),"x")</f>
        <v>x</v>
      </c>
      <c r="L2" s="7"/>
      <c r="M2" s="7"/>
      <c r="N2" s="7"/>
      <c r="O2" s="7"/>
      <c r="P2" s="7"/>
      <c r="Q2" s="7"/>
      <c r="R2" s="7"/>
      <c r="S2" s="7"/>
      <c r="T2" s="4" t="str">
        <f>IFERROR(__xludf.DUMMYFUNCTION("""COMPUTED_VALUE"""),"x")</f>
        <v>x</v>
      </c>
      <c r="U2" s="7"/>
      <c r="V2" s="7"/>
      <c r="W2" s="7"/>
      <c r="X2" s="7"/>
      <c r="Y2" s="7"/>
    </row>
    <row r="3">
      <c r="A3" s="4" t="str">
        <f>IFERROR(__xludf.DUMMYFUNCTION("""COMPUTED_VALUE"""),"Adventuring Gear")</f>
        <v>Adventuring Gear</v>
      </c>
      <c r="B3" s="4" t="str">
        <f>IFERROR(__xludf.DUMMYFUNCTION("""COMPUTED_VALUE"""),"-")</f>
        <v>-</v>
      </c>
      <c r="C3" s="4" t="str">
        <f>IFERROR(__xludf.DUMMYFUNCTION("""COMPUTED_VALUE"""),"Alchemist's Fire")</f>
        <v>Alchemist's Fire</v>
      </c>
      <c r="D3" s="5">
        <f>IFERROR(__xludf.DUMMYFUNCTION("""COMPUTED_VALUE"""),1.0)</f>
        <v>1</v>
      </c>
      <c r="E3" s="6">
        <f>IFERROR(__xludf.DUMMYFUNCTION("""COMPUTED_VALUE"""),50.0)</f>
        <v>50</v>
      </c>
      <c r="F3" s="6">
        <f>IFERROR(__xludf.DUMMYFUNCTION("""COMPUTED_VALUE"""),37.5)</f>
        <v>37.5</v>
      </c>
      <c r="G3" s="6">
        <f>IFERROR(__xludf.DUMMYFUNCTION("""COMPUTED_VALUE"""),75.0)</f>
        <v>75</v>
      </c>
      <c r="H3" s="4" t="str">
        <f>IFERROR(__xludf.DUMMYFUNCTION("""COMPUTED_VALUE"""),"PHB 2024")</f>
        <v>PHB 2024</v>
      </c>
      <c r="I3" s="4"/>
      <c r="J3" s="4" t="str">
        <f>IFERROR(__xludf.DUMMYFUNCTION("""COMPUTED_VALUE"""),"x")</f>
        <v>x</v>
      </c>
      <c r="K3" s="4" t="str">
        <f>IFERROR(__xludf.DUMMYFUNCTION("""COMPUTED_VALUE"""),"x")</f>
        <v>x</v>
      </c>
      <c r="L3" s="7"/>
      <c r="M3" s="7"/>
      <c r="N3" s="7"/>
      <c r="O3" s="7"/>
      <c r="P3" s="7"/>
      <c r="Q3" s="7"/>
      <c r="R3" s="7"/>
      <c r="S3" s="7"/>
      <c r="T3" s="4" t="str">
        <f>IFERROR(__xludf.DUMMYFUNCTION("""COMPUTED_VALUE"""),"x")</f>
        <v>x</v>
      </c>
      <c r="U3" s="7"/>
      <c r="V3" s="7"/>
      <c r="W3" s="7"/>
      <c r="X3" s="7"/>
      <c r="Y3" s="7"/>
    </row>
    <row r="4">
      <c r="A4" s="4" t="str">
        <f>IFERROR(__xludf.DUMMYFUNCTION("""COMPUTED_VALUE"""),"Adventuring Gear")</f>
        <v>Adventuring Gear</v>
      </c>
      <c r="B4" s="4" t="str">
        <f>IFERROR(__xludf.DUMMYFUNCTION("""COMPUTED_VALUE"""),"-")</f>
        <v>-</v>
      </c>
      <c r="C4" s="4" t="str">
        <f>IFERROR(__xludf.DUMMYFUNCTION("""COMPUTED_VALUE"""),"Antitoxin (vial)")</f>
        <v>Antitoxin (vial)</v>
      </c>
      <c r="D4" s="5" t="str">
        <f>IFERROR(__xludf.DUMMYFUNCTION("""COMPUTED_VALUE"""),"-")</f>
        <v>-</v>
      </c>
      <c r="E4" s="6">
        <f>IFERROR(__xludf.DUMMYFUNCTION("""COMPUTED_VALUE"""),50.0)</f>
        <v>50</v>
      </c>
      <c r="F4" s="6">
        <f>IFERROR(__xludf.DUMMYFUNCTION("""COMPUTED_VALUE"""),37.5)</f>
        <v>37.5</v>
      </c>
      <c r="G4" s="6">
        <f>IFERROR(__xludf.DUMMYFUNCTION("""COMPUTED_VALUE"""),75.0)</f>
        <v>75</v>
      </c>
      <c r="H4" s="4" t="str">
        <f>IFERROR(__xludf.DUMMYFUNCTION("""COMPUTED_VALUE"""),"PHB 2024")</f>
        <v>PHB 2024</v>
      </c>
      <c r="I4" s="4" t="str">
        <f>IFERROR(__xludf.DUMMYFUNCTION("""COMPUTED_VALUE"""),"x")</f>
        <v>x</v>
      </c>
      <c r="J4" s="4" t="str">
        <f>IFERROR(__xludf.DUMMYFUNCTION("""COMPUTED_VALUE"""),"x")</f>
        <v>x</v>
      </c>
      <c r="K4" s="4" t="str">
        <f>IFERROR(__xludf.DUMMYFUNCTION("""COMPUTED_VALUE"""),"x")</f>
        <v>x</v>
      </c>
      <c r="L4" s="7"/>
      <c r="M4" s="4"/>
      <c r="N4" s="7"/>
      <c r="O4" s="7"/>
      <c r="P4" s="7"/>
      <c r="Q4" s="4"/>
      <c r="R4" s="7"/>
      <c r="S4" s="7"/>
      <c r="T4" s="7" t="str">
        <f>IFERROR(__xludf.DUMMYFUNCTION("""COMPUTED_VALUE"""),"x")</f>
        <v>x</v>
      </c>
      <c r="U4" s="7"/>
      <c r="V4" s="7"/>
      <c r="W4" s="7"/>
      <c r="X4" s="7"/>
      <c r="Y4" s="7"/>
    </row>
    <row r="5">
      <c r="A5" s="4" t="str">
        <f>IFERROR(__xludf.DUMMYFUNCTION("""COMPUTED_VALUE"""),"Adventuring Gear")</f>
        <v>Adventuring Gear</v>
      </c>
      <c r="B5" s="4" t="str">
        <f>IFERROR(__xludf.DUMMYFUNCTION("""COMPUTED_VALUE"""),"-")</f>
        <v>-</v>
      </c>
      <c r="C5" s="8" t="str">
        <f>IFERROR(__xludf.DUMMYFUNCTION("""COMPUTED_VALUE"""),"Component Pouch")</f>
        <v>Component Pouch</v>
      </c>
      <c r="D5" s="5">
        <f>IFERROR(__xludf.DUMMYFUNCTION("""COMPUTED_VALUE"""),2.0)</f>
        <v>2</v>
      </c>
      <c r="E5" s="6">
        <f>IFERROR(__xludf.DUMMYFUNCTION("""COMPUTED_VALUE"""),25.0)</f>
        <v>25</v>
      </c>
      <c r="F5" s="6">
        <f>IFERROR(__xludf.DUMMYFUNCTION("""COMPUTED_VALUE"""),18.75)</f>
        <v>18.75</v>
      </c>
      <c r="G5" s="6">
        <f>IFERROR(__xludf.DUMMYFUNCTION("""COMPUTED_VALUE"""),37.5)</f>
        <v>37.5</v>
      </c>
      <c r="H5" s="4" t="str">
        <f>IFERROR(__xludf.DUMMYFUNCTION("""COMPUTED_VALUE"""),"PHB 2024")</f>
        <v>PHB 2024</v>
      </c>
      <c r="I5" s="4" t="str">
        <f>IFERROR(__xludf.DUMMYFUNCTION("""COMPUTED_VALUE"""),"x")</f>
        <v>x</v>
      </c>
      <c r="J5" s="4" t="str">
        <f>IFERROR(__xludf.DUMMYFUNCTION("""COMPUTED_VALUE"""),"x")</f>
        <v>x</v>
      </c>
      <c r="K5" s="4" t="str">
        <f>IFERROR(__xludf.DUMMYFUNCTION("""COMPUTED_VALUE"""),"x")</f>
        <v>x</v>
      </c>
      <c r="L5" s="7"/>
      <c r="M5" s="4"/>
      <c r="N5" s="7"/>
      <c r="O5" s="7"/>
      <c r="P5" s="7"/>
      <c r="Q5" s="4"/>
      <c r="R5" s="7" t="str">
        <f>IFERROR(__xludf.DUMMYFUNCTION("""COMPUTED_VALUE"""),"x")</f>
        <v>x</v>
      </c>
      <c r="S5" s="7"/>
      <c r="T5" s="7" t="str">
        <f>IFERROR(__xludf.DUMMYFUNCTION("""COMPUTED_VALUE"""),"x")</f>
        <v>x</v>
      </c>
      <c r="U5" s="7" t="str">
        <f>IFERROR(__xludf.DUMMYFUNCTION("""COMPUTED_VALUE"""),"x")</f>
        <v>x</v>
      </c>
      <c r="V5" s="7"/>
      <c r="W5" s="7"/>
      <c r="X5" s="7"/>
      <c r="Y5" s="7"/>
    </row>
    <row r="6">
      <c r="A6" s="4" t="str">
        <f>IFERROR(__xludf.DUMMYFUNCTION("""COMPUTED_VALUE"""),"Adventuring Gear")</f>
        <v>Adventuring Gear</v>
      </c>
      <c r="B6" s="4" t="str">
        <f>IFERROR(__xludf.DUMMYFUNCTION("""COMPUTED_VALUE"""),"-")</f>
        <v>-</v>
      </c>
      <c r="C6" s="8" t="str">
        <f>IFERROR(__xludf.DUMMYFUNCTION("""COMPUTED_VALUE"""),"Flask")</f>
        <v>Flask</v>
      </c>
      <c r="D6" s="5">
        <f>IFERROR(__xludf.DUMMYFUNCTION("""COMPUTED_VALUE"""),1.0)</f>
        <v>1</v>
      </c>
      <c r="E6" s="6">
        <f>IFERROR(__xludf.DUMMYFUNCTION("""COMPUTED_VALUE"""),0.02)</f>
        <v>0.02</v>
      </c>
      <c r="F6" s="6">
        <f>IFERROR(__xludf.DUMMYFUNCTION("""COMPUTED_VALUE"""),0.015)</f>
        <v>0.015</v>
      </c>
      <c r="G6" s="6">
        <f>IFERROR(__xludf.DUMMYFUNCTION("""COMPUTED_VALUE"""),0.03)</f>
        <v>0.03</v>
      </c>
      <c r="H6" s="4" t="str">
        <f>IFERROR(__xludf.DUMMYFUNCTION("""COMPUTED_VALUE"""),"PHB 2024")</f>
        <v>PHB 2024</v>
      </c>
      <c r="I6" s="4" t="str">
        <f>IFERROR(__xludf.DUMMYFUNCTION("""COMPUTED_VALUE"""),"x")</f>
        <v>x</v>
      </c>
      <c r="J6" s="4" t="str">
        <f>IFERROR(__xludf.DUMMYFUNCTION("""COMPUTED_VALUE"""),"x")</f>
        <v>x</v>
      </c>
      <c r="K6" s="4" t="str">
        <f>IFERROR(__xludf.DUMMYFUNCTION("""COMPUTED_VALUE"""),"x")</f>
        <v>x</v>
      </c>
      <c r="L6" s="7"/>
      <c r="M6" s="7"/>
      <c r="N6" s="7"/>
      <c r="O6" s="7" t="str">
        <f>IFERROR(__xludf.DUMMYFUNCTION("""COMPUTED_VALUE"""),"x")</f>
        <v>x</v>
      </c>
      <c r="P6" s="7" t="str">
        <f>IFERROR(__xludf.DUMMYFUNCTION("""COMPUTED_VALUE"""),"x")</f>
        <v>x</v>
      </c>
      <c r="Q6" s="7" t="str">
        <f>IFERROR(__xludf.DUMMYFUNCTION("""COMPUTED_VALUE"""),"x")</f>
        <v>x</v>
      </c>
      <c r="R6" s="7"/>
      <c r="S6" s="7"/>
      <c r="T6" s="7" t="str">
        <f>IFERROR(__xludf.DUMMYFUNCTION("""COMPUTED_VALUE"""),"x")</f>
        <v>x</v>
      </c>
      <c r="U6" s="7"/>
      <c r="V6" s="7"/>
      <c r="W6" s="4"/>
      <c r="X6" s="4"/>
      <c r="Y6" s="4"/>
    </row>
    <row r="7">
      <c r="A7" s="4" t="str">
        <f>IFERROR(__xludf.DUMMYFUNCTION("""COMPUTED_VALUE"""),"Adventuring Gear")</f>
        <v>Adventuring Gear</v>
      </c>
      <c r="B7" s="4" t="str">
        <f>IFERROR(__xludf.DUMMYFUNCTION("""COMPUTED_VALUE"""),"-")</f>
        <v>-</v>
      </c>
      <c r="C7" s="8" t="str">
        <f>IFERROR(__xludf.DUMMYFUNCTION("""COMPUTED_VALUE"""),"Oil")</f>
        <v>Oil</v>
      </c>
      <c r="D7" s="5">
        <f>IFERROR(__xludf.DUMMYFUNCTION("""COMPUTED_VALUE"""),1.0)</f>
        <v>1</v>
      </c>
      <c r="E7" s="6">
        <f>IFERROR(__xludf.DUMMYFUNCTION("""COMPUTED_VALUE"""),0.1)</f>
        <v>0.1</v>
      </c>
      <c r="F7" s="6">
        <f>IFERROR(__xludf.DUMMYFUNCTION("""COMPUTED_VALUE"""),0.07500000000000001)</f>
        <v>0.075</v>
      </c>
      <c r="G7" s="6">
        <f>IFERROR(__xludf.DUMMYFUNCTION("""COMPUTED_VALUE"""),0.15000000000000002)</f>
        <v>0.15</v>
      </c>
      <c r="H7" s="4" t="str">
        <f>IFERROR(__xludf.DUMMYFUNCTION("""COMPUTED_VALUE"""),"PHB 2024")</f>
        <v>PHB 2024</v>
      </c>
      <c r="I7" s="4" t="str">
        <f>IFERROR(__xludf.DUMMYFUNCTION("""COMPUTED_VALUE"""),"x")</f>
        <v>x</v>
      </c>
      <c r="J7" s="4" t="str">
        <f>IFERROR(__xludf.DUMMYFUNCTION("""COMPUTED_VALUE"""),"x")</f>
        <v>x</v>
      </c>
      <c r="K7" s="4" t="str">
        <f>IFERROR(__xludf.DUMMYFUNCTION("""COMPUTED_VALUE"""),"x")</f>
        <v>x</v>
      </c>
      <c r="L7" s="7"/>
      <c r="M7" s="7"/>
      <c r="N7" s="7"/>
      <c r="O7" s="7" t="str">
        <f>IFERROR(__xludf.DUMMYFUNCTION("""COMPUTED_VALUE"""),"x")</f>
        <v>x</v>
      </c>
      <c r="P7" s="7"/>
      <c r="Q7" s="4"/>
      <c r="R7" s="7"/>
      <c r="S7" s="7"/>
      <c r="T7" s="7" t="str">
        <f>IFERROR(__xludf.DUMMYFUNCTION("""COMPUTED_VALUE"""),"x")</f>
        <v>x</v>
      </c>
      <c r="U7" s="7"/>
      <c r="V7" s="7"/>
      <c r="W7" s="7" t="str">
        <f>IFERROR(__xludf.DUMMYFUNCTION("""COMPUTED_VALUE"""),"x")</f>
        <v>x</v>
      </c>
      <c r="X7" s="7"/>
      <c r="Y7" s="7"/>
    </row>
    <row r="8">
      <c r="A8" s="4" t="str">
        <f>IFERROR(__xludf.DUMMYFUNCTION("""COMPUTED_VALUE"""),"Adventuring Gear")</f>
        <v>Adventuring Gear</v>
      </c>
      <c r="B8" s="4" t="str">
        <f>IFERROR(__xludf.DUMMYFUNCTION("""COMPUTED_VALUE"""),"-")</f>
        <v>-</v>
      </c>
      <c r="C8" s="8" t="str">
        <f>IFERROR(__xludf.DUMMYFUNCTION("""COMPUTED_VALUE"""),"Perfume")</f>
        <v>Perfume</v>
      </c>
      <c r="D8" s="5" t="str">
        <f>IFERROR(__xludf.DUMMYFUNCTION("""COMPUTED_VALUE"""),"-")</f>
        <v>-</v>
      </c>
      <c r="E8" s="6">
        <f>IFERROR(__xludf.DUMMYFUNCTION("""COMPUTED_VALUE"""),5.0)</f>
        <v>5</v>
      </c>
      <c r="F8" s="6">
        <f>IFERROR(__xludf.DUMMYFUNCTION("""COMPUTED_VALUE"""),3.75)</f>
        <v>3.75</v>
      </c>
      <c r="G8" s="6">
        <f>IFERROR(__xludf.DUMMYFUNCTION("""COMPUTED_VALUE"""),7.5)</f>
        <v>7.5</v>
      </c>
      <c r="H8" s="4" t="str">
        <f>IFERROR(__xludf.DUMMYFUNCTION("""COMPUTED_VALUE"""),"PHB 2024")</f>
        <v>PHB 2024</v>
      </c>
      <c r="I8" s="4"/>
      <c r="J8" s="4"/>
      <c r="K8" s="4" t="str">
        <f>IFERROR(__xludf.DUMMYFUNCTION("""COMPUTED_VALUE"""),"x")</f>
        <v>x</v>
      </c>
      <c r="L8" s="7"/>
      <c r="M8" s="7"/>
      <c r="N8" s="7"/>
      <c r="O8" s="7" t="str">
        <f>IFERROR(__xludf.DUMMYFUNCTION("""COMPUTED_VALUE"""),"x")</f>
        <v>x</v>
      </c>
      <c r="P8" s="7"/>
      <c r="Q8" s="4"/>
      <c r="R8" s="7"/>
      <c r="S8" s="7"/>
      <c r="T8" s="7" t="str">
        <f>IFERROR(__xludf.DUMMYFUNCTION("""COMPUTED_VALUE"""),"x")</f>
        <v>x</v>
      </c>
      <c r="U8" s="7"/>
      <c r="V8" s="7"/>
      <c r="W8" s="7"/>
      <c r="X8" s="7"/>
      <c r="Y8" s="7"/>
    </row>
    <row r="9">
      <c r="A9" s="4" t="str">
        <f>IFERROR(__xludf.DUMMYFUNCTION("""COMPUTED_VALUE"""),"Adventuring Gear")</f>
        <v>Adventuring Gear</v>
      </c>
      <c r="B9" s="4" t="str">
        <f>IFERROR(__xludf.DUMMYFUNCTION("""COMPUTED_VALUE"""),"-")</f>
        <v>-</v>
      </c>
      <c r="C9" s="8" t="str">
        <f>IFERROR(__xludf.DUMMYFUNCTION("""COMPUTED_VALUE"""),"Poison, Basic")</f>
        <v>Poison, Basic</v>
      </c>
      <c r="D9" s="5" t="str">
        <f>IFERROR(__xludf.DUMMYFUNCTION("""COMPUTED_VALUE"""),"-")</f>
        <v>-</v>
      </c>
      <c r="E9" s="6">
        <f>IFERROR(__xludf.DUMMYFUNCTION("""COMPUTED_VALUE"""),100.0)</f>
        <v>100</v>
      </c>
      <c r="F9" s="6">
        <f>IFERROR(__xludf.DUMMYFUNCTION("""COMPUTED_VALUE"""),75.0)</f>
        <v>75</v>
      </c>
      <c r="G9" s="6">
        <f>IFERROR(__xludf.DUMMYFUNCTION("""COMPUTED_VALUE"""),150.0)</f>
        <v>150</v>
      </c>
      <c r="H9" s="4" t="str">
        <f>IFERROR(__xludf.DUMMYFUNCTION("""COMPUTED_VALUE"""),"PHB 2024")</f>
        <v>PHB 2024</v>
      </c>
      <c r="I9" s="4" t="str">
        <f>IFERROR(__xludf.DUMMYFUNCTION("""COMPUTED_VALUE"""),"x")</f>
        <v>x</v>
      </c>
      <c r="J9" s="4" t="str">
        <f>IFERROR(__xludf.DUMMYFUNCTION("""COMPUTED_VALUE"""),"x")</f>
        <v>x</v>
      </c>
      <c r="K9" s="4" t="str">
        <f>IFERROR(__xludf.DUMMYFUNCTION("""COMPUTED_VALUE"""),"x")</f>
        <v>x</v>
      </c>
      <c r="L9" s="7"/>
      <c r="M9" s="7"/>
      <c r="N9" s="7"/>
      <c r="O9" s="7"/>
      <c r="P9" s="7"/>
      <c r="Q9" s="7"/>
      <c r="R9" s="7"/>
      <c r="S9" s="7"/>
      <c r="T9" s="4" t="str">
        <f>IFERROR(__xludf.DUMMYFUNCTION("""COMPUTED_VALUE"""),"x")</f>
        <v>x</v>
      </c>
      <c r="U9" s="7"/>
      <c r="V9" s="7"/>
      <c r="W9" s="7" t="str">
        <f>IFERROR(__xludf.DUMMYFUNCTION("""COMPUTED_VALUE"""),"x")</f>
        <v>x</v>
      </c>
      <c r="X9" s="7"/>
      <c r="Y9" s="7"/>
    </row>
    <row r="10">
      <c r="A10" s="4" t="str">
        <f>IFERROR(__xludf.DUMMYFUNCTION("""COMPUTED_VALUE"""),"Adventuring Gear")</f>
        <v>Adventuring Gear</v>
      </c>
      <c r="B10" s="4" t="str">
        <f>IFERROR(__xludf.DUMMYFUNCTION("""COMPUTED_VALUE"""),"-")</f>
        <v>-</v>
      </c>
      <c r="C10" s="8" t="str">
        <f>IFERROR(__xludf.DUMMYFUNCTION("""COMPUTED_VALUE"""),"Potion of Healing")</f>
        <v>Potion of Healing</v>
      </c>
      <c r="D10" s="5">
        <f>IFERROR(__xludf.DUMMYFUNCTION("""COMPUTED_VALUE"""),0.5)</f>
        <v>0.5</v>
      </c>
      <c r="E10" s="6">
        <f>IFERROR(__xludf.DUMMYFUNCTION("""COMPUTED_VALUE"""),50.0)</f>
        <v>50</v>
      </c>
      <c r="F10" s="6">
        <f>IFERROR(__xludf.DUMMYFUNCTION("""COMPUTED_VALUE"""),37.5)</f>
        <v>37.5</v>
      </c>
      <c r="G10" s="6">
        <f>IFERROR(__xludf.DUMMYFUNCTION("""COMPUTED_VALUE"""),75.0)</f>
        <v>75</v>
      </c>
      <c r="H10" s="4" t="str">
        <f>IFERROR(__xludf.DUMMYFUNCTION("""COMPUTED_VALUE"""),"PHB 2024")</f>
        <v>PHB 2024</v>
      </c>
      <c r="I10" s="4"/>
      <c r="J10" s="4" t="str">
        <f>IFERROR(__xludf.DUMMYFUNCTION("""COMPUTED_VALUE"""),"x")</f>
        <v>x</v>
      </c>
      <c r="K10" s="4" t="str">
        <f>IFERROR(__xludf.DUMMYFUNCTION("""COMPUTED_VALUE"""),"x")</f>
        <v>x</v>
      </c>
      <c r="L10" s="7"/>
      <c r="M10" s="7"/>
      <c r="N10" s="7"/>
      <c r="O10" s="7" t="str">
        <f>IFERROR(__xludf.DUMMYFUNCTION("""COMPUTED_VALUE"""),"x")</f>
        <v>x</v>
      </c>
      <c r="P10" s="7"/>
      <c r="Q10" s="7"/>
      <c r="R10" s="7"/>
      <c r="S10" s="4"/>
      <c r="T10" s="7" t="str">
        <f>IFERROR(__xludf.DUMMYFUNCTION("""COMPUTED_VALUE"""),"x")</f>
        <v>x</v>
      </c>
      <c r="U10" s="4"/>
      <c r="V10" s="7"/>
      <c r="W10" s="7"/>
      <c r="X10" s="7"/>
      <c r="Y10" s="7"/>
    </row>
    <row r="11">
      <c r="A11" s="4" t="str">
        <f>IFERROR(__xludf.DUMMYFUNCTION("""COMPUTED_VALUE"""),"Adventuring Gear")</f>
        <v>Adventuring Gear</v>
      </c>
      <c r="B11" s="4" t="str">
        <f>IFERROR(__xludf.DUMMYFUNCTION("""COMPUTED_VALUE"""),"-")</f>
        <v>-</v>
      </c>
      <c r="C11" s="8" t="str">
        <f>IFERROR(__xludf.DUMMYFUNCTION("""COMPUTED_VALUE"""),"Pouch")</f>
        <v>Pouch</v>
      </c>
      <c r="D11" s="5">
        <f>IFERROR(__xludf.DUMMYFUNCTION("""COMPUTED_VALUE"""),1.0)</f>
        <v>1</v>
      </c>
      <c r="E11" s="6">
        <f>IFERROR(__xludf.DUMMYFUNCTION("""COMPUTED_VALUE"""),0.5)</f>
        <v>0.5</v>
      </c>
      <c r="F11" s="6">
        <f>IFERROR(__xludf.DUMMYFUNCTION("""COMPUTED_VALUE"""),0.375)</f>
        <v>0.375</v>
      </c>
      <c r="G11" s="6">
        <f>IFERROR(__xludf.DUMMYFUNCTION("""COMPUTED_VALUE"""),0.75)</f>
        <v>0.75</v>
      </c>
      <c r="H11" s="4" t="str">
        <f>IFERROR(__xludf.DUMMYFUNCTION("""COMPUTED_VALUE"""),"PHB 2024")</f>
        <v>PHB 2024</v>
      </c>
      <c r="I11" s="4" t="str">
        <f>IFERROR(__xludf.DUMMYFUNCTION("""COMPUTED_VALUE"""),"x")</f>
        <v>x</v>
      </c>
      <c r="J11" s="4" t="str">
        <f>IFERROR(__xludf.DUMMYFUNCTION("""COMPUTED_VALUE"""),"x")</f>
        <v>x</v>
      </c>
      <c r="K11" s="4" t="str">
        <f>IFERROR(__xludf.DUMMYFUNCTION("""COMPUTED_VALUE"""),"x")</f>
        <v>x</v>
      </c>
      <c r="L11" s="7"/>
      <c r="M11" s="7"/>
      <c r="N11" s="7"/>
      <c r="O11" s="7"/>
      <c r="P11" s="7" t="str">
        <f>IFERROR(__xludf.DUMMYFUNCTION("""COMPUTED_VALUE"""),"x")</f>
        <v>x</v>
      </c>
      <c r="Q11" s="7" t="str">
        <f>IFERROR(__xludf.DUMMYFUNCTION("""COMPUTED_VALUE"""),"x")</f>
        <v>x</v>
      </c>
      <c r="R11" s="7" t="str">
        <f>IFERROR(__xludf.DUMMYFUNCTION("""COMPUTED_VALUE"""),"x")</f>
        <v>x</v>
      </c>
      <c r="S11" s="4"/>
      <c r="T11" s="7" t="str">
        <f>IFERROR(__xludf.DUMMYFUNCTION("""COMPUTED_VALUE"""),"x")</f>
        <v>x</v>
      </c>
      <c r="U11" s="4" t="str">
        <f>IFERROR(__xludf.DUMMYFUNCTION("""COMPUTED_VALUE"""),"x")</f>
        <v>x</v>
      </c>
      <c r="V11" s="7"/>
      <c r="W11" s="7"/>
      <c r="X11" s="7"/>
      <c r="Y11" s="7" t="str">
        <f>IFERROR(__xludf.DUMMYFUNCTION("""COMPUTED_VALUE"""),"x")</f>
        <v>x</v>
      </c>
    </row>
    <row r="12">
      <c r="A12" s="4" t="str">
        <f>IFERROR(__xludf.DUMMYFUNCTION("""COMPUTED_VALUE"""),"Adventuring Gear")</f>
        <v>Adventuring Gear</v>
      </c>
      <c r="B12" s="4" t="str">
        <f>IFERROR(__xludf.DUMMYFUNCTION("""COMPUTED_VALUE"""),"-")</f>
        <v>-</v>
      </c>
      <c r="C12" s="8" t="str">
        <f>IFERROR(__xludf.DUMMYFUNCTION("""COMPUTED_VALUE"""),"Vial")</f>
        <v>Vial</v>
      </c>
      <c r="D12" s="5" t="str">
        <f>IFERROR(__xludf.DUMMYFUNCTION("""COMPUTED_VALUE"""),"-")</f>
        <v>-</v>
      </c>
      <c r="E12" s="6">
        <f>IFERROR(__xludf.DUMMYFUNCTION("""COMPUTED_VALUE"""),1.0)</f>
        <v>1</v>
      </c>
      <c r="F12" s="6">
        <f>IFERROR(__xludf.DUMMYFUNCTION("""COMPUTED_VALUE"""),0.75)</f>
        <v>0.75</v>
      </c>
      <c r="G12" s="6">
        <f>IFERROR(__xludf.DUMMYFUNCTION("""COMPUTED_VALUE"""),1.5)</f>
        <v>1.5</v>
      </c>
      <c r="H12" s="4" t="str">
        <f>IFERROR(__xludf.DUMMYFUNCTION("""COMPUTED_VALUE"""),"PHB 2024")</f>
        <v>PHB 2024</v>
      </c>
      <c r="I12" s="4" t="str">
        <f>IFERROR(__xludf.DUMMYFUNCTION("""COMPUTED_VALUE"""),"x")</f>
        <v>x</v>
      </c>
      <c r="J12" s="4" t="str">
        <f>IFERROR(__xludf.DUMMYFUNCTION("""COMPUTED_VALUE"""),"x")</f>
        <v>x</v>
      </c>
      <c r="K12" s="4" t="str">
        <f>IFERROR(__xludf.DUMMYFUNCTION("""COMPUTED_VALUE"""),"x")</f>
        <v>x</v>
      </c>
      <c r="L12" s="7"/>
      <c r="M12" s="7"/>
      <c r="N12" s="7"/>
      <c r="O12" s="7" t="str">
        <f>IFERROR(__xludf.DUMMYFUNCTION("""COMPUTED_VALUE"""),"x")</f>
        <v>x</v>
      </c>
      <c r="P12" s="7" t="str">
        <f>IFERROR(__xludf.DUMMYFUNCTION("""COMPUTED_VALUE"""),"x")</f>
        <v>x</v>
      </c>
      <c r="Q12" s="7" t="str">
        <f>IFERROR(__xludf.DUMMYFUNCTION("""COMPUTED_VALUE"""),"x")</f>
        <v>x</v>
      </c>
      <c r="R12" s="7"/>
      <c r="S12" s="7"/>
      <c r="T12" s="7" t="str">
        <f>IFERROR(__xludf.DUMMYFUNCTION("""COMPUTED_VALUE"""),"x")</f>
        <v>x</v>
      </c>
      <c r="U12" s="4" t="str">
        <f>IFERROR(__xludf.DUMMYFUNCTION("""COMPUTED_VALUE"""),"x")</f>
        <v>x</v>
      </c>
      <c r="V12" s="7"/>
      <c r="W12" s="7" t="str">
        <f>IFERROR(__xludf.DUMMYFUNCTION("""COMPUTED_VALUE"""),"x")</f>
        <v>x</v>
      </c>
      <c r="X12" s="7"/>
      <c r="Y12" s="7"/>
    </row>
    <row r="13">
      <c r="A13" s="4" t="str">
        <f>IFERROR(__xludf.DUMMYFUNCTION("""COMPUTED_VALUE"""),"Tools")</f>
        <v>Tools</v>
      </c>
      <c r="B13" s="4" t="str">
        <f>IFERROR(__xludf.DUMMYFUNCTION("""COMPUTED_VALUE"""),"Artisan's Tools")</f>
        <v>Artisan's Tools</v>
      </c>
      <c r="C13" s="8" t="str">
        <f>IFERROR(__xludf.DUMMYFUNCTION("""COMPUTED_VALUE"""),"Alchemist's Supplies")</f>
        <v>Alchemist's Supplies</v>
      </c>
      <c r="D13" s="5">
        <f>IFERROR(__xludf.DUMMYFUNCTION("""COMPUTED_VALUE"""),8.0)</f>
        <v>8</v>
      </c>
      <c r="E13" s="6">
        <f>IFERROR(__xludf.DUMMYFUNCTION("""COMPUTED_VALUE"""),50.0)</f>
        <v>50</v>
      </c>
      <c r="F13" s="6">
        <f>IFERROR(__xludf.DUMMYFUNCTION("""COMPUTED_VALUE"""),37.5)</f>
        <v>37.5</v>
      </c>
      <c r="G13" s="6">
        <f>IFERROR(__xludf.DUMMYFUNCTION("""COMPUTED_VALUE"""),75.0)</f>
        <v>75</v>
      </c>
      <c r="H13" s="4" t="str">
        <f>IFERROR(__xludf.DUMMYFUNCTION("""COMPUTED_VALUE"""),"PHB 2024")</f>
        <v>PHB 2024</v>
      </c>
      <c r="I13" s="4"/>
      <c r="J13" s="4" t="str">
        <f>IFERROR(__xludf.DUMMYFUNCTION("""COMPUTED_VALUE"""),"x")</f>
        <v>x</v>
      </c>
      <c r="K13" s="4" t="str">
        <f>IFERROR(__xludf.DUMMYFUNCTION("""COMPUTED_VALUE"""),"x")</f>
        <v>x</v>
      </c>
      <c r="L13" s="7"/>
      <c r="M13" s="7"/>
      <c r="N13" s="7"/>
      <c r="O13" s="7"/>
      <c r="P13" s="7"/>
      <c r="Q13" s="7"/>
      <c r="R13" s="7"/>
      <c r="S13" s="7"/>
      <c r="T13" s="7" t="str">
        <f>IFERROR(__xludf.DUMMYFUNCTION("""COMPUTED_VALUE"""),"x")</f>
        <v>x</v>
      </c>
      <c r="U13" s="4" t="str">
        <f>IFERROR(__xludf.DUMMYFUNCTION("""COMPUTED_VALUE"""),"x")</f>
        <v>x</v>
      </c>
      <c r="V13" s="7"/>
      <c r="W13" s="7"/>
      <c r="X13" s="7"/>
      <c r="Y13" s="7"/>
    </row>
    <row r="14">
      <c r="A14" s="4" t="str">
        <f>IFERROR(__xludf.DUMMYFUNCTION("""COMPUTED_VALUE"""),"Tools")</f>
        <v>Tools</v>
      </c>
      <c r="B14" s="4" t="str">
        <f>IFERROR(__xludf.DUMMYFUNCTION("""COMPUTED_VALUE"""),"Artisan's Tools")</f>
        <v>Artisan's Tools</v>
      </c>
      <c r="C14" s="8" t="str">
        <f>IFERROR(__xludf.DUMMYFUNCTION("""COMPUTED_VALUE"""),"Brewer's Supplies")</f>
        <v>Brewer's Supplies</v>
      </c>
      <c r="D14" s="5">
        <f>IFERROR(__xludf.DUMMYFUNCTION("""COMPUTED_VALUE"""),9.0)</f>
        <v>9</v>
      </c>
      <c r="E14" s="6">
        <f>IFERROR(__xludf.DUMMYFUNCTION("""COMPUTED_VALUE"""),20.0)</f>
        <v>20</v>
      </c>
      <c r="F14" s="6">
        <f>IFERROR(__xludf.DUMMYFUNCTION("""COMPUTED_VALUE"""),15.0)</f>
        <v>15</v>
      </c>
      <c r="G14" s="6">
        <f>IFERROR(__xludf.DUMMYFUNCTION("""COMPUTED_VALUE"""),30.0)</f>
        <v>30</v>
      </c>
      <c r="H14" s="4" t="str">
        <f>IFERROR(__xludf.DUMMYFUNCTION("""COMPUTED_VALUE"""),"PHB 2024")</f>
        <v>PHB 2024</v>
      </c>
      <c r="I14" s="4" t="str">
        <f>IFERROR(__xludf.DUMMYFUNCTION("""COMPUTED_VALUE"""),"x")</f>
        <v>x</v>
      </c>
      <c r="J14" s="4" t="str">
        <f>IFERROR(__xludf.DUMMYFUNCTION("""COMPUTED_VALUE"""),"x")</f>
        <v>x</v>
      </c>
      <c r="K14" s="4" t="str">
        <f>IFERROR(__xludf.DUMMYFUNCTION("""COMPUTED_VALUE"""),"x")</f>
        <v>x</v>
      </c>
      <c r="L14" s="7"/>
      <c r="M14" s="7"/>
      <c r="N14" s="7"/>
      <c r="O14" s="7"/>
      <c r="P14" s="7"/>
      <c r="Q14" s="7"/>
      <c r="R14" s="7"/>
      <c r="S14" s="7"/>
      <c r="T14" s="7" t="str">
        <f>IFERROR(__xludf.DUMMYFUNCTION("""COMPUTED_VALUE"""),"x")</f>
        <v>x</v>
      </c>
      <c r="U14" s="4"/>
      <c r="V14" s="7"/>
      <c r="W14" s="7"/>
      <c r="X14" s="7"/>
      <c r="Y14" s="7"/>
    </row>
    <row r="15">
      <c r="A15" s="4" t="str">
        <f>IFERROR(__xludf.DUMMYFUNCTION("""COMPUTED_VALUE"""),"Tools")</f>
        <v>Tools</v>
      </c>
      <c r="B15" s="4" t="str">
        <f>IFERROR(__xludf.DUMMYFUNCTION("""COMPUTED_VALUE"""),"Artisan's Tools")</f>
        <v>Artisan's Tools</v>
      </c>
      <c r="C15" s="8" t="str">
        <f>IFERROR(__xludf.DUMMYFUNCTION("""COMPUTED_VALUE"""),"Cook's Utensils")</f>
        <v>Cook's Utensils</v>
      </c>
      <c r="D15" s="5">
        <f>IFERROR(__xludf.DUMMYFUNCTION("""COMPUTED_VALUE"""),8.0)</f>
        <v>8</v>
      </c>
      <c r="E15" s="6">
        <f>IFERROR(__xludf.DUMMYFUNCTION("""COMPUTED_VALUE"""),1.0)</f>
        <v>1</v>
      </c>
      <c r="F15" s="6">
        <f>IFERROR(__xludf.DUMMYFUNCTION("""COMPUTED_VALUE"""),0.75)</f>
        <v>0.75</v>
      </c>
      <c r="G15" s="6">
        <f>IFERROR(__xludf.DUMMYFUNCTION("""COMPUTED_VALUE"""),1.5)</f>
        <v>1.5</v>
      </c>
      <c r="H15" s="4" t="str">
        <f>IFERROR(__xludf.DUMMYFUNCTION("""COMPUTED_VALUE"""),"PHB 2024")</f>
        <v>PHB 2024</v>
      </c>
      <c r="I15" s="4" t="str">
        <f>IFERROR(__xludf.DUMMYFUNCTION("""COMPUTED_VALUE"""),"x")</f>
        <v>x</v>
      </c>
      <c r="J15" s="4" t="str">
        <f>IFERROR(__xludf.DUMMYFUNCTION("""COMPUTED_VALUE"""),"x")</f>
        <v>x</v>
      </c>
      <c r="K15" s="4" t="str">
        <f>IFERROR(__xludf.DUMMYFUNCTION("""COMPUTED_VALUE"""),"x")</f>
        <v>x</v>
      </c>
      <c r="L15" s="7"/>
      <c r="M15" s="7"/>
      <c r="N15" s="7"/>
      <c r="O15" s="7"/>
      <c r="P15" s="7" t="str">
        <f>IFERROR(__xludf.DUMMYFUNCTION("""COMPUTED_VALUE"""),"x")</f>
        <v>x</v>
      </c>
      <c r="Q15" s="4"/>
      <c r="R15" s="7"/>
      <c r="S15" s="7"/>
      <c r="T15" s="7" t="str">
        <f>IFERROR(__xludf.DUMMYFUNCTION("""COMPUTED_VALUE"""),"x")</f>
        <v>x</v>
      </c>
      <c r="U15" s="7"/>
      <c r="V15" s="7"/>
      <c r="W15" s="7"/>
      <c r="X15" s="7"/>
      <c r="Y15" s="7"/>
    </row>
    <row r="16">
      <c r="A16" s="4"/>
      <c r="B16" s="4"/>
      <c r="C16" s="4"/>
      <c r="D16" s="5"/>
      <c r="E16" s="6"/>
      <c r="F16" s="6"/>
      <c r="G16" s="6"/>
      <c r="H16" s="4"/>
      <c r="I16" s="4"/>
      <c r="J16" s="4"/>
      <c r="K16" s="4"/>
      <c r="L16" s="4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4"/>
      <c r="B17" s="4"/>
      <c r="C17" s="4"/>
      <c r="D17" s="5"/>
      <c r="E17" s="6"/>
      <c r="F17" s="6"/>
      <c r="G17" s="6"/>
      <c r="H17" s="4"/>
      <c r="I17" s="4"/>
      <c r="J17" s="4"/>
      <c r="K17" s="4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</row>
    <row r="18">
      <c r="A18" s="4"/>
      <c r="B18" s="4"/>
      <c r="C18" s="4"/>
      <c r="D18" s="5"/>
      <c r="E18" s="6"/>
      <c r="F18" s="6"/>
      <c r="G18" s="6"/>
      <c r="H18" s="4"/>
      <c r="I18" s="4"/>
      <c r="J18" s="4"/>
      <c r="K18" s="4"/>
      <c r="L18" s="7"/>
      <c r="M18" s="7"/>
      <c r="N18" s="7"/>
      <c r="O18" s="7"/>
      <c r="P18" s="7"/>
      <c r="Q18" s="7"/>
      <c r="R18" s="4"/>
      <c r="S18" s="7"/>
      <c r="T18" s="7"/>
      <c r="U18" s="7"/>
      <c r="V18" s="7"/>
      <c r="W18" s="7"/>
      <c r="X18" s="7"/>
      <c r="Y18" s="7"/>
    </row>
    <row r="19">
      <c r="A19" s="4"/>
      <c r="B19" s="4"/>
      <c r="C19" s="4"/>
      <c r="D19" s="5"/>
      <c r="E19" s="6"/>
      <c r="F19" s="6"/>
      <c r="G19" s="6"/>
      <c r="H19" s="4"/>
      <c r="I19" s="4"/>
      <c r="J19" s="4"/>
      <c r="K19" s="4"/>
      <c r="L19" s="7"/>
      <c r="M19" s="7"/>
      <c r="N19" s="7"/>
      <c r="O19" s="7"/>
      <c r="P19" s="7"/>
      <c r="Q19" s="4"/>
      <c r="R19" s="7"/>
      <c r="S19" s="7"/>
      <c r="T19" s="7"/>
      <c r="U19" s="7"/>
      <c r="V19" s="7"/>
      <c r="W19" s="7"/>
      <c r="X19" s="7"/>
      <c r="Y19" s="7"/>
    </row>
    <row r="20">
      <c r="A20" s="4"/>
      <c r="B20" s="4"/>
      <c r="C20" s="4"/>
      <c r="D20" s="5"/>
      <c r="E20" s="6"/>
      <c r="F20" s="6"/>
      <c r="G20" s="6"/>
      <c r="H20" s="4"/>
      <c r="I20" s="4"/>
      <c r="J20" s="4"/>
      <c r="K20" s="4"/>
      <c r="L20" s="4"/>
      <c r="M20" s="7"/>
      <c r="N20" s="7"/>
      <c r="O20" s="4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4"/>
      <c r="B21" s="4"/>
      <c r="C21" s="4"/>
      <c r="D21" s="5"/>
      <c r="E21" s="6"/>
      <c r="F21" s="6"/>
      <c r="G21" s="6"/>
      <c r="H21" s="4"/>
      <c r="I21" s="4"/>
      <c r="J21" s="4"/>
      <c r="K21" s="4"/>
      <c r="L21" s="7"/>
      <c r="M21" s="7"/>
      <c r="N21" s="7"/>
      <c r="O21" s="4"/>
      <c r="P21" s="4"/>
      <c r="Q21" s="4"/>
      <c r="R21" s="7"/>
      <c r="S21" s="7"/>
      <c r="T21" s="7"/>
      <c r="U21" s="7"/>
      <c r="V21" s="7"/>
      <c r="W21" s="7"/>
      <c r="X21" s="7"/>
      <c r="Y21" s="7"/>
    </row>
    <row r="22">
      <c r="A22" s="4"/>
      <c r="B22" s="4"/>
      <c r="C22" s="4"/>
      <c r="D22" s="5"/>
      <c r="E22" s="6"/>
      <c r="F22" s="6"/>
      <c r="G22" s="6"/>
      <c r="H22" s="4"/>
      <c r="I22" s="4"/>
      <c r="J22" s="4"/>
      <c r="K22" s="4"/>
      <c r="L22" s="4"/>
      <c r="M22" s="7"/>
      <c r="N22" s="7"/>
      <c r="O22" s="7"/>
      <c r="P22" s="7"/>
      <c r="Q22" s="4"/>
      <c r="R22" s="7"/>
      <c r="S22" s="7"/>
      <c r="T22" s="7"/>
      <c r="U22" s="7"/>
      <c r="V22" s="7"/>
      <c r="W22" s="7"/>
      <c r="X22" s="7"/>
      <c r="Y22" s="7"/>
    </row>
    <row r="23">
      <c r="A23" s="4"/>
      <c r="B23" s="4"/>
      <c r="C23" s="4"/>
      <c r="D23" s="5"/>
      <c r="E23" s="6"/>
      <c r="F23" s="6"/>
      <c r="G23" s="6"/>
      <c r="H23" s="4"/>
      <c r="I23" s="4"/>
      <c r="J23" s="4"/>
      <c r="K23" s="4"/>
      <c r="L23" s="7"/>
      <c r="M23" s="7"/>
      <c r="N23" s="7"/>
      <c r="O23" s="4"/>
      <c r="P23" s="7"/>
      <c r="Q23" s="7"/>
      <c r="R23" s="7"/>
      <c r="S23" s="7"/>
      <c r="T23" s="7"/>
      <c r="U23" s="4"/>
      <c r="V23" s="7"/>
      <c r="W23" s="7"/>
      <c r="X23" s="7"/>
      <c r="Y23" s="7"/>
    </row>
    <row r="24">
      <c r="A24" s="4"/>
      <c r="B24" s="4"/>
      <c r="C24" s="4"/>
      <c r="D24" s="5"/>
      <c r="E24" s="6"/>
      <c r="F24" s="6"/>
      <c r="G24" s="6"/>
      <c r="H24" s="4"/>
      <c r="I24" s="4"/>
      <c r="J24" s="4"/>
      <c r="K24" s="4"/>
      <c r="L24" s="7"/>
      <c r="M24" s="7"/>
      <c r="N24" s="7"/>
      <c r="O24" s="7"/>
      <c r="P24" s="4"/>
      <c r="Q24" s="4"/>
      <c r="R24" s="7"/>
      <c r="S24" s="7"/>
      <c r="T24" s="7"/>
      <c r="U24" s="4"/>
      <c r="V24" s="7"/>
      <c r="W24" s="7"/>
      <c r="X24" s="7"/>
      <c r="Y24" s="7"/>
    </row>
    <row r="25">
      <c r="A25" s="4"/>
      <c r="B25" s="4"/>
      <c r="C25" s="4"/>
      <c r="D25" s="5"/>
      <c r="E25" s="6"/>
      <c r="F25" s="6"/>
      <c r="G25" s="6"/>
      <c r="H25" s="4"/>
      <c r="I25" s="4"/>
      <c r="J25" s="4"/>
      <c r="K25" s="4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</row>
    <row r="26">
      <c r="A26" s="4"/>
      <c r="B26" s="4"/>
      <c r="C26" s="4"/>
      <c r="D26" s="5"/>
      <c r="E26" s="6"/>
      <c r="F26" s="6"/>
      <c r="G26" s="6"/>
      <c r="H26" s="4"/>
      <c r="I26" s="4"/>
      <c r="J26" s="4"/>
      <c r="K26" s="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4"/>
      <c r="X26" s="7"/>
      <c r="Y26" s="7"/>
    </row>
    <row r="27">
      <c r="A27" s="4"/>
      <c r="B27" s="4"/>
      <c r="C27" s="4"/>
      <c r="D27" s="5"/>
      <c r="E27" s="6"/>
      <c r="F27" s="6"/>
      <c r="G27" s="6"/>
      <c r="H27" s="4"/>
      <c r="I27" s="4"/>
      <c r="J27" s="4"/>
      <c r="K27" s="4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4"/>
      <c r="X27" s="7"/>
      <c r="Y27" s="7"/>
    </row>
    <row r="28">
      <c r="A28" s="4"/>
      <c r="B28" s="4"/>
      <c r="C28" s="4"/>
      <c r="D28" s="5"/>
      <c r="E28" s="6"/>
      <c r="F28" s="6"/>
      <c r="G28" s="6"/>
      <c r="H28" s="4"/>
      <c r="I28" s="4"/>
      <c r="J28" s="4"/>
      <c r="K28" s="4"/>
      <c r="L28" s="7"/>
      <c r="M28" s="7"/>
      <c r="N28" s="7"/>
      <c r="O28" s="4"/>
      <c r="P28" s="4"/>
      <c r="Q28" s="4"/>
      <c r="R28" s="7"/>
      <c r="S28" s="7"/>
      <c r="T28" s="7"/>
      <c r="U28" s="4"/>
      <c r="V28" s="7"/>
      <c r="W28" s="7"/>
      <c r="X28" s="7"/>
      <c r="Y28" s="7"/>
    </row>
    <row r="29">
      <c r="A29" s="4"/>
      <c r="B29" s="4"/>
      <c r="C29" s="4"/>
      <c r="D29" s="5"/>
      <c r="E29" s="6"/>
      <c r="F29" s="6"/>
      <c r="G29" s="6"/>
      <c r="H29" s="4"/>
      <c r="I29" s="4"/>
      <c r="J29" s="4"/>
      <c r="K29" s="4"/>
      <c r="L29" s="7"/>
      <c r="M29" s="4"/>
      <c r="N29" s="7"/>
      <c r="O29" s="7"/>
      <c r="P29" s="7"/>
      <c r="Q29" s="4"/>
      <c r="R29" s="7"/>
      <c r="S29" s="7"/>
      <c r="T29" s="7"/>
      <c r="U29" s="7"/>
      <c r="V29" s="7"/>
      <c r="W29" s="7"/>
      <c r="X29" s="7"/>
      <c r="Y29" s="7"/>
    </row>
    <row r="30">
      <c r="A30" s="4"/>
      <c r="B30" s="4"/>
      <c r="C30" s="8"/>
      <c r="D30" s="5"/>
      <c r="E30" s="6"/>
      <c r="F30" s="6"/>
      <c r="G30" s="6"/>
      <c r="H30" s="4"/>
      <c r="I30" s="4"/>
      <c r="J30" s="4"/>
      <c r="K30" s="4"/>
      <c r="L30" s="7"/>
      <c r="M30" s="7"/>
      <c r="N30" s="7"/>
      <c r="O30" s="4"/>
      <c r="P30" s="7"/>
      <c r="Q30" s="4"/>
      <c r="R30" s="7"/>
      <c r="S30" s="7"/>
      <c r="T30" s="7"/>
      <c r="U30" s="4"/>
      <c r="V30" s="7"/>
      <c r="W30" s="7"/>
      <c r="X30" s="7"/>
      <c r="Y30" s="7"/>
    </row>
    <row r="31">
      <c r="A31" s="4"/>
      <c r="B31" s="4"/>
      <c r="C31" s="8"/>
      <c r="D31" s="5"/>
      <c r="E31" s="6"/>
      <c r="F31" s="6"/>
      <c r="G31" s="6"/>
      <c r="H31" s="4"/>
      <c r="I31" s="4"/>
      <c r="J31" s="4"/>
      <c r="K31" s="4"/>
      <c r="L31" s="4"/>
      <c r="M31" s="7"/>
      <c r="N31" s="7"/>
      <c r="O31" s="7"/>
      <c r="P31" s="7"/>
      <c r="Q31" s="4"/>
      <c r="R31" s="7"/>
      <c r="S31" s="7"/>
      <c r="T31" s="7"/>
      <c r="U31" s="7"/>
      <c r="V31" s="7"/>
      <c r="W31" s="7"/>
      <c r="X31" s="7"/>
      <c r="Y31" s="7"/>
    </row>
    <row r="32">
      <c r="A32" s="4"/>
      <c r="B32" s="4"/>
      <c r="C32" s="8"/>
      <c r="D32" s="5"/>
      <c r="E32" s="6"/>
      <c r="F32" s="6"/>
      <c r="G32" s="6"/>
      <c r="H32" s="4"/>
      <c r="I32" s="4"/>
      <c r="J32" s="4"/>
      <c r="K32" s="4"/>
      <c r="L32" s="7"/>
      <c r="M32" s="7"/>
      <c r="N32" s="7"/>
      <c r="O32" s="7"/>
      <c r="P32" s="4"/>
      <c r="Q32" s="4"/>
      <c r="R32" s="7"/>
      <c r="S32" s="7"/>
      <c r="T32" s="7"/>
      <c r="U32" s="7"/>
      <c r="V32" s="7"/>
      <c r="W32" s="7"/>
      <c r="X32" s="7"/>
      <c r="Y32" s="7"/>
    </row>
    <row r="33">
      <c r="A33" s="4"/>
      <c r="B33" s="4"/>
      <c r="C33" s="8"/>
      <c r="D33" s="5"/>
      <c r="E33" s="6"/>
      <c r="F33" s="6"/>
      <c r="G33" s="6"/>
      <c r="H33" s="4"/>
      <c r="I33" s="4"/>
      <c r="J33" s="4"/>
      <c r="K33" s="4"/>
      <c r="L33" s="7"/>
      <c r="M33" s="7"/>
      <c r="N33" s="7"/>
      <c r="O33" s="7"/>
      <c r="P33" s="7"/>
      <c r="Q33" s="4"/>
      <c r="R33" s="7"/>
      <c r="S33" s="7"/>
      <c r="T33" s="7"/>
      <c r="U33" s="7"/>
      <c r="V33" s="7"/>
      <c r="W33" s="7"/>
      <c r="X33" s="7"/>
      <c r="Y33" s="7"/>
    </row>
    <row r="34">
      <c r="A34" s="4"/>
      <c r="B34" s="4"/>
      <c r="C34" s="8"/>
      <c r="D34" s="5"/>
      <c r="E34" s="6"/>
      <c r="F34" s="6"/>
      <c r="G34" s="6"/>
      <c r="H34" s="4"/>
      <c r="I34" s="4"/>
      <c r="J34" s="4"/>
      <c r="K34" s="4"/>
      <c r="L34" s="7"/>
      <c r="M34" s="7"/>
      <c r="N34" s="7"/>
      <c r="O34" s="7"/>
      <c r="P34" s="4"/>
      <c r="Q34" s="7"/>
      <c r="R34" s="4"/>
      <c r="S34" s="7"/>
      <c r="T34" s="7"/>
      <c r="U34" s="7"/>
      <c r="V34" s="7"/>
      <c r="W34" s="7"/>
      <c r="X34" s="7"/>
      <c r="Y34" s="7"/>
    </row>
    <row r="35">
      <c r="A35" s="4"/>
      <c r="B35" s="4"/>
      <c r="C35" s="8"/>
      <c r="D35" s="5"/>
      <c r="E35" s="6"/>
      <c r="F35" s="6"/>
      <c r="G35" s="6"/>
      <c r="H35" s="4"/>
      <c r="I35" s="4"/>
      <c r="J35" s="4"/>
      <c r="K35" s="4"/>
      <c r="L35" s="7"/>
      <c r="M35" s="7"/>
      <c r="N35" s="7"/>
      <c r="O35" s="7"/>
      <c r="P35" s="7"/>
      <c r="Q35" s="4"/>
      <c r="R35" s="4"/>
      <c r="S35" s="7"/>
      <c r="T35" s="7"/>
      <c r="U35" s="7"/>
      <c r="V35" s="7"/>
      <c r="W35" s="7"/>
      <c r="X35" s="7"/>
      <c r="Y35" s="7"/>
    </row>
    <row r="36">
      <c r="A36" s="4"/>
      <c r="B36" s="4"/>
      <c r="C36" s="8"/>
      <c r="D36" s="5"/>
      <c r="E36" s="6"/>
      <c r="F36" s="6"/>
      <c r="G36" s="6"/>
      <c r="H36" s="4"/>
      <c r="I36" s="4"/>
      <c r="J36" s="4"/>
      <c r="K36" s="4"/>
      <c r="L36" s="7"/>
      <c r="M36" s="7"/>
      <c r="N36" s="7"/>
      <c r="O36" s="7"/>
      <c r="P36" s="7"/>
      <c r="Q36" s="7"/>
      <c r="R36" s="4"/>
      <c r="S36" s="7"/>
      <c r="T36" s="4"/>
      <c r="U36" s="4"/>
      <c r="V36" s="7"/>
      <c r="W36" s="7"/>
      <c r="X36" s="7"/>
      <c r="Y36" s="7"/>
    </row>
    <row r="37">
      <c r="A37" s="4"/>
      <c r="B37" s="4"/>
      <c r="C37" s="8"/>
      <c r="D37" s="5"/>
      <c r="E37" s="6"/>
      <c r="F37" s="6"/>
      <c r="G37" s="6"/>
      <c r="H37" s="4"/>
      <c r="I37" s="4"/>
      <c r="J37" s="4"/>
      <c r="K37" s="4"/>
      <c r="L37" s="7"/>
      <c r="M37" s="7"/>
      <c r="N37" s="7"/>
      <c r="O37" s="7"/>
      <c r="P37" s="7"/>
      <c r="Q37" s="7"/>
      <c r="R37" s="4"/>
      <c r="S37" s="7"/>
      <c r="T37" s="7"/>
      <c r="U37" s="7"/>
      <c r="V37" s="7"/>
      <c r="W37" s="4"/>
      <c r="X37" s="7"/>
      <c r="Y37" s="7"/>
    </row>
    <row r="38">
      <c r="A38" s="4"/>
      <c r="B38" s="4"/>
      <c r="C38" s="8"/>
      <c r="D38" s="5"/>
      <c r="E38" s="6"/>
      <c r="F38" s="6"/>
      <c r="G38" s="6"/>
      <c r="H38" s="4"/>
      <c r="I38" s="4"/>
      <c r="J38" s="4"/>
      <c r="K38" s="4"/>
      <c r="L38" s="4"/>
      <c r="M38" s="7"/>
      <c r="N38" s="7"/>
      <c r="O38" s="7"/>
      <c r="P38" s="7"/>
      <c r="Q38" s="4"/>
      <c r="R38" s="7"/>
      <c r="S38" s="7"/>
      <c r="T38" s="7"/>
      <c r="U38" s="7"/>
      <c r="V38" s="7"/>
      <c r="W38" s="4"/>
      <c r="X38" s="7"/>
      <c r="Y38" s="7"/>
    </row>
    <row r="39">
      <c r="A39" s="4"/>
      <c r="B39" s="4"/>
      <c r="C39" s="8"/>
      <c r="D39" s="5"/>
      <c r="E39" s="6"/>
      <c r="F39" s="6"/>
      <c r="G39" s="6"/>
      <c r="H39" s="4"/>
      <c r="I39" s="4"/>
      <c r="J39" s="4"/>
      <c r="K39" s="4"/>
      <c r="L39" s="7"/>
      <c r="M39" s="7"/>
      <c r="N39" s="7"/>
      <c r="O39" s="4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4"/>
      <c r="B40" s="8"/>
      <c r="C40" s="4"/>
      <c r="D40" s="5"/>
      <c r="E40" s="6"/>
      <c r="F40" s="6"/>
      <c r="G40" s="6"/>
      <c r="H40" s="4"/>
      <c r="I40" s="4"/>
      <c r="J40" s="4"/>
      <c r="K40" s="4"/>
      <c r="L40" s="7"/>
      <c r="M40" s="7"/>
      <c r="N40" s="7"/>
      <c r="O40" s="7"/>
      <c r="P40" s="7"/>
      <c r="Q40" s="7"/>
      <c r="R40" s="7"/>
      <c r="S40" s="7"/>
      <c r="T40" s="7"/>
      <c r="U40" s="4"/>
      <c r="V40" s="7"/>
      <c r="W40" s="7"/>
      <c r="X40" s="7"/>
      <c r="Y40" s="7"/>
    </row>
    <row r="41">
      <c r="A41" s="4"/>
      <c r="B41" s="8"/>
      <c r="C41" s="8"/>
      <c r="D41" s="5"/>
      <c r="E41" s="6"/>
      <c r="F41" s="6"/>
      <c r="G41" s="6"/>
      <c r="H41" s="4"/>
      <c r="I41" s="4"/>
      <c r="J41" s="4"/>
      <c r="K41" s="4"/>
      <c r="L41" s="7"/>
      <c r="M41" s="7"/>
      <c r="N41" s="7"/>
      <c r="O41" s="7"/>
      <c r="P41" s="7"/>
      <c r="Q41" s="7"/>
      <c r="R41" s="7"/>
      <c r="S41" s="7"/>
      <c r="T41" s="7"/>
      <c r="U41" s="4"/>
      <c r="V41" s="7"/>
      <c r="W41" s="7"/>
      <c r="X41" s="7"/>
      <c r="Y41" s="7"/>
    </row>
    <row r="42">
      <c r="A42" s="4"/>
      <c r="B42" s="8"/>
      <c r="C42" s="8"/>
      <c r="D42" s="5"/>
      <c r="E42" s="6"/>
      <c r="F42" s="6"/>
      <c r="G42" s="6"/>
      <c r="H42" s="4"/>
      <c r="I42" s="4"/>
      <c r="J42" s="4"/>
      <c r="K42" s="4"/>
      <c r="L42" s="7"/>
      <c r="M42" s="7"/>
      <c r="N42" s="7"/>
      <c r="O42" s="7"/>
      <c r="P42" s="7"/>
      <c r="Q42" s="7"/>
      <c r="R42" s="7"/>
      <c r="S42" s="7"/>
      <c r="T42" s="7"/>
      <c r="U42" s="4"/>
      <c r="V42" s="7"/>
      <c r="W42" s="7"/>
      <c r="X42" s="7"/>
      <c r="Y42" s="7"/>
    </row>
    <row r="43">
      <c r="A43" s="4"/>
      <c r="B43" s="4"/>
      <c r="C43" s="8"/>
      <c r="D43" s="5"/>
      <c r="E43" s="6"/>
      <c r="F43" s="6"/>
      <c r="G43" s="6"/>
      <c r="H43" s="4"/>
      <c r="I43" s="4"/>
      <c r="J43" s="4"/>
      <c r="K43" s="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4"/>
      <c r="B44" s="4"/>
      <c r="C44" s="8"/>
      <c r="D44" s="5"/>
      <c r="E44" s="6"/>
      <c r="F44" s="6"/>
      <c r="G44" s="6"/>
      <c r="H44" s="4"/>
      <c r="I44" s="4"/>
      <c r="J44" s="4"/>
      <c r="K44" s="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4"/>
      <c r="B45" s="4"/>
      <c r="C45" s="8"/>
      <c r="D45" s="5"/>
      <c r="E45" s="6"/>
      <c r="F45" s="6"/>
      <c r="G45" s="6"/>
      <c r="H45" s="4"/>
      <c r="I45" s="4"/>
      <c r="J45" s="4"/>
      <c r="K45" s="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4"/>
      <c r="B46" s="4"/>
      <c r="C46" s="8"/>
      <c r="D46" s="5"/>
      <c r="E46" s="6"/>
      <c r="F46" s="6"/>
      <c r="G46" s="6"/>
      <c r="H46" s="4"/>
      <c r="I46" s="4"/>
      <c r="J46" s="4"/>
      <c r="K46" s="4"/>
      <c r="L46" s="7"/>
      <c r="M46" s="7"/>
      <c r="N46" s="7"/>
      <c r="O46" s="4"/>
      <c r="P46" s="4"/>
      <c r="Q46" s="4"/>
      <c r="R46" s="7"/>
      <c r="S46" s="7"/>
      <c r="T46" s="4"/>
      <c r="U46" s="7"/>
      <c r="V46" s="7"/>
      <c r="W46" s="7"/>
      <c r="X46" s="7"/>
      <c r="Y46" s="7"/>
    </row>
    <row r="47">
      <c r="A47" s="4"/>
      <c r="B47" s="4"/>
      <c r="C47" s="8"/>
      <c r="D47" s="5"/>
      <c r="E47" s="6"/>
      <c r="F47" s="6"/>
      <c r="G47" s="6"/>
      <c r="H47" s="4"/>
      <c r="I47" s="4"/>
      <c r="J47" s="4"/>
      <c r="K47" s="4"/>
      <c r="L47" s="4"/>
      <c r="M47" s="7"/>
      <c r="N47" s="7"/>
      <c r="O47" s="7"/>
      <c r="P47" s="7"/>
      <c r="Q47" s="4"/>
      <c r="R47" s="7"/>
      <c r="S47" s="7"/>
      <c r="T47" s="7"/>
      <c r="U47" s="7"/>
      <c r="V47" s="7"/>
      <c r="W47" s="4"/>
      <c r="X47" s="7"/>
      <c r="Y47" s="7"/>
    </row>
    <row r="48">
      <c r="A48" s="4"/>
      <c r="B48" s="4"/>
      <c r="C48" s="8"/>
      <c r="D48" s="5"/>
      <c r="E48" s="6"/>
      <c r="F48" s="6"/>
      <c r="G48" s="6"/>
      <c r="H48" s="4"/>
      <c r="I48" s="4"/>
      <c r="J48" s="4"/>
      <c r="K48" s="4"/>
      <c r="L48" s="7"/>
      <c r="M48" s="7"/>
      <c r="N48" s="7"/>
      <c r="O48" s="4"/>
      <c r="P48" s="7"/>
      <c r="Q48" s="4"/>
      <c r="R48" s="7"/>
      <c r="S48" s="7"/>
      <c r="T48" s="7"/>
      <c r="U48" s="7"/>
      <c r="V48" s="7"/>
      <c r="W48" s="7"/>
      <c r="X48" s="7"/>
      <c r="Y48" s="7"/>
    </row>
    <row r="49">
      <c r="A49" s="4"/>
      <c r="B49" s="4"/>
      <c r="C49" s="8"/>
      <c r="D49" s="5"/>
      <c r="E49" s="6"/>
      <c r="F49" s="6"/>
      <c r="G49" s="6"/>
      <c r="H49" s="4"/>
      <c r="I49" s="4"/>
      <c r="J49" s="4"/>
      <c r="K49" s="4"/>
      <c r="L49" s="7"/>
      <c r="M49" s="7"/>
      <c r="N49" s="7"/>
      <c r="O49" s="4"/>
      <c r="P49" s="7"/>
      <c r="Q49" s="7"/>
      <c r="R49" s="7"/>
      <c r="S49" s="4"/>
      <c r="T49" s="7"/>
      <c r="U49" s="7"/>
      <c r="V49" s="7"/>
      <c r="W49" s="7"/>
      <c r="X49" s="7"/>
      <c r="Y49" s="7"/>
    </row>
    <row r="50">
      <c r="A50" s="4"/>
      <c r="B50" s="4"/>
      <c r="C50" s="8"/>
      <c r="D50" s="5"/>
      <c r="E50" s="6"/>
      <c r="F50" s="6"/>
      <c r="G50" s="6"/>
      <c r="H50" s="4"/>
      <c r="I50" s="4"/>
      <c r="J50" s="4"/>
      <c r="K50" s="4"/>
      <c r="L50" s="7"/>
      <c r="M50" s="7"/>
      <c r="N50" s="7"/>
      <c r="O50" s="4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4"/>
      <c r="B51" s="4"/>
      <c r="C51" s="8"/>
      <c r="D51" s="5"/>
      <c r="E51" s="6"/>
      <c r="F51" s="6"/>
      <c r="G51" s="6"/>
      <c r="H51" s="4"/>
      <c r="I51" s="4"/>
      <c r="J51" s="4"/>
      <c r="K51" s="4"/>
      <c r="L51" s="7"/>
      <c r="M51" s="7"/>
      <c r="N51" s="7"/>
      <c r="O51" s="4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4"/>
      <c r="B52" s="4"/>
      <c r="C52" s="8"/>
      <c r="D52" s="5"/>
      <c r="E52" s="6"/>
      <c r="F52" s="6"/>
      <c r="G52" s="6"/>
      <c r="H52" s="4"/>
      <c r="I52" s="4"/>
      <c r="J52" s="4"/>
      <c r="K52" s="4"/>
      <c r="L52" s="7"/>
      <c r="M52" s="7"/>
      <c r="N52" s="7"/>
      <c r="O52" s="4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4"/>
      <c r="B53" s="4"/>
      <c r="C53" s="8"/>
      <c r="D53" s="5"/>
      <c r="E53" s="6"/>
      <c r="F53" s="6"/>
      <c r="G53" s="6"/>
      <c r="H53" s="4"/>
      <c r="I53" s="4"/>
      <c r="J53" s="4"/>
      <c r="K53" s="4"/>
      <c r="L53" s="4"/>
      <c r="M53" s="7"/>
      <c r="N53" s="7"/>
      <c r="O53" s="7"/>
      <c r="P53" s="7"/>
      <c r="Q53" s="4"/>
      <c r="R53" s="7"/>
      <c r="S53" s="7"/>
      <c r="T53" s="7"/>
      <c r="U53" s="7"/>
      <c r="V53" s="7"/>
      <c r="W53" s="7"/>
      <c r="X53" s="7"/>
      <c r="Y53" s="7"/>
    </row>
    <row r="54">
      <c r="A54" s="4"/>
      <c r="B54" s="4"/>
      <c r="C54" s="8"/>
      <c r="D54" s="5"/>
      <c r="E54" s="6"/>
      <c r="F54" s="6"/>
      <c r="G54" s="6"/>
      <c r="H54" s="4"/>
      <c r="I54" s="4"/>
      <c r="J54" s="4"/>
      <c r="K54" s="4"/>
      <c r="L54" s="7"/>
      <c r="M54" s="7"/>
      <c r="N54" s="7"/>
      <c r="O54" s="4"/>
      <c r="P54" s="4"/>
      <c r="Q54" s="4"/>
      <c r="R54" s="7"/>
      <c r="S54" s="7"/>
      <c r="T54" s="7"/>
      <c r="U54" s="4"/>
      <c r="V54" s="7"/>
      <c r="W54" s="4"/>
      <c r="X54" s="7"/>
      <c r="Y54" s="7"/>
    </row>
    <row r="55">
      <c r="A55" s="4"/>
      <c r="B55" s="4"/>
      <c r="C55" s="8"/>
      <c r="D55" s="5"/>
      <c r="E55" s="6"/>
      <c r="F55" s="6"/>
      <c r="G55" s="6"/>
      <c r="H55" s="4"/>
      <c r="I55" s="4"/>
      <c r="J55" s="4"/>
      <c r="K55" s="4"/>
      <c r="L55" s="7"/>
      <c r="M55" s="7"/>
      <c r="N55" s="7"/>
      <c r="O55" s="4"/>
      <c r="P55" s="4"/>
      <c r="Q55" s="4"/>
      <c r="R55" s="7"/>
      <c r="S55" s="7"/>
      <c r="T55" s="7"/>
      <c r="U55" s="4"/>
      <c r="V55" s="7"/>
      <c r="W55" s="4"/>
      <c r="X55" s="7"/>
      <c r="Y55" s="7"/>
    </row>
    <row r="56">
      <c r="A56" s="4"/>
      <c r="B56" s="4"/>
      <c r="C56" s="8"/>
      <c r="D56" s="5"/>
      <c r="E56" s="6"/>
      <c r="F56" s="6"/>
      <c r="G56" s="6"/>
      <c r="H56" s="4"/>
      <c r="I56" s="4"/>
      <c r="J56" s="4"/>
      <c r="K56" s="4"/>
      <c r="L56" s="7"/>
      <c r="M56" s="7"/>
      <c r="N56" s="7"/>
      <c r="O56" s="7"/>
      <c r="P56" s="4"/>
      <c r="Q56" s="4"/>
      <c r="R56" s="7"/>
      <c r="S56" s="7"/>
      <c r="T56" s="7"/>
      <c r="U56" s="7"/>
      <c r="V56" s="7"/>
      <c r="W56" s="7"/>
      <c r="X56" s="7"/>
      <c r="Y56" s="7"/>
    </row>
    <row r="57">
      <c r="A57" s="4"/>
      <c r="B57" s="4"/>
      <c r="C57" s="8"/>
      <c r="D57" s="5"/>
      <c r="E57" s="6"/>
      <c r="F57" s="6"/>
      <c r="G57" s="6"/>
      <c r="H57" s="4"/>
      <c r="I57" s="4"/>
      <c r="J57" s="4"/>
      <c r="K57" s="4"/>
      <c r="L57" s="7"/>
      <c r="M57" s="7"/>
      <c r="N57" s="7"/>
      <c r="O57" s="7"/>
      <c r="P57" s="4"/>
      <c r="Q57" s="4"/>
      <c r="R57" s="7"/>
      <c r="S57" s="7"/>
      <c r="T57" s="7"/>
      <c r="U57" s="7"/>
      <c r="V57" s="7"/>
      <c r="W57" s="7"/>
      <c r="X57" s="7"/>
      <c r="Y57" s="7"/>
    </row>
    <row r="58">
      <c r="A58" s="4"/>
      <c r="B58" s="4"/>
      <c r="C58" s="8"/>
      <c r="D58" s="5"/>
      <c r="E58" s="6"/>
      <c r="F58" s="6"/>
      <c r="G58" s="6"/>
      <c r="H58" s="4"/>
      <c r="I58" s="4"/>
      <c r="J58" s="4"/>
      <c r="K58" s="4"/>
      <c r="L58" s="4"/>
      <c r="M58" s="7"/>
      <c r="N58" s="7"/>
      <c r="O58" s="4"/>
      <c r="P58" s="4"/>
      <c r="Q58" s="7"/>
      <c r="R58" s="7"/>
      <c r="S58" s="7"/>
      <c r="T58" s="7"/>
      <c r="U58" s="7"/>
      <c r="V58" s="7"/>
      <c r="W58" s="7"/>
      <c r="X58" s="7"/>
      <c r="Y58" s="7"/>
    </row>
    <row r="59">
      <c r="A59" s="4"/>
      <c r="B59" s="4"/>
      <c r="C59" s="8"/>
      <c r="D59" s="5"/>
      <c r="E59" s="6"/>
      <c r="F59" s="6"/>
      <c r="G59" s="6"/>
      <c r="H59" s="4"/>
      <c r="I59" s="4"/>
      <c r="J59" s="4"/>
      <c r="K59" s="4"/>
      <c r="L59" s="4"/>
      <c r="M59" s="7"/>
      <c r="N59" s="7"/>
      <c r="O59" s="7"/>
      <c r="P59" s="7"/>
      <c r="Q59" s="4"/>
      <c r="R59" s="7"/>
      <c r="S59" s="7"/>
      <c r="T59" s="7"/>
      <c r="U59" s="7"/>
      <c r="V59" s="7"/>
      <c r="W59" s="4"/>
      <c r="X59" s="7"/>
      <c r="Y59" s="7"/>
    </row>
    <row r="60">
      <c r="A60" s="4"/>
      <c r="B60" s="4"/>
      <c r="C60" s="8"/>
      <c r="D60" s="5"/>
      <c r="E60" s="6"/>
      <c r="F60" s="6"/>
      <c r="G60" s="6"/>
      <c r="H60" s="4"/>
      <c r="I60" s="4"/>
      <c r="J60" s="4"/>
      <c r="K60" s="4"/>
      <c r="L60" s="4"/>
      <c r="M60" s="7"/>
      <c r="N60" s="7"/>
      <c r="O60" s="4"/>
      <c r="P60" s="4"/>
      <c r="Q60" s="4"/>
      <c r="R60" s="7"/>
      <c r="S60" s="7"/>
      <c r="T60" s="7"/>
      <c r="U60" s="7"/>
      <c r="V60" s="7"/>
      <c r="W60" s="7"/>
      <c r="X60" s="7"/>
      <c r="Y60" s="7"/>
    </row>
    <row r="61">
      <c r="A61" s="4"/>
      <c r="B61" s="4"/>
      <c r="C61" s="8"/>
      <c r="D61" s="5"/>
      <c r="E61" s="6"/>
      <c r="F61" s="6"/>
      <c r="G61" s="6"/>
      <c r="H61" s="4"/>
      <c r="I61" s="4"/>
      <c r="J61" s="4"/>
      <c r="K61" s="4"/>
      <c r="L61" s="4"/>
      <c r="M61" s="7"/>
      <c r="N61" s="7"/>
      <c r="O61" s="7"/>
      <c r="P61" s="4"/>
      <c r="Q61" s="4"/>
      <c r="R61" s="7"/>
      <c r="S61" s="7"/>
      <c r="T61" s="7"/>
      <c r="U61" s="7"/>
      <c r="V61" s="7"/>
      <c r="W61" s="4"/>
      <c r="X61" s="7"/>
      <c r="Y61" s="7"/>
    </row>
    <row r="62">
      <c r="A62" s="4"/>
      <c r="B62" s="4"/>
      <c r="C62" s="8"/>
      <c r="D62" s="5"/>
      <c r="E62" s="6"/>
      <c r="F62" s="6"/>
      <c r="G62" s="6"/>
      <c r="H62" s="4"/>
      <c r="I62" s="4"/>
      <c r="J62" s="4"/>
      <c r="K62" s="4"/>
      <c r="L62" s="7"/>
      <c r="M62" s="7"/>
      <c r="N62" s="7"/>
      <c r="O62" s="4"/>
      <c r="P62" s="7"/>
      <c r="Q62" s="7"/>
      <c r="R62" s="7"/>
      <c r="S62" s="4"/>
      <c r="T62" s="7"/>
      <c r="U62" s="7"/>
      <c r="V62" s="7"/>
      <c r="W62" s="7"/>
      <c r="X62" s="7"/>
      <c r="Y62" s="7"/>
    </row>
    <row r="63">
      <c r="A63" s="4"/>
      <c r="B63" s="4"/>
      <c r="C63" s="8"/>
      <c r="D63" s="5"/>
      <c r="E63" s="6"/>
      <c r="F63" s="6"/>
      <c r="G63" s="6"/>
      <c r="H63" s="4"/>
      <c r="I63" s="4"/>
      <c r="J63" s="4"/>
      <c r="K63" s="4"/>
      <c r="L63" s="4"/>
      <c r="M63" s="7"/>
      <c r="N63" s="7"/>
      <c r="O63" s="7"/>
      <c r="P63" s="7"/>
      <c r="Q63" s="7"/>
      <c r="R63" s="7"/>
      <c r="S63" s="7"/>
      <c r="T63" s="7"/>
      <c r="U63" s="7"/>
      <c r="V63" s="7"/>
      <c r="W63" s="4"/>
      <c r="X63" s="7"/>
      <c r="Y63" s="7"/>
    </row>
    <row r="64">
      <c r="A64" s="4"/>
      <c r="B64" s="4"/>
      <c r="C64" s="8"/>
      <c r="D64" s="5"/>
      <c r="E64" s="6"/>
      <c r="F64" s="6"/>
      <c r="G64" s="6"/>
      <c r="H64" s="4"/>
      <c r="I64" s="4"/>
      <c r="J64" s="4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4"/>
      <c r="B65" s="4"/>
      <c r="C65" s="8"/>
      <c r="D65" s="5"/>
      <c r="E65" s="6"/>
      <c r="F65" s="6"/>
      <c r="G65" s="6"/>
      <c r="H65" s="4"/>
      <c r="I65" s="4"/>
      <c r="J65" s="4"/>
      <c r="K65" s="4"/>
      <c r="L65" s="4"/>
      <c r="M65" s="7"/>
      <c r="N65" s="7"/>
      <c r="O65" s="7"/>
      <c r="P65" s="4"/>
      <c r="Q65" s="4"/>
      <c r="R65" s="7"/>
      <c r="S65" s="7"/>
      <c r="T65" s="7"/>
      <c r="U65" s="7"/>
      <c r="V65" s="7"/>
      <c r="W65" s="7"/>
      <c r="X65" s="7"/>
      <c r="Y65" s="7"/>
    </row>
    <row r="66">
      <c r="A66" s="4"/>
      <c r="B66" s="4"/>
      <c r="C66" s="8"/>
      <c r="D66" s="5"/>
      <c r="E66" s="6"/>
      <c r="F66" s="6"/>
      <c r="G66" s="6"/>
      <c r="H66" s="4"/>
      <c r="I66" s="4"/>
      <c r="J66" s="4"/>
      <c r="K66" s="4"/>
      <c r="L66" s="7"/>
      <c r="M66" s="7"/>
      <c r="N66" s="7"/>
      <c r="O66" s="7"/>
      <c r="P66" s="4"/>
      <c r="Q66" s="7"/>
      <c r="R66" s="7"/>
      <c r="S66" s="7"/>
      <c r="T66" s="7"/>
      <c r="U66" s="7"/>
      <c r="V66" s="7"/>
      <c r="W66" s="7"/>
      <c r="X66" s="7"/>
      <c r="Y66" s="7"/>
    </row>
    <row r="67">
      <c r="A67" s="4"/>
      <c r="B67" s="4"/>
      <c r="C67" s="8"/>
      <c r="D67" s="5"/>
      <c r="E67" s="6"/>
      <c r="F67" s="6"/>
      <c r="G67" s="6"/>
      <c r="H67" s="4"/>
      <c r="I67" s="4"/>
      <c r="J67" s="4"/>
      <c r="K67" s="4"/>
      <c r="L67" s="7"/>
      <c r="M67" s="7"/>
      <c r="N67" s="7"/>
      <c r="O67" s="4"/>
      <c r="P67" s="7"/>
      <c r="Q67" s="7"/>
      <c r="R67" s="7"/>
      <c r="S67" s="7"/>
      <c r="T67" s="4"/>
      <c r="U67" s="7"/>
      <c r="V67" s="7"/>
      <c r="W67" s="4"/>
      <c r="X67" s="7"/>
      <c r="Y67" s="7"/>
    </row>
    <row r="68">
      <c r="A68" s="4"/>
      <c r="B68" s="4"/>
      <c r="C68" s="8"/>
      <c r="D68" s="5"/>
      <c r="E68" s="6"/>
      <c r="F68" s="6"/>
      <c r="G68" s="6"/>
      <c r="H68" s="4"/>
      <c r="I68" s="4"/>
      <c r="J68" s="4"/>
      <c r="K68" s="4"/>
      <c r="L68" s="7"/>
      <c r="M68" s="7"/>
      <c r="N68" s="7"/>
      <c r="O68" s="4"/>
      <c r="P68" s="4"/>
      <c r="Q68" s="4"/>
      <c r="R68" s="7"/>
      <c r="S68" s="7"/>
      <c r="T68" s="7"/>
      <c r="U68" s="4"/>
      <c r="V68" s="7"/>
      <c r="W68" s="7"/>
      <c r="X68" s="7"/>
      <c r="Y68" s="7"/>
    </row>
    <row r="69">
      <c r="A69" s="4"/>
      <c r="B69" s="4"/>
      <c r="C69" s="8"/>
      <c r="D69" s="5"/>
      <c r="E69" s="6"/>
      <c r="F69" s="6"/>
      <c r="G69" s="6"/>
      <c r="H69" s="4"/>
      <c r="I69" s="4"/>
      <c r="J69" s="4"/>
      <c r="K69" s="4"/>
      <c r="L69" s="7"/>
      <c r="M69" s="7"/>
      <c r="N69" s="7"/>
      <c r="O69" s="4"/>
      <c r="P69" s="4"/>
      <c r="Q69" s="4"/>
      <c r="R69" s="7"/>
      <c r="S69" s="7"/>
      <c r="T69" s="7"/>
      <c r="U69" s="4"/>
      <c r="V69" s="7"/>
      <c r="W69" s="7"/>
      <c r="X69" s="7"/>
      <c r="Y69" s="7"/>
    </row>
    <row r="70">
      <c r="A70" s="4"/>
      <c r="B70" s="4"/>
      <c r="C70" s="8"/>
      <c r="D70" s="5"/>
      <c r="E70" s="6"/>
      <c r="F70" s="6"/>
      <c r="G70" s="6"/>
      <c r="H70" s="4"/>
      <c r="I70" s="4"/>
      <c r="J70" s="4"/>
      <c r="K70" s="4"/>
      <c r="L70" s="7"/>
      <c r="M70" s="7"/>
      <c r="N70" s="7"/>
      <c r="O70" s="4"/>
      <c r="P70" s="7"/>
      <c r="Q70" s="7"/>
      <c r="R70" s="7"/>
      <c r="S70" s="7"/>
      <c r="T70" s="4"/>
      <c r="U70" s="7"/>
      <c r="V70" s="7"/>
      <c r="W70" s="7"/>
      <c r="X70" s="7"/>
      <c r="Y70" s="7"/>
    </row>
    <row r="71">
      <c r="A71" s="4"/>
      <c r="B71" s="4"/>
      <c r="C71" s="8"/>
      <c r="D71" s="5"/>
      <c r="E71" s="6"/>
      <c r="F71" s="6"/>
      <c r="G71" s="6"/>
      <c r="H71" s="4"/>
      <c r="I71" s="4"/>
      <c r="J71" s="4"/>
      <c r="K71" s="4"/>
      <c r="L71" s="7"/>
      <c r="M71" s="7"/>
      <c r="N71" s="7"/>
      <c r="O71" s="7"/>
      <c r="P71" s="7"/>
      <c r="Q71" s="7"/>
      <c r="R71" s="7"/>
      <c r="S71" s="7"/>
      <c r="T71" s="4"/>
      <c r="U71" s="7"/>
      <c r="V71" s="7"/>
      <c r="W71" s="4"/>
      <c r="X71" s="7"/>
      <c r="Y71" s="7"/>
    </row>
    <row r="72">
      <c r="A72" s="4"/>
      <c r="B72" s="4"/>
      <c r="C72" s="8"/>
      <c r="D72" s="5"/>
      <c r="E72" s="6"/>
      <c r="F72" s="6"/>
      <c r="G72" s="6"/>
      <c r="H72" s="4"/>
      <c r="I72" s="4"/>
      <c r="J72" s="4"/>
      <c r="K72" s="4"/>
      <c r="L72" s="7"/>
      <c r="M72" s="7"/>
      <c r="N72" s="7"/>
      <c r="O72" s="7"/>
      <c r="P72" s="7"/>
      <c r="Q72" s="4"/>
      <c r="R72" s="7"/>
      <c r="S72" s="7"/>
      <c r="T72" s="7"/>
      <c r="U72" s="7"/>
      <c r="V72" s="7"/>
      <c r="W72" s="7"/>
      <c r="X72" s="7"/>
      <c r="Y72" s="7"/>
    </row>
    <row r="73">
      <c r="A73" s="4"/>
      <c r="B73" s="4"/>
      <c r="C73" s="8"/>
      <c r="D73" s="5"/>
      <c r="E73" s="6"/>
      <c r="F73" s="6"/>
      <c r="G73" s="6"/>
      <c r="H73" s="4"/>
      <c r="I73" s="4"/>
      <c r="J73" s="4"/>
      <c r="K73" s="4"/>
      <c r="L73" s="4"/>
      <c r="M73" s="7"/>
      <c r="N73" s="7"/>
      <c r="O73" s="7"/>
      <c r="P73" s="4"/>
      <c r="Q73" s="4"/>
      <c r="R73" s="7"/>
      <c r="S73" s="7"/>
      <c r="T73" s="7"/>
      <c r="U73" s="7"/>
      <c r="V73" s="7"/>
      <c r="W73" s="7"/>
      <c r="X73" s="7"/>
      <c r="Y73" s="7"/>
    </row>
    <row r="74">
      <c r="A74" s="4"/>
      <c r="B74" s="4"/>
      <c r="C74" s="8"/>
      <c r="D74" s="5"/>
      <c r="E74" s="6"/>
      <c r="F74" s="6"/>
      <c r="G74" s="6"/>
      <c r="H74" s="4"/>
      <c r="I74" s="4"/>
      <c r="J74" s="4"/>
      <c r="K74" s="4"/>
      <c r="L74" s="7"/>
      <c r="M74" s="7"/>
      <c r="N74" s="7"/>
      <c r="O74" s="4"/>
      <c r="P74" s="7"/>
      <c r="Q74" s="7"/>
      <c r="R74" s="7"/>
      <c r="S74" s="7"/>
      <c r="T74" s="4"/>
      <c r="U74" s="7"/>
      <c r="V74" s="7"/>
      <c r="W74" s="7"/>
      <c r="X74" s="7"/>
      <c r="Y74" s="7"/>
    </row>
    <row r="75">
      <c r="A75" s="4"/>
      <c r="B75" s="4"/>
      <c r="C75" s="8"/>
      <c r="D75" s="5"/>
      <c r="E75" s="6"/>
      <c r="F75" s="6"/>
      <c r="G75" s="6"/>
      <c r="H75" s="4"/>
      <c r="I75" s="4"/>
      <c r="J75" s="4"/>
      <c r="K75" s="4"/>
      <c r="L75" s="7"/>
      <c r="M75" s="7"/>
      <c r="N75" s="7"/>
      <c r="O75" s="7"/>
      <c r="P75" s="4"/>
      <c r="Q75" s="4"/>
      <c r="R75" s="4"/>
      <c r="S75" s="7"/>
      <c r="T75" s="4"/>
      <c r="U75" s="4"/>
      <c r="V75" s="7"/>
      <c r="W75" s="4"/>
      <c r="X75" s="4"/>
      <c r="Y75" s="4"/>
    </row>
    <row r="76">
      <c r="A76" s="4"/>
      <c r="B76" s="4"/>
      <c r="C76" s="8"/>
      <c r="D76" s="5"/>
      <c r="E76" s="6"/>
      <c r="F76" s="6"/>
      <c r="G76" s="6"/>
      <c r="H76" s="4"/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4"/>
      <c r="B77" s="4"/>
      <c r="C77" s="8"/>
      <c r="D77" s="5"/>
      <c r="E77" s="6"/>
      <c r="F77" s="6"/>
      <c r="G77" s="6"/>
      <c r="H77" s="4"/>
      <c r="I77" s="4"/>
      <c r="J77" s="4"/>
      <c r="K77" s="4"/>
      <c r="L77" s="7"/>
      <c r="M77" s="4"/>
      <c r="N77" s="7"/>
      <c r="O77" s="7"/>
      <c r="P77" s="7"/>
      <c r="Q77" s="4"/>
      <c r="R77" s="7"/>
      <c r="S77" s="7"/>
      <c r="T77" s="7"/>
      <c r="U77" s="7"/>
      <c r="V77" s="7"/>
      <c r="W77" s="7"/>
      <c r="X77" s="7"/>
      <c r="Y77" s="7"/>
    </row>
    <row r="78">
      <c r="A78" s="4"/>
      <c r="B78" s="4"/>
      <c r="C78" s="8"/>
      <c r="D78" s="5"/>
      <c r="E78" s="6"/>
      <c r="F78" s="6"/>
      <c r="G78" s="6"/>
      <c r="H78" s="4"/>
      <c r="I78" s="4"/>
      <c r="J78" s="4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"/>
      <c r="X78" s="7"/>
      <c r="Y78" s="7"/>
    </row>
    <row r="79">
      <c r="A79" s="4"/>
      <c r="B79" s="4"/>
      <c r="C79" s="8"/>
      <c r="D79" s="5"/>
      <c r="E79" s="6"/>
      <c r="F79" s="6"/>
      <c r="G79" s="6"/>
      <c r="H79" s="4"/>
      <c r="I79" s="4"/>
      <c r="J79" s="4"/>
      <c r="K79" s="4"/>
      <c r="L79" s="7"/>
      <c r="M79" s="7"/>
      <c r="N79" s="7"/>
      <c r="O79" s="4"/>
      <c r="P79" s="7"/>
      <c r="Q79" s="4"/>
      <c r="R79" s="4"/>
      <c r="S79" s="7"/>
      <c r="T79" s="7"/>
      <c r="U79" s="4"/>
      <c r="V79" s="7"/>
      <c r="W79" s="7"/>
      <c r="X79" s="7"/>
      <c r="Y79" s="7"/>
    </row>
    <row r="80">
      <c r="A80" s="4"/>
      <c r="B80" s="4"/>
      <c r="C80" s="8"/>
      <c r="D80" s="5"/>
      <c r="E80" s="6"/>
      <c r="F80" s="6"/>
      <c r="G80" s="6"/>
      <c r="H80" s="4"/>
      <c r="I80" s="4"/>
      <c r="J80" s="4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4"/>
      <c r="B81" s="4"/>
      <c r="C81" s="8"/>
      <c r="D81" s="5"/>
      <c r="E81" s="6"/>
      <c r="F81" s="6"/>
      <c r="G81" s="6"/>
      <c r="H81" s="4"/>
      <c r="I81" s="4"/>
      <c r="J81" s="4"/>
      <c r="K81" s="4"/>
      <c r="L81" s="7"/>
      <c r="M81" s="7"/>
      <c r="N81" s="7"/>
      <c r="O81" s="7"/>
      <c r="P81" s="4"/>
      <c r="Q81" s="4"/>
      <c r="R81" s="7"/>
      <c r="S81" s="7"/>
      <c r="T81" s="7"/>
      <c r="U81" s="7"/>
      <c r="V81" s="7"/>
      <c r="W81" s="4"/>
      <c r="X81" s="7"/>
      <c r="Y81" s="7"/>
    </row>
    <row r="82">
      <c r="A82" s="4"/>
      <c r="B82" s="4"/>
      <c r="C82" s="8"/>
      <c r="D82" s="5"/>
      <c r="E82" s="6"/>
      <c r="F82" s="6"/>
      <c r="G82" s="6"/>
      <c r="H82" s="4"/>
      <c r="I82" s="4"/>
      <c r="J82" s="4"/>
      <c r="K82" s="4"/>
      <c r="L82" s="7"/>
      <c r="M82" s="7"/>
      <c r="N82" s="7"/>
      <c r="O82" s="7"/>
      <c r="P82" s="4"/>
      <c r="Q82" s="4"/>
      <c r="R82" s="4"/>
      <c r="S82" s="7"/>
      <c r="T82" s="7"/>
      <c r="U82" s="7"/>
      <c r="V82" s="7"/>
      <c r="W82" s="7"/>
      <c r="X82" s="7"/>
      <c r="Y82" s="7"/>
    </row>
    <row r="83">
      <c r="A83" s="4"/>
      <c r="B83" s="4"/>
      <c r="C83" s="8"/>
      <c r="D83" s="5"/>
      <c r="E83" s="6"/>
      <c r="F83" s="6"/>
      <c r="G83" s="6"/>
      <c r="H83" s="4"/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4"/>
      <c r="B84" s="4"/>
      <c r="C84" s="8"/>
      <c r="D84" s="5"/>
      <c r="E84" s="6"/>
      <c r="F84" s="6"/>
      <c r="G84" s="6"/>
      <c r="H84" s="4"/>
      <c r="I84" s="4"/>
      <c r="J84" s="4"/>
      <c r="K84" s="4"/>
      <c r="L84" s="7"/>
      <c r="M84" s="7"/>
      <c r="N84" s="7"/>
      <c r="O84" s="7"/>
      <c r="P84" s="4"/>
      <c r="Q84" s="4"/>
      <c r="R84" s="7"/>
      <c r="S84" s="7"/>
      <c r="T84" s="7"/>
      <c r="U84" s="7"/>
      <c r="V84" s="7"/>
      <c r="W84" s="7"/>
      <c r="X84" s="7"/>
      <c r="Y84" s="7"/>
    </row>
    <row r="85">
      <c r="A85" s="4"/>
      <c r="B85" s="4"/>
      <c r="C85" s="8"/>
      <c r="D85" s="5"/>
      <c r="E85" s="6"/>
      <c r="F85" s="6"/>
      <c r="G85" s="6"/>
      <c r="H85" s="4"/>
      <c r="I85" s="4"/>
      <c r="J85" s="4"/>
      <c r="K85" s="4"/>
      <c r="L85" s="7"/>
      <c r="M85" s="7"/>
      <c r="N85" s="7"/>
      <c r="O85" s="7"/>
      <c r="P85" s="7"/>
      <c r="Q85" s="4"/>
      <c r="R85" s="7"/>
      <c r="S85" s="7"/>
      <c r="T85" s="7"/>
      <c r="U85" s="7"/>
      <c r="V85" s="7"/>
      <c r="W85" s="7"/>
      <c r="X85" s="7"/>
      <c r="Y85" s="7"/>
    </row>
    <row r="86">
      <c r="A86" s="4"/>
      <c r="B86" s="4"/>
      <c r="C86" s="8"/>
      <c r="D86" s="5"/>
      <c r="E86" s="6"/>
      <c r="F86" s="6"/>
      <c r="G86" s="6"/>
      <c r="H86" s="4"/>
      <c r="I86" s="4"/>
      <c r="J86" s="4"/>
      <c r="K86" s="4"/>
      <c r="L86" s="7"/>
      <c r="M86" s="7"/>
      <c r="N86" s="7"/>
      <c r="O86" s="7"/>
      <c r="P86" s="7"/>
      <c r="Q86" s="7"/>
      <c r="R86" s="7"/>
      <c r="S86" s="7"/>
      <c r="T86" s="7"/>
      <c r="U86" s="4"/>
      <c r="V86" s="7"/>
      <c r="W86" s="7"/>
      <c r="X86" s="7"/>
      <c r="Y86" s="7"/>
    </row>
    <row r="87">
      <c r="A87" s="4"/>
      <c r="B87" s="4"/>
      <c r="C87" s="8"/>
      <c r="D87" s="5"/>
      <c r="E87" s="6"/>
      <c r="F87" s="6"/>
      <c r="G87" s="6"/>
      <c r="H87" s="4"/>
      <c r="I87" s="4"/>
      <c r="J87" s="4"/>
      <c r="K87" s="4"/>
      <c r="L87" s="7"/>
      <c r="M87" s="7"/>
      <c r="N87" s="7"/>
      <c r="O87" s="7"/>
      <c r="P87" s="7"/>
      <c r="Q87" s="7"/>
      <c r="R87" s="7"/>
      <c r="S87" s="7"/>
      <c r="T87" s="7"/>
      <c r="U87" s="4"/>
      <c r="V87" s="7"/>
      <c r="W87" s="7"/>
      <c r="X87" s="7"/>
      <c r="Y87" s="7"/>
    </row>
    <row r="88">
      <c r="A88" s="4"/>
      <c r="B88" s="4"/>
      <c r="C88" s="8"/>
      <c r="D88" s="5"/>
      <c r="E88" s="6"/>
      <c r="F88" s="6"/>
      <c r="G88" s="6"/>
      <c r="H88" s="4"/>
      <c r="I88" s="4"/>
      <c r="J88" s="4"/>
      <c r="K88" s="4"/>
      <c r="L88" s="4"/>
      <c r="M88" s="7"/>
      <c r="N88" s="7"/>
      <c r="O88" s="7"/>
      <c r="P88" s="7"/>
      <c r="Q88" s="7"/>
      <c r="R88" s="7"/>
      <c r="S88" s="7"/>
      <c r="T88" s="7"/>
      <c r="U88" s="7"/>
      <c r="V88" s="7"/>
      <c r="W88" s="4"/>
      <c r="X88" s="7"/>
      <c r="Y88" s="7"/>
    </row>
    <row r="89">
      <c r="A89" s="4"/>
      <c r="B89" s="4"/>
      <c r="C89" s="8"/>
      <c r="D89" s="5"/>
      <c r="E89" s="6"/>
      <c r="F89" s="6"/>
      <c r="G89" s="6"/>
      <c r="H89" s="4"/>
      <c r="I89" s="4"/>
      <c r="J89" s="4"/>
      <c r="K89" s="4"/>
      <c r="L89" s="7"/>
      <c r="M89" s="7"/>
      <c r="N89" s="7"/>
      <c r="O89" s="7"/>
      <c r="P89" s="7"/>
      <c r="Q89" s="4"/>
      <c r="R89" s="7"/>
      <c r="S89" s="7"/>
      <c r="T89" s="7"/>
      <c r="U89" s="7"/>
      <c r="V89" s="7"/>
      <c r="W89" s="7"/>
      <c r="X89" s="7"/>
      <c r="Y89" s="7"/>
    </row>
    <row r="90">
      <c r="A90" s="4"/>
      <c r="B90" s="4"/>
      <c r="C90" s="8"/>
      <c r="D90" s="5"/>
      <c r="E90" s="6"/>
      <c r="F90" s="6"/>
      <c r="G90" s="6"/>
      <c r="H90" s="4"/>
      <c r="I90" s="4"/>
      <c r="J90" s="4"/>
      <c r="K90" s="4"/>
      <c r="L90" s="7"/>
      <c r="M90" s="7"/>
      <c r="N90" s="7"/>
      <c r="O90" s="7"/>
      <c r="P90" s="4"/>
      <c r="Q90" s="7"/>
      <c r="R90" s="7"/>
      <c r="S90" s="7"/>
      <c r="T90" s="7"/>
      <c r="U90" s="7"/>
      <c r="V90" s="7"/>
      <c r="W90" s="7"/>
      <c r="X90" s="7"/>
      <c r="Y90" s="7"/>
    </row>
    <row r="91">
      <c r="A91" s="4"/>
      <c r="B91" s="4"/>
      <c r="C91" s="8"/>
      <c r="D91" s="5"/>
      <c r="E91" s="6"/>
      <c r="F91" s="6"/>
      <c r="G91" s="6"/>
      <c r="H91" s="4"/>
      <c r="I91" s="4"/>
      <c r="J91" s="4"/>
      <c r="K91" s="4"/>
      <c r="L91" s="7"/>
      <c r="M91" s="7"/>
      <c r="N91" s="7"/>
      <c r="O91" s="7"/>
      <c r="P91" s="7"/>
      <c r="Q91" s="4"/>
      <c r="R91" s="4"/>
      <c r="S91" s="7"/>
      <c r="T91" s="7"/>
      <c r="U91" s="7"/>
      <c r="V91" s="7"/>
      <c r="W91" s="7"/>
      <c r="X91" s="7"/>
      <c r="Y91" s="7"/>
    </row>
    <row r="92">
      <c r="A92" s="4"/>
      <c r="B92" s="4"/>
      <c r="C92" s="8"/>
      <c r="D92" s="5"/>
      <c r="E92" s="6"/>
      <c r="F92" s="6"/>
      <c r="G92" s="6"/>
      <c r="H92" s="4"/>
      <c r="I92" s="4"/>
      <c r="J92" s="4"/>
      <c r="K92" s="4"/>
      <c r="L92" s="7"/>
      <c r="M92" s="7"/>
      <c r="N92" s="7"/>
      <c r="O92" s="7"/>
      <c r="P92" s="7"/>
      <c r="Q92" s="4"/>
      <c r="R92" s="7"/>
      <c r="S92" s="7"/>
      <c r="T92" s="7"/>
      <c r="U92" s="7"/>
      <c r="V92" s="7"/>
      <c r="W92" s="7"/>
      <c r="X92" s="7"/>
      <c r="Y92" s="7"/>
    </row>
    <row r="93">
      <c r="A93" s="4"/>
      <c r="B93" s="4"/>
      <c r="C93" s="8"/>
      <c r="D93" s="5"/>
      <c r="E93" s="6"/>
      <c r="F93" s="6"/>
      <c r="G93" s="6"/>
      <c r="H93" s="4"/>
      <c r="I93" s="4"/>
      <c r="J93" s="4"/>
      <c r="K93" s="4"/>
      <c r="L93" s="7"/>
      <c r="M93" s="7"/>
      <c r="N93" s="7"/>
      <c r="O93" s="4"/>
      <c r="P93" s="7"/>
      <c r="Q93" s="4"/>
      <c r="R93" s="7"/>
      <c r="S93" s="7"/>
      <c r="T93" s="7"/>
      <c r="U93" s="7"/>
      <c r="V93" s="7"/>
      <c r="W93" s="7"/>
      <c r="X93" s="7"/>
      <c r="Y93" s="7"/>
    </row>
    <row r="94">
      <c r="A94" s="4"/>
      <c r="B94" s="4"/>
      <c r="C94" s="8"/>
      <c r="D94" s="5"/>
      <c r="E94" s="6"/>
      <c r="F94" s="6"/>
      <c r="G94" s="6"/>
      <c r="H94" s="4"/>
      <c r="I94" s="4"/>
      <c r="J94" s="4"/>
      <c r="K94" s="4"/>
      <c r="L94" s="7"/>
      <c r="M94" s="7"/>
      <c r="N94" s="7"/>
      <c r="O94" s="4"/>
      <c r="P94" s="4"/>
      <c r="Q94" s="4"/>
      <c r="R94" s="7"/>
      <c r="S94" s="7"/>
      <c r="T94" s="4"/>
      <c r="U94" s="4"/>
      <c r="V94" s="7"/>
      <c r="W94" s="4"/>
      <c r="X94" s="7"/>
      <c r="Y94" s="7"/>
    </row>
    <row r="95">
      <c r="A95" s="4"/>
      <c r="B95" s="4"/>
      <c r="C95" s="8"/>
      <c r="D95" s="5"/>
      <c r="E95" s="6"/>
      <c r="F95" s="6"/>
      <c r="G95" s="6"/>
      <c r="H95" s="4"/>
      <c r="I95" s="4"/>
      <c r="J95" s="4"/>
      <c r="K95" s="4"/>
      <c r="L95" s="7"/>
      <c r="M95" s="7"/>
      <c r="N95" s="4"/>
      <c r="O95" s="4"/>
      <c r="P95" s="7"/>
      <c r="Q95" s="4"/>
      <c r="R95" s="7"/>
      <c r="S95" s="7"/>
      <c r="T95" s="7"/>
      <c r="U95" s="7"/>
      <c r="V95" s="7"/>
      <c r="W95" s="7"/>
      <c r="X95" s="7"/>
      <c r="Y95" s="7"/>
    </row>
    <row r="96">
      <c r="A96" s="4"/>
      <c r="B96" s="4"/>
      <c r="C96" s="8"/>
      <c r="D96" s="5"/>
      <c r="E96" s="6"/>
      <c r="F96" s="6"/>
      <c r="G96" s="6"/>
      <c r="H96" s="4"/>
      <c r="I96" s="4"/>
      <c r="J96" s="4"/>
      <c r="K96" s="4"/>
      <c r="L96" s="7"/>
      <c r="M96" s="7"/>
      <c r="N96" s="7"/>
      <c r="O96" s="7"/>
      <c r="P96" s="7"/>
      <c r="Q96" s="4"/>
      <c r="R96" s="7"/>
      <c r="S96" s="7"/>
      <c r="T96" s="7"/>
      <c r="U96" s="7"/>
      <c r="V96" s="7"/>
      <c r="W96" s="7"/>
      <c r="X96" s="7"/>
      <c r="Y96" s="7"/>
    </row>
    <row r="97">
      <c r="A97" s="4"/>
      <c r="B97" s="4"/>
      <c r="C97" s="8"/>
      <c r="D97" s="5"/>
      <c r="E97" s="6"/>
      <c r="F97" s="6"/>
      <c r="G97" s="6"/>
      <c r="H97" s="4"/>
      <c r="I97" s="4"/>
      <c r="J97" s="4"/>
      <c r="K97" s="4"/>
      <c r="L97" s="4"/>
      <c r="M97" s="7"/>
      <c r="N97" s="7"/>
      <c r="O97" s="7"/>
      <c r="P97" s="7"/>
      <c r="Q97" s="4"/>
      <c r="R97" s="7"/>
      <c r="S97" s="7"/>
      <c r="T97" s="7"/>
      <c r="U97" s="7"/>
      <c r="V97" s="7"/>
      <c r="W97" s="4"/>
      <c r="X97" s="7"/>
      <c r="Y97" s="7"/>
    </row>
    <row r="98">
      <c r="A98" s="4"/>
      <c r="B98" s="4"/>
      <c r="C98" s="8"/>
      <c r="D98" s="5"/>
      <c r="E98" s="6"/>
      <c r="F98" s="6"/>
      <c r="G98" s="6"/>
      <c r="H98" s="4"/>
      <c r="I98" s="4"/>
      <c r="J98" s="4"/>
      <c r="K98" s="4"/>
      <c r="L98" s="7"/>
      <c r="M98" s="7"/>
      <c r="N98" s="7"/>
      <c r="O98" s="7"/>
      <c r="P98" s="7"/>
      <c r="Q98" s="4"/>
      <c r="R98" s="7"/>
      <c r="S98" s="7"/>
      <c r="T98" s="7"/>
      <c r="U98" s="7"/>
      <c r="V98" s="7"/>
      <c r="W98" s="7"/>
      <c r="X98" s="7"/>
      <c r="Y98" s="7"/>
    </row>
    <row r="99">
      <c r="A99" s="4"/>
      <c r="B99" s="4"/>
      <c r="C99" s="8"/>
      <c r="D99" s="5"/>
      <c r="E99" s="6"/>
      <c r="F99" s="6"/>
      <c r="G99" s="6"/>
      <c r="H99" s="4"/>
      <c r="I99" s="4"/>
      <c r="J99" s="4"/>
      <c r="K99" s="4"/>
      <c r="L99" s="4"/>
      <c r="M99" s="7"/>
      <c r="N99" s="7"/>
      <c r="O99" s="7"/>
      <c r="P99" s="7"/>
      <c r="Q99" s="4"/>
      <c r="R99" s="7"/>
      <c r="S99" s="7"/>
      <c r="T99" s="7"/>
      <c r="U99" s="7"/>
      <c r="V99" s="7"/>
      <c r="W99" s="7"/>
      <c r="X99" s="7"/>
      <c r="Y99" s="7"/>
    </row>
    <row r="100">
      <c r="A100" s="4"/>
      <c r="B100" s="4"/>
      <c r="C100" s="8"/>
      <c r="D100" s="5"/>
      <c r="E100" s="6"/>
      <c r="F100" s="6"/>
      <c r="G100" s="6"/>
      <c r="H100" s="4"/>
      <c r="I100" s="4"/>
      <c r="J100" s="4"/>
      <c r="K100" s="4"/>
      <c r="L100" s="4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4"/>
      <c r="B101" s="4"/>
      <c r="C101" s="8"/>
      <c r="D101" s="5"/>
      <c r="E101" s="6"/>
      <c r="F101" s="6"/>
      <c r="G101" s="6"/>
      <c r="H101" s="4"/>
      <c r="I101" s="4"/>
      <c r="J101" s="4"/>
      <c r="K101" s="4"/>
      <c r="L101" s="4"/>
      <c r="M101" s="7"/>
      <c r="N101" s="7"/>
      <c r="O101" s="7"/>
      <c r="P101" s="7"/>
      <c r="Q101" s="4"/>
      <c r="R101" s="7"/>
      <c r="S101" s="7"/>
      <c r="T101" s="7"/>
      <c r="U101" s="7"/>
      <c r="V101" s="7"/>
      <c r="W101" s="7"/>
      <c r="X101" s="7"/>
      <c r="Y101" s="7"/>
    </row>
    <row r="102">
      <c r="A102" s="4"/>
      <c r="B102" s="4"/>
      <c r="C102" s="8"/>
      <c r="D102" s="5"/>
      <c r="E102" s="6"/>
      <c r="F102" s="6"/>
      <c r="G102" s="6"/>
      <c r="H102" s="4"/>
      <c r="I102" s="4"/>
      <c r="J102" s="4"/>
      <c r="K102" s="4"/>
      <c r="L102" s="4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4"/>
      <c r="B103" s="4"/>
      <c r="C103" s="8"/>
      <c r="D103" s="5"/>
      <c r="E103" s="6"/>
      <c r="F103" s="6"/>
      <c r="G103" s="6"/>
      <c r="H103" s="4"/>
      <c r="I103" s="4"/>
      <c r="J103" s="4"/>
      <c r="K103" s="4"/>
      <c r="L103" s="7"/>
      <c r="M103" s="7"/>
      <c r="N103" s="7"/>
      <c r="O103" s="7"/>
      <c r="P103" s="7"/>
      <c r="Q103" s="4"/>
      <c r="R103" s="7"/>
      <c r="S103" s="7"/>
      <c r="T103" s="7"/>
      <c r="U103" s="4"/>
      <c r="V103" s="7"/>
      <c r="W103" s="7"/>
      <c r="X103" s="7"/>
      <c r="Y103" s="7"/>
    </row>
    <row r="104">
      <c r="A104" s="4"/>
      <c r="B104" s="4"/>
      <c r="C104" s="8"/>
      <c r="D104" s="5"/>
      <c r="E104" s="6"/>
      <c r="F104" s="6"/>
      <c r="G104" s="6"/>
      <c r="H104" s="4"/>
      <c r="I104" s="4"/>
      <c r="J104" s="4"/>
      <c r="K104" s="4"/>
      <c r="L104" s="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4"/>
      <c r="B105" s="4"/>
      <c r="C105" s="8"/>
      <c r="D105" s="5"/>
      <c r="E105" s="6"/>
      <c r="F105" s="6"/>
      <c r="G105" s="6"/>
      <c r="H105" s="4"/>
      <c r="I105" s="4"/>
      <c r="J105" s="4"/>
      <c r="K105" s="4"/>
      <c r="L105" s="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4"/>
      <c r="B106" s="4"/>
      <c r="C106" s="8"/>
      <c r="D106" s="5"/>
      <c r="E106" s="6"/>
      <c r="F106" s="6"/>
      <c r="G106" s="6"/>
      <c r="H106" s="4"/>
      <c r="I106" s="4"/>
      <c r="J106" s="4"/>
      <c r="K106" s="4"/>
      <c r="L106" s="4"/>
      <c r="M106" s="7"/>
      <c r="N106" s="7"/>
      <c r="O106" s="7"/>
      <c r="P106" s="7"/>
      <c r="Q106" s="4"/>
      <c r="R106" s="7"/>
      <c r="S106" s="7"/>
      <c r="T106" s="7"/>
      <c r="U106" s="7"/>
      <c r="V106" s="7"/>
      <c r="W106" s="4"/>
      <c r="X106" s="7"/>
      <c r="Y106" s="7"/>
    </row>
    <row r="107">
      <c r="A107" s="4"/>
      <c r="B107" s="4"/>
      <c r="C107" s="8"/>
      <c r="D107" s="5"/>
      <c r="E107" s="6"/>
      <c r="F107" s="6"/>
      <c r="G107" s="6"/>
      <c r="H107" s="4"/>
      <c r="I107" s="4"/>
      <c r="J107" s="4"/>
      <c r="K107" s="4"/>
      <c r="L107" s="7"/>
      <c r="M107" s="4"/>
      <c r="N107" s="7"/>
      <c r="O107" s="7"/>
      <c r="P107" s="7"/>
      <c r="Q107" s="4"/>
      <c r="R107" s="7"/>
      <c r="S107" s="7"/>
      <c r="T107" s="7"/>
      <c r="U107" s="7"/>
      <c r="V107" s="7"/>
      <c r="W107" s="4"/>
      <c r="X107" s="7"/>
      <c r="Y107" s="7"/>
    </row>
    <row r="108">
      <c r="A108" s="4"/>
      <c r="B108" s="4"/>
      <c r="C108" s="8"/>
      <c r="D108" s="5"/>
      <c r="E108" s="6"/>
      <c r="F108" s="6"/>
      <c r="G108" s="6"/>
      <c r="H108" s="4"/>
      <c r="I108" s="4"/>
      <c r="J108" s="4"/>
      <c r="K108" s="4"/>
      <c r="L108" s="7"/>
      <c r="M108" s="4"/>
      <c r="N108" s="7"/>
      <c r="O108" s="7"/>
      <c r="P108" s="7"/>
      <c r="Q108" s="4"/>
      <c r="R108" s="7"/>
      <c r="S108" s="7"/>
      <c r="T108" s="7"/>
      <c r="U108" s="7"/>
      <c r="V108" s="7"/>
      <c r="W108" s="4"/>
      <c r="X108" s="7"/>
      <c r="Y108" s="7"/>
    </row>
    <row r="109">
      <c r="A109" s="4"/>
      <c r="B109" s="4"/>
      <c r="C109" s="8"/>
      <c r="D109" s="5"/>
      <c r="E109" s="6"/>
      <c r="F109" s="6"/>
      <c r="G109" s="6"/>
      <c r="H109" s="4"/>
      <c r="I109" s="4"/>
      <c r="J109" s="4"/>
      <c r="K109" s="4"/>
      <c r="L109" s="7"/>
      <c r="M109" s="7"/>
      <c r="N109" s="4"/>
      <c r="O109" s="7"/>
      <c r="P109" s="7"/>
      <c r="Q109" s="4"/>
      <c r="R109" s="7"/>
      <c r="S109" s="7"/>
      <c r="T109" s="7"/>
      <c r="U109" s="7"/>
      <c r="V109" s="7"/>
      <c r="W109" s="7"/>
      <c r="X109" s="7"/>
      <c r="Y109" s="7"/>
    </row>
    <row r="110">
      <c r="A110" s="4"/>
      <c r="B110" s="4"/>
      <c r="C110" s="8"/>
      <c r="D110" s="5"/>
      <c r="E110" s="6"/>
      <c r="F110" s="6"/>
      <c r="G110" s="6"/>
      <c r="H110" s="4"/>
      <c r="I110" s="4"/>
      <c r="J110" s="4"/>
      <c r="K110" s="4"/>
      <c r="L110" s="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4"/>
      <c r="B111" s="4"/>
      <c r="C111" s="8"/>
      <c r="D111" s="5"/>
      <c r="E111" s="6"/>
      <c r="F111" s="6"/>
      <c r="G111" s="6"/>
      <c r="H111" s="4"/>
      <c r="I111" s="4"/>
      <c r="J111" s="4"/>
      <c r="K111" s="4"/>
      <c r="L111" s="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4"/>
      <c r="B112" s="4"/>
      <c r="C112" s="8"/>
      <c r="D112" s="5"/>
      <c r="E112" s="6"/>
      <c r="F112" s="6"/>
      <c r="G112" s="6"/>
      <c r="H112" s="4"/>
      <c r="I112" s="4"/>
      <c r="J112" s="4"/>
      <c r="K112" s="4"/>
      <c r="L112" s="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4"/>
      <c r="B113" s="4"/>
      <c r="C113" s="8"/>
      <c r="D113" s="5"/>
      <c r="E113" s="6"/>
      <c r="F113" s="6"/>
      <c r="G113" s="6"/>
      <c r="H113" s="4"/>
      <c r="I113" s="4"/>
      <c r="J113" s="4"/>
      <c r="K113" s="4"/>
      <c r="L113" s="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4"/>
      <c r="B114" s="4"/>
      <c r="C114" s="8"/>
      <c r="D114" s="5"/>
      <c r="E114" s="6"/>
      <c r="F114" s="6"/>
      <c r="G114" s="6"/>
      <c r="H114" s="4"/>
      <c r="I114" s="4"/>
      <c r="J114" s="4"/>
      <c r="K114" s="4"/>
      <c r="L114" s="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4"/>
      <c r="B115" s="4"/>
      <c r="C115" s="8"/>
      <c r="D115" s="5"/>
      <c r="E115" s="6"/>
      <c r="F115" s="6"/>
      <c r="G115" s="6"/>
      <c r="H115" s="4"/>
      <c r="I115" s="4"/>
      <c r="J115" s="4"/>
      <c r="K115" s="4"/>
      <c r="L115" s="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4"/>
      <c r="B116" s="4"/>
      <c r="C116" s="8"/>
      <c r="D116" s="5"/>
      <c r="E116" s="6"/>
      <c r="F116" s="6"/>
      <c r="G116" s="6"/>
      <c r="H116" s="4"/>
      <c r="I116" s="4"/>
      <c r="J116" s="4"/>
      <c r="K116" s="4"/>
      <c r="L116" s="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4"/>
      <c r="B117" s="4"/>
      <c r="C117" s="8"/>
      <c r="D117" s="5"/>
      <c r="E117" s="6"/>
      <c r="F117" s="6"/>
      <c r="G117" s="6"/>
      <c r="H117" s="4"/>
      <c r="I117" s="4"/>
      <c r="J117" s="4"/>
      <c r="K117" s="4"/>
      <c r="L117" s="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4"/>
      <c r="B118" s="4"/>
      <c r="C118" s="8"/>
      <c r="D118" s="5"/>
      <c r="E118" s="6"/>
      <c r="F118" s="6"/>
      <c r="G118" s="6"/>
      <c r="H118" s="4"/>
      <c r="I118" s="4"/>
      <c r="J118" s="4"/>
      <c r="K118" s="4"/>
      <c r="L118" s="4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4"/>
      <c r="B119" s="4"/>
      <c r="C119" s="8"/>
      <c r="D119" s="5"/>
      <c r="E119" s="6"/>
      <c r="F119" s="6"/>
      <c r="G119" s="6"/>
      <c r="H119" s="4"/>
      <c r="I119" s="4"/>
      <c r="J119" s="4"/>
      <c r="K119" s="4"/>
      <c r="L119" s="4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4"/>
      <c r="B120" s="4"/>
      <c r="C120" s="8"/>
      <c r="D120" s="5"/>
      <c r="E120" s="6"/>
      <c r="F120" s="6"/>
      <c r="G120" s="6"/>
      <c r="H120" s="4"/>
      <c r="I120" s="4"/>
      <c r="J120" s="4"/>
      <c r="K120" s="4"/>
      <c r="L120" s="4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4"/>
      <c r="B121" s="4"/>
      <c r="C121" s="8"/>
      <c r="D121" s="5"/>
      <c r="E121" s="6"/>
      <c r="F121" s="6"/>
      <c r="G121" s="6"/>
      <c r="H121" s="4"/>
      <c r="I121" s="4"/>
      <c r="J121" s="4"/>
      <c r="K121" s="4"/>
      <c r="L121" s="4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"/>
      <c r="X121" s="7"/>
      <c r="Y121" s="7"/>
    </row>
    <row r="122">
      <c r="A122" s="4"/>
      <c r="B122" s="4"/>
      <c r="C122" s="8"/>
      <c r="D122" s="5"/>
      <c r="E122" s="6"/>
      <c r="F122" s="6"/>
      <c r="G122" s="6"/>
      <c r="H122" s="4"/>
      <c r="I122" s="4"/>
      <c r="J122" s="4"/>
      <c r="K122" s="4"/>
      <c r="L122" s="4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4"/>
      <c r="B123" s="4"/>
      <c r="C123" s="8"/>
      <c r="D123" s="5"/>
      <c r="E123" s="6"/>
      <c r="F123" s="6"/>
      <c r="G123" s="6"/>
      <c r="H123" s="4"/>
      <c r="I123" s="4"/>
      <c r="J123" s="4"/>
      <c r="K123" s="4"/>
      <c r="L123" s="4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"/>
      <c r="X123" s="7"/>
      <c r="Y123" s="7"/>
    </row>
    <row r="124">
      <c r="A124" s="4"/>
      <c r="B124" s="4"/>
      <c r="C124" s="8"/>
      <c r="D124" s="5"/>
      <c r="E124" s="6"/>
      <c r="F124" s="6"/>
      <c r="G124" s="6"/>
      <c r="H124" s="4"/>
      <c r="I124" s="4"/>
      <c r="J124" s="4"/>
      <c r="K124" s="4"/>
      <c r="L124" s="4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4"/>
      <c r="B125" s="4"/>
      <c r="C125" s="8"/>
      <c r="D125" s="5"/>
      <c r="E125" s="6"/>
      <c r="F125" s="6"/>
      <c r="G125" s="6"/>
      <c r="H125" s="4"/>
      <c r="I125" s="4"/>
      <c r="J125" s="4"/>
      <c r="K125" s="4"/>
      <c r="L125" s="4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4"/>
      <c r="B126" s="4"/>
      <c r="C126" s="8"/>
      <c r="D126" s="5"/>
      <c r="E126" s="6"/>
      <c r="F126" s="6"/>
      <c r="G126" s="6"/>
      <c r="H126" s="4"/>
      <c r="I126" s="4"/>
      <c r="J126" s="4"/>
      <c r="K126" s="4"/>
      <c r="L126" s="4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4"/>
      <c r="B127" s="4"/>
      <c r="C127" s="8"/>
      <c r="D127" s="5"/>
      <c r="E127" s="6"/>
      <c r="F127" s="6"/>
      <c r="G127" s="6"/>
      <c r="H127" s="4"/>
      <c r="I127" s="4"/>
      <c r="J127" s="4"/>
      <c r="K127" s="4"/>
      <c r="L127" s="7"/>
      <c r="M127" s="7"/>
      <c r="N127" s="7"/>
      <c r="O127" s="7"/>
      <c r="P127" s="7"/>
      <c r="Q127" s="4"/>
      <c r="R127" s="7"/>
      <c r="S127" s="7"/>
      <c r="T127" s="7"/>
      <c r="U127" s="7"/>
      <c r="V127" s="7"/>
      <c r="W127" s="7"/>
      <c r="X127" s="7"/>
      <c r="Y127" s="7"/>
    </row>
    <row r="128">
      <c r="A128" s="4"/>
      <c r="B128" s="4"/>
      <c r="C128" s="8"/>
      <c r="D128" s="5"/>
      <c r="E128" s="6"/>
      <c r="F128" s="6"/>
      <c r="G128" s="6"/>
      <c r="H128" s="4"/>
      <c r="I128" s="4"/>
      <c r="J128" s="4"/>
      <c r="K128" s="4"/>
      <c r="L128" s="7"/>
      <c r="M128" s="7"/>
      <c r="N128" s="7"/>
      <c r="O128" s="7"/>
      <c r="P128" s="7"/>
      <c r="Q128" s="4"/>
      <c r="R128" s="7"/>
      <c r="S128" s="7"/>
      <c r="T128" s="7"/>
      <c r="U128" s="7"/>
      <c r="V128" s="7"/>
      <c r="W128" s="4"/>
      <c r="X128" s="7"/>
      <c r="Y128" s="7"/>
    </row>
    <row r="129">
      <c r="A129" s="4"/>
      <c r="B129" s="4"/>
      <c r="C129" s="8"/>
      <c r="D129" s="5"/>
      <c r="E129" s="6"/>
      <c r="F129" s="6"/>
      <c r="G129" s="6"/>
      <c r="H129" s="4"/>
      <c r="I129" s="4"/>
      <c r="J129" s="4"/>
      <c r="K129" s="4"/>
      <c r="L129" s="7"/>
      <c r="M129" s="4"/>
      <c r="N129" s="7"/>
      <c r="O129" s="7"/>
      <c r="P129" s="7"/>
      <c r="Q129" s="4"/>
      <c r="R129" s="7"/>
      <c r="S129" s="7"/>
      <c r="T129" s="7"/>
      <c r="U129" s="7"/>
      <c r="V129" s="7"/>
      <c r="W129" s="4"/>
      <c r="X129" s="7"/>
      <c r="Y129" s="7"/>
    </row>
    <row r="130">
      <c r="A130" s="4"/>
      <c r="B130" s="4"/>
      <c r="C130" s="8"/>
      <c r="D130" s="5"/>
      <c r="E130" s="6"/>
      <c r="F130" s="6"/>
      <c r="G130" s="6"/>
      <c r="H130" s="4"/>
      <c r="I130" s="4"/>
      <c r="J130" s="4"/>
      <c r="K130" s="4"/>
      <c r="L130" s="7"/>
      <c r="M130" s="4"/>
      <c r="N130" s="7"/>
      <c r="O130" s="7"/>
      <c r="P130" s="7"/>
      <c r="Q130" s="4"/>
      <c r="R130" s="7"/>
      <c r="S130" s="7"/>
      <c r="T130" s="7"/>
      <c r="U130" s="7"/>
      <c r="V130" s="7"/>
      <c r="W130" s="4"/>
      <c r="X130" s="7"/>
      <c r="Y130" s="7"/>
    </row>
    <row r="131">
      <c r="A131" s="4"/>
      <c r="B131" s="4"/>
      <c r="C131" s="8"/>
      <c r="D131" s="5"/>
      <c r="E131" s="6"/>
      <c r="F131" s="6"/>
      <c r="G131" s="6"/>
      <c r="H131" s="4"/>
      <c r="I131" s="4"/>
      <c r="J131" s="4"/>
      <c r="K131" s="4"/>
      <c r="L131" s="7"/>
      <c r="M131" s="4"/>
      <c r="N131" s="7"/>
      <c r="O131" s="7"/>
      <c r="P131" s="7"/>
      <c r="Q131" s="4"/>
      <c r="R131" s="7"/>
      <c r="S131" s="7"/>
      <c r="T131" s="7"/>
      <c r="U131" s="7"/>
      <c r="V131" s="7"/>
      <c r="W131" s="4"/>
      <c r="X131" s="7"/>
      <c r="Y131" s="7"/>
    </row>
    <row r="132">
      <c r="A132" s="4"/>
      <c r="B132" s="4"/>
      <c r="C132" s="8"/>
      <c r="D132" s="5"/>
      <c r="E132" s="6"/>
      <c r="F132" s="6"/>
      <c r="G132" s="6"/>
      <c r="H132" s="4"/>
      <c r="I132" s="4"/>
      <c r="J132" s="4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"/>
      <c r="X132" s="4"/>
      <c r="Y132" s="4"/>
    </row>
    <row r="133">
      <c r="A133" s="4"/>
      <c r="B133" s="4"/>
      <c r="C133" s="8"/>
      <c r="D133" s="5"/>
      <c r="E133" s="6"/>
      <c r="F133" s="6"/>
      <c r="G133" s="6"/>
      <c r="H133" s="4"/>
      <c r="I133" s="4"/>
      <c r="J133" s="4"/>
      <c r="K133" s="4"/>
      <c r="L133" s="7"/>
      <c r="M133" s="7"/>
      <c r="N133" s="7"/>
      <c r="O133" s="7"/>
      <c r="P133" s="7"/>
      <c r="Q133" s="4"/>
      <c r="R133" s="7"/>
      <c r="S133" s="7"/>
      <c r="T133" s="7"/>
      <c r="U133" s="7"/>
      <c r="V133" s="7"/>
      <c r="W133" s="4"/>
      <c r="X133" s="4"/>
      <c r="Y133" s="4"/>
    </row>
    <row r="134">
      <c r="A134" s="4"/>
      <c r="B134" s="4"/>
      <c r="C134" s="8"/>
      <c r="D134" s="5"/>
      <c r="E134" s="6"/>
      <c r="F134" s="6"/>
      <c r="G134" s="6"/>
      <c r="H134" s="4"/>
      <c r="I134" s="4"/>
      <c r="J134" s="4"/>
      <c r="K134" s="4"/>
      <c r="L134" s="7"/>
      <c r="M134" s="7"/>
      <c r="N134" s="7"/>
      <c r="O134" s="7"/>
      <c r="P134" s="7"/>
      <c r="Q134" s="4"/>
      <c r="R134" s="7"/>
      <c r="S134" s="7"/>
      <c r="T134" s="7"/>
      <c r="U134" s="7"/>
      <c r="V134" s="7"/>
      <c r="W134" s="4"/>
      <c r="X134" s="7"/>
      <c r="Y134" s="7"/>
    </row>
    <row r="135">
      <c r="A135" s="4"/>
      <c r="B135" s="4"/>
      <c r="C135" s="8"/>
      <c r="D135" s="5"/>
      <c r="E135" s="6"/>
      <c r="F135" s="6"/>
      <c r="G135" s="6"/>
      <c r="H135" s="4"/>
      <c r="I135" s="4"/>
      <c r="J135" s="4"/>
      <c r="K135" s="4"/>
      <c r="L135" s="7"/>
      <c r="M135" s="7"/>
      <c r="N135" s="4"/>
      <c r="O135" s="7"/>
      <c r="P135" s="7"/>
      <c r="Q135" s="4"/>
      <c r="R135" s="7"/>
      <c r="S135" s="7"/>
      <c r="T135" s="7"/>
      <c r="U135" s="7"/>
      <c r="V135" s="7"/>
      <c r="W135" s="4"/>
      <c r="X135" s="7"/>
      <c r="Y135" s="7"/>
    </row>
    <row r="136">
      <c r="A136" s="4"/>
      <c r="B136" s="4"/>
      <c r="C136" s="8"/>
      <c r="D136" s="5"/>
      <c r="E136" s="6"/>
      <c r="F136" s="6"/>
      <c r="G136" s="6"/>
      <c r="H136" s="4"/>
      <c r="I136" s="4"/>
      <c r="J136" s="4"/>
      <c r="K136" s="4"/>
      <c r="L136" s="7"/>
      <c r="M136" s="7"/>
      <c r="N136" s="4"/>
      <c r="O136" s="7"/>
      <c r="P136" s="7"/>
      <c r="Q136" s="4"/>
      <c r="R136" s="7"/>
      <c r="S136" s="7"/>
      <c r="T136" s="7"/>
      <c r="U136" s="7"/>
      <c r="V136" s="7"/>
      <c r="W136" s="4"/>
      <c r="X136" s="7"/>
      <c r="Y136" s="7"/>
    </row>
    <row r="137">
      <c r="A137" s="4"/>
      <c r="B137" s="4"/>
      <c r="C137" s="8"/>
      <c r="D137" s="5"/>
      <c r="E137" s="6"/>
      <c r="F137" s="6"/>
      <c r="G137" s="6"/>
      <c r="H137" s="4"/>
      <c r="I137" s="4"/>
      <c r="J137" s="4"/>
      <c r="K137" s="4"/>
      <c r="L137" s="7"/>
      <c r="M137" s="7"/>
      <c r="N137" s="4"/>
      <c r="O137" s="7"/>
      <c r="P137" s="7"/>
      <c r="Q137" s="4"/>
      <c r="R137" s="7"/>
      <c r="S137" s="7"/>
      <c r="T137" s="7"/>
      <c r="U137" s="7"/>
      <c r="V137" s="7"/>
      <c r="W137" s="7"/>
      <c r="X137" s="7"/>
      <c r="Y137" s="7"/>
    </row>
    <row r="138">
      <c r="A138" s="4"/>
      <c r="B138" s="4"/>
      <c r="C138" s="8"/>
      <c r="D138" s="5"/>
      <c r="E138" s="6"/>
      <c r="F138" s="6"/>
      <c r="G138" s="6"/>
      <c r="H138" s="4"/>
      <c r="I138" s="4"/>
      <c r="J138" s="4"/>
      <c r="K138" s="4"/>
      <c r="L138" s="4"/>
      <c r="M138" s="7"/>
      <c r="N138" s="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4"/>
      <c r="B139" s="4"/>
      <c r="C139" s="8"/>
      <c r="D139" s="5"/>
      <c r="E139" s="6"/>
      <c r="F139" s="6"/>
      <c r="G139" s="6"/>
      <c r="H139" s="4"/>
      <c r="I139" s="4"/>
      <c r="J139" s="4"/>
      <c r="K139" s="4"/>
      <c r="L139" s="4"/>
      <c r="M139" s="7"/>
      <c r="N139" s="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4"/>
      <c r="B140" s="4"/>
      <c r="C140" s="8"/>
      <c r="D140" s="5"/>
      <c r="E140" s="6"/>
      <c r="F140" s="6"/>
      <c r="G140" s="6"/>
      <c r="H140" s="4"/>
      <c r="I140" s="4"/>
      <c r="J140" s="4"/>
      <c r="K140" s="4"/>
      <c r="L140" s="4"/>
      <c r="M140" s="7"/>
      <c r="N140" s="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4"/>
      <c r="B141" s="4"/>
      <c r="C141" s="8"/>
      <c r="D141" s="5"/>
      <c r="E141" s="6"/>
      <c r="F141" s="6"/>
      <c r="G141" s="6"/>
      <c r="H141" s="4"/>
      <c r="I141" s="4"/>
      <c r="J141" s="4"/>
      <c r="K141" s="4"/>
      <c r="L141" s="4"/>
      <c r="M141" s="7"/>
      <c r="N141" s="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4"/>
      <c r="B142" s="4"/>
      <c r="C142" s="8"/>
      <c r="D142" s="5"/>
      <c r="E142" s="6"/>
      <c r="F142" s="6"/>
      <c r="G142" s="6"/>
      <c r="H142" s="4"/>
      <c r="I142" s="4"/>
      <c r="J142" s="4"/>
      <c r="K142" s="4"/>
      <c r="L142" s="4"/>
      <c r="M142" s="7"/>
      <c r="N142" s="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4"/>
      <c r="B143" s="4"/>
      <c r="C143" s="8"/>
      <c r="D143" s="5"/>
      <c r="E143" s="6"/>
      <c r="F143" s="6"/>
      <c r="G143" s="6"/>
      <c r="H143" s="4"/>
      <c r="I143" s="4"/>
      <c r="J143" s="4"/>
      <c r="K143" s="4"/>
      <c r="L143" s="4"/>
      <c r="M143" s="7"/>
      <c r="N143" s="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4"/>
      <c r="B144" s="4"/>
      <c r="C144" s="8"/>
      <c r="D144" s="5"/>
      <c r="E144" s="6"/>
      <c r="F144" s="6"/>
      <c r="G144" s="6"/>
      <c r="H144" s="4"/>
      <c r="I144" s="4"/>
      <c r="J144" s="4"/>
      <c r="K144" s="4"/>
      <c r="L144" s="4"/>
      <c r="M144" s="7"/>
      <c r="N144" s="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4"/>
      <c r="B145" s="4"/>
      <c r="C145" s="8"/>
      <c r="D145" s="5"/>
      <c r="E145" s="6"/>
      <c r="F145" s="6"/>
      <c r="G145" s="6"/>
      <c r="H145" s="4"/>
      <c r="I145" s="4"/>
      <c r="J145" s="4"/>
      <c r="K145" s="4"/>
      <c r="L145" s="4"/>
      <c r="M145" s="7"/>
      <c r="N145" s="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4"/>
      <c r="B146" s="4"/>
      <c r="C146" s="4"/>
      <c r="D146" s="5"/>
      <c r="E146" s="6"/>
      <c r="F146" s="6"/>
      <c r="G146" s="6"/>
      <c r="H146" s="4"/>
      <c r="I146" s="4"/>
      <c r="J146" s="4"/>
      <c r="K146" s="4"/>
      <c r="L146" s="7"/>
      <c r="M146" s="7"/>
      <c r="N146" s="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4"/>
      <c r="B147" s="4"/>
      <c r="C147" s="8"/>
      <c r="D147" s="5"/>
      <c r="E147" s="6"/>
      <c r="F147" s="6"/>
      <c r="G147" s="6"/>
      <c r="H147" s="4"/>
      <c r="I147" s="4"/>
      <c r="J147" s="4"/>
      <c r="K147" s="4"/>
      <c r="L147" s="7"/>
      <c r="M147" s="7"/>
      <c r="N147" s="7"/>
      <c r="O147" s="7"/>
      <c r="P147" s="7"/>
      <c r="Q147" s="7"/>
      <c r="R147" s="7"/>
      <c r="S147" s="7"/>
      <c r="T147" s="4"/>
      <c r="U147" s="4"/>
      <c r="V147" s="7"/>
      <c r="W147" s="7"/>
      <c r="X147" s="7"/>
      <c r="Y147" s="7"/>
    </row>
    <row r="148">
      <c r="A148" s="4"/>
      <c r="B148" s="4"/>
      <c r="C148" s="8"/>
      <c r="D148" s="5"/>
      <c r="E148" s="6"/>
      <c r="F148" s="6"/>
      <c r="G148" s="6"/>
      <c r="H148" s="4"/>
      <c r="I148" s="4"/>
      <c r="J148" s="4"/>
      <c r="K148" s="4"/>
      <c r="L148" s="7"/>
      <c r="M148" s="7"/>
      <c r="N148" s="7"/>
      <c r="O148" s="7"/>
      <c r="P148" s="7"/>
      <c r="Q148" s="7"/>
      <c r="R148" s="7"/>
      <c r="S148" s="7"/>
      <c r="T148" s="4"/>
      <c r="U148" s="7"/>
      <c r="V148" s="7"/>
      <c r="W148" s="7"/>
      <c r="X148" s="7"/>
      <c r="Y148" s="7"/>
    </row>
    <row r="149">
      <c r="A149" s="4"/>
      <c r="B149" s="4"/>
      <c r="C149" s="8"/>
      <c r="D149" s="5"/>
      <c r="E149" s="6"/>
      <c r="F149" s="6"/>
      <c r="G149" s="6"/>
      <c r="H149" s="4"/>
      <c r="I149" s="4"/>
      <c r="J149" s="4"/>
      <c r="K149" s="4"/>
      <c r="L149" s="7"/>
      <c r="M149" s="7"/>
      <c r="N149" s="7"/>
      <c r="O149" s="4"/>
      <c r="P149" s="7"/>
      <c r="Q149" s="7"/>
      <c r="R149" s="7"/>
      <c r="S149" s="7"/>
      <c r="T149" s="7"/>
      <c r="U149" s="4"/>
      <c r="V149" s="7"/>
      <c r="W149" s="7"/>
      <c r="X149" s="7"/>
      <c r="Y149" s="7"/>
    </row>
    <row r="150">
      <c r="A150" s="4"/>
      <c r="B150" s="4"/>
      <c r="C150" s="8"/>
      <c r="D150" s="5"/>
      <c r="E150" s="6"/>
      <c r="F150" s="6"/>
      <c r="G150" s="6"/>
      <c r="H150" s="4"/>
      <c r="I150" s="4"/>
      <c r="J150" s="4"/>
      <c r="K150" s="4"/>
      <c r="L150" s="4"/>
      <c r="M150" s="7"/>
      <c r="N150" s="7"/>
      <c r="O150" s="7"/>
      <c r="P150" s="4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4"/>
      <c r="B151" s="4"/>
      <c r="C151" s="8"/>
      <c r="D151" s="5"/>
      <c r="E151" s="6"/>
      <c r="F151" s="6"/>
      <c r="G151" s="6"/>
      <c r="H151" s="4"/>
      <c r="I151" s="4"/>
      <c r="J151" s="4"/>
      <c r="K151" s="4"/>
      <c r="L151" s="7"/>
      <c r="M151" s="7"/>
      <c r="N151" s="7"/>
      <c r="O151" s="7"/>
      <c r="P151" s="7"/>
      <c r="Q151" s="4"/>
      <c r="R151" s="7"/>
      <c r="S151" s="7"/>
      <c r="T151" s="7"/>
      <c r="U151" s="7"/>
      <c r="V151" s="7"/>
      <c r="W151" s="7"/>
      <c r="X151" s="7"/>
      <c r="Y151" s="7"/>
    </row>
    <row r="152">
      <c r="A152" s="4"/>
      <c r="B152" s="4"/>
      <c r="C152" s="8"/>
      <c r="D152" s="5"/>
      <c r="E152" s="6"/>
      <c r="F152" s="6"/>
      <c r="G152" s="6"/>
      <c r="H152" s="4"/>
      <c r="I152" s="4"/>
      <c r="J152" s="4"/>
      <c r="K152" s="4"/>
      <c r="L152" s="7"/>
      <c r="M152" s="7"/>
      <c r="N152" s="4"/>
      <c r="O152" s="7"/>
      <c r="P152" s="4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4"/>
      <c r="B153" s="4"/>
      <c r="C153" s="8"/>
      <c r="D153" s="5"/>
      <c r="E153" s="6"/>
      <c r="F153" s="6"/>
      <c r="G153" s="6"/>
      <c r="H153" s="4"/>
      <c r="I153" s="4"/>
      <c r="J153" s="4"/>
      <c r="K153" s="4"/>
      <c r="L153" s="7"/>
      <c r="M153" s="7"/>
      <c r="N153" s="7"/>
      <c r="O153" s="7"/>
      <c r="P153" s="4"/>
      <c r="Q153" s="7"/>
      <c r="R153" s="7"/>
      <c r="S153" s="7"/>
      <c r="T153" s="4"/>
      <c r="U153" s="7"/>
      <c r="V153" s="7"/>
      <c r="W153" s="7"/>
      <c r="X153" s="7"/>
      <c r="Y153" s="7"/>
    </row>
    <row r="154">
      <c r="A154" s="4"/>
      <c r="B154" s="4"/>
      <c r="C154" s="8"/>
      <c r="D154" s="5"/>
      <c r="E154" s="6"/>
      <c r="F154" s="6"/>
      <c r="G154" s="6"/>
      <c r="H154" s="4"/>
      <c r="I154" s="4"/>
      <c r="J154" s="4"/>
      <c r="K154" s="4"/>
      <c r="L154" s="7"/>
      <c r="M154" s="7"/>
      <c r="N154" s="7"/>
      <c r="O154" s="7"/>
      <c r="P154" s="4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4"/>
      <c r="B155" s="4"/>
      <c r="C155" s="8"/>
      <c r="D155" s="5"/>
      <c r="E155" s="6"/>
      <c r="F155" s="6"/>
      <c r="G155" s="6"/>
      <c r="H155" s="4"/>
      <c r="I155" s="4"/>
      <c r="J155" s="4"/>
      <c r="K155" s="4"/>
      <c r="L155" s="7"/>
      <c r="M155" s="7"/>
      <c r="N155" s="7"/>
      <c r="O155" s="7"/>
      <c r="P155" s="7"/>
      <c r="Q155" s="4"/>
      <c r="R155" s="7"/>
      <c r="S155" s="4"/>
      <c r="T155" s="7"/>
      <c r="U155" s="7"/>
      <c r="V155" s="7"/>
      <c r="W155" s="7"/>
      <c r="X155" s="7"/>
      <c r="Y155" s="7"/>
    </row>
    <row r="156">
      <c r="A156" s="4"/>
      <c r="B156" s="4"/>
      <c r="C156" s="8"/>
      <c r="D156" s="5"/>
      <c r="E156" s="6"/>
      <c r="F156" s="6"/>
      <c r="G156" s="6"/>
      <c r="H156" s="4"/>
      <c r="I156" s="4"/>
      <c r="J156" s="4"/>
      <c r="K156" s="4"/>
      <c r="L156" s="7"/>
      <c r="M156" s="7"/>
      <c r="N156" s="4"/>
      <c r="O156" s="7"/>
      <c r="P156" s="4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4"/>
      <c r="B157" s="4"/>
      <c r="C157" s="8"/>
      <c r="D157" s="5"/>
      <c r="E157" s="6"/>
      <c r="F157" s="6"/>
      <c r="G157" s="6"/>
      <c r="H157" s="4"/>
      <c r="I157" s="4"/>
      <c r="J157" s="4"/>
      <c r="K157" s="4"/>
      <c r="L157" s="4"/>
      <c r="M157" s="7"/>
      <c r="N157" s="7"/>
      <c r="O157" s="7"/>
      <c r="P157" s="4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4"/>
      <c r="B158" s="4"/>
      <c r="C158" s="8"/>
      <c r="D158" s="5"/>
      <c r="E158" s="6"/>
      <c r="F158" s="6"/>
      <c r="G158" s="6"/>
      <c r="H158" s="4"/>
      <c r="I158" s="4"/>
      <c r="J158" s="4"/>
      <c r="K158" s="4"/>
      <c r="L158" s="7"/>
      <c r="M158" s="7"/>
      <c r="N158" s="7"/>
      <c r="O158" s="7"/>
      <c r="P158" s="4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4"/>
      <c r="B159" s="4"/>
      <c r="C159" s="8"/>
      <c r="D159" s="5"/>
      <c r="E159" s="6"/>
      <c r="F159" s="6"/>
      <c r="G159" s="6"/>
      <c r="H159" s="4"/>
      <c r="I159" s="4"/>
      <c r="J159" s="4"/>
      <c r="K159" s="4"/>
      <c r="L159" s="7"/>
      <c r="M159" s="7"/>
      <c r="N159" s="7"/>
      <c r="O159" s="7"/>
      <c r="P159" s="4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4"/>
      <c r="B160" s="4"/>
      <c r="C160" s="8"/>
      <c r="D160" s="5"/>
      <c r="E160" s="6"/>
      <c r="F160" s="6"/>
      <c r="G160" s="6"/>
      <c r="H160" s="4"/>
      <c r="I160" s="4"/>
      <c r="J160" s="4"/>
      <c r="K160" s="4"/>
      <c r="L160" s="4"/>
      <c r="M160" s="7"/>
      <c r="N160" s="7"/>
      <c r="O160" s="7"/>
      <c r="P160" s="4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4"/>
      <c r="B161" s="4"/>
      <c r="C161" s="8"/>
      <c r="D161" s="5"/>
      <c r="E161" s="6"/>
      <c r="F161" s="6"/>
      <c r="G161" s="6"/>
      <c r="H161" s="4"/>
      <c r="I161" s="4"/>
      <c r="J161" s="4"/>
      <c r="K161" s="4"/>
      <c r="L161" s="4"/>
      <c r="M161" s="7"/>
      <c r="N161" s="7"/>
      <c r="O161" s="7"/>
      <c r="P161" s="7"/>
      <c r="Q161" s="4"/>
      <c r="R161" s="7"/>
      <c r="S161" s="7"/>
      <c r="T161" s="7"/>
      <c r="U161" s="7"/>
      <c r="V161" s="7"/>
      <c r="W161" s="7"/>
      <c r="X161" s="7"/>
      <c r="Y161" s="7"/>
    </row>
    <row r="162">
      <c r="A162" s="4"/>
      <c r="B162" s="4"/>
      <c r="C162" s="8"/>
      <c r="D162" s="5"/>
      <c r="E162" s="6"/>
      <c r="F162" s="6"/>
      <c r="G162" s="6"/>
      <c r="H162" s="4"/>
      <c r="I162" s="4"/>
      <c r="J162" s="4"/>
      <c r="K162" s="4"/>
      <c r="L162" s="7"/>
      <c r="M162" s="7"/>
      <c r="N162" s="7"/>
      <c r="O162" s="7"/>
      <c r="P162" s="4"/>
      <c r="Q162" s="7"/>
      <c r="R162" s="4"/>
      <c r="S162" s="7"/>
      <c r="T162" s="7"/>
      <c r="U162" s="7"/>
      <c r="V162" s="7"/>
      <c r="W162" s="7"/>
      <c r="X162" s="7"/>
      <c r="Y162" s="7"/>
    </row>
    <row r="163">
      <c r="A163" s="4"/>
      <c r="B163" s="4"/>
      <c r="C163" s="8"/>
      <c r="D163" s="5"/>
      <c r="E163" s="6"/>
      <c r="F163" s="6"/>
      <c r="G163" s="6"/>
      <c r="H163" s="4"/>
      <c r="I163" s="4"/>
      <c r="J163" s="4"/>
      <c r="K163" s="4"/>
      <c r="L163" s="7"/>
      <c r="M163" s="7"/>
      <c r="N163" s="7"/>
      <c r="O163" s="7"/>
      <c r="P163" s="4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4"/>
      <c r="B164" s="4"/>
      <c r="C164" s="8"/>
      <c r="D164" s="5"/>
      <c r="E164" s="6"/>
      <c r="F164" s="6"/>
      <c r="G164" s="6"/>
      <c r="H164" s="4"/>
      <c r="I164" s="4"/>
      <c r="J164" s="4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"/>
      <c r="X164" s="7"/>
      <c r="Y164" s="7"/>
    </row>
    <row r="165">
      <c r="A165" s="4"/>
      <c r="B165" s="4"/>
      <c r="C165" s="8"/>
      <c r="D165" s="5"/>
      <c r="E165" s="6"/>
      <c r="F165" s="6"/>
      <c r="G165" s="6"/>
      <c r="H165" s="4"/>
      <c r="I165" s="4"/>
      <c r="J165" s="4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"/>
      <c r="X165" s="7"/>
      <c r="Y165" s="7"/>
    </row>
    <row r="166">
      <c r="A166" s="4"/>
      <c r="B166" s="8"/>
      <c r="C166" s="4"/>
      <c r="D166" s="5"/>
      <c r="E166" s="6"/>
      <c r="F166" s="6"/>
      <c r="G166" s="6"/>
      <c r="H166" s="4"/>
      <c r="I166" s="4"/>
      <c r="J166" s="4"/>
      <c r="K166" s="4"/>
      <c r="L166" s="7"/>
      <c r="M166" s="7"/>
      <c r="N166" s="7"/>
      <c r="O166" s="7"/>
      <c r="P166" s="4"/>
      <c r="Q166" s="7"/>
      <c r="R166" s="7"/>
      <c r="S166" s="7"/>
      <c r="T166" s="7"/>
      <c r="U166" s="7"/>
      <c r="V166" s="7"/>
      <c r="W166" s="4"/>
      <c r="X166" s="7"/>
      <c r="Y166" s="7"/>
    </row>
    <row r="167">
      <c r="A167" s="4"/>
      <c r="B167" s="8"/>
      <c r="C167" s="8"/>
      <c r="D167" s="5"/>
      <c r="E167" s="6"/>
      <c r="F167" s="6"/>
      <c r="G167" s="6"/>
      <c r="H167" s="4"/>
      <c r="I167" s="4"/>
      <c r="J167" s="4"/>
      <c r="K167" s="4"/>
      <c r="L167" s="7"/>
      <c r="M167" s="7"/>
      <c r="N167" s="7"/>
      <c r="O167" s="7"/>
      <c r="P167" s="4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4"/>
      <c r="B168" s="8"/>
      <c r="C168" s="8"/>
      <c r="D168" s="5"/>
      <c r="E168" s="6"/>
      <c r="F168" s="6"/>
      <c r="G168" s="6"/>
      <c r="H168" s="4"/>
      <c r="I168" s="4"/>
      <c r="J168" s="4"/>
      <c r="K168" s="4"/>
      <c r="L168" s="7"/>
      <c r="M168" s="7"/>
      <c r="N168" s="7"/>
      <c r="O168" s="7"/>
      <c r="P168" s="4"/>
      <c r="Q168" s="7"/>
      <c r="R168" s="7"/>
      <c r="S168" s="7"/>
      <c r="T168" s="7"/>
      <c r="U168" s="7"/>
      <c r="V168" s="7"/>
      <c r="W168" s="4"/>
      <c r="X168" s="7"/>
      <c r="Y168" s="7"/>
    </row>
    <row r="169">
      <c r="A169" s="4"/>
      <c r="B169" s="8"/>
      <c r="C169" s="8"/>
      <c r="D169" s="5"/>
      <c r="E169" s="6"/>
      <c r="F169" s="6"/>
      <c r="G169" s="6"/>
      <c r="H169" s="4"/>
      <c r="I169" s="4"/>
      <c r="J169" s="4"/>
      <c r="K169" s="4"/>
      <c r="L169" s="7"/>
      <c r="M169" s="7"/>
      <c r="N169" s="7"/>
      <c r="O169" s="7"/>
      <c r="P169" s="4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4"/>
      <c r="B170" s="4"/>
      <c r="C170" s="8"/>
      <c r="D170" s="5"/>
      <c r="E170" s="6"/>
      <c r="F170" s="6"/>
      <c r="G170" s="6"/>
      <c r="H170" s="4"/>
      <c r="I170" s="4"/>
      <c r="J170" s="4"/>
      <c r="K170" s="4"/>
      <c r="L170" s="7"/>
      <c r="M170" s="7"/>
      <c r="N170" s="7"/>
      <c r="O170" s="4"/>
      <c r="P170" s="7"/>
      <c r="Q170" s="4"/>
      <c r="R170" s="7"/>
      <c r="S170" s="7"/>
      <c r="T170" s="7"/>
      <c r="U170" s="7"/>
      <c r="V170" s="7"/>
      <c r="W170" s="7"/>
      <c r="X170" s="7"/>
      <c r="Y170" s="7"/>
    </row>
    <row r="171">
      <c r="A171" s="4"/>
      <c r="B171" s="4"/>
      <c r="C171" s="8"/>
      <c r="D171" s="5"/>
      <c r="E171" s="6"/>
      <c r="F171" s="6"/>
      <c r="G171" s="6"/>
      <c r="H171" s="4"/>
      <c r="I171" s="4"/>
      <c r="J171" s="4"/>
      <c r="K171" s="4"/>
      <c r="L171" s="7"/>
      <c r="M171" s="7"/>
      <c r="N171" s="4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7"/>
    </row>
    <row r="172">
      <c r="A172" s="4"/>
      <c r="B172" s="4"/>
      <c r="C172" s="8"/>
      <c r="D172" s="5"/>
      <c r="E172" s="6"/>
      <c r="F172" s="6"/>
      <c r="G172" s="6"/>
      <c r="H172" s="4"/>
      <c r="I172" s="4"/>
      <c r="J172" s="4"/>
      <c r="K172" s="4"/>
      <c r="L172" s="7"/>
      <c r="M172" s="7"/>
      <c r="N172" s="4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7"/>
    </row>
    <row r="173">
      <c r="A173" s="4"/>
      <c r="B173" s="4"/>
      <c r="C173" s="8"/>
      <c r="D173" s="5"/>
      <c r="E173" s="6"/>
      <c r="F173" s="6"/>
      <c r="G173" s="6"/>
      <c r="H173" s="4"/>
      <c r="I173" s="4"/>
      <c r="J173" s="4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7"/>
    </row>
    <row r="174">
      <c r="A174" s="4"/>
      <c r="B174" s="4"/>
      <c r="C174" s="8"/>
      <c r="D174" s="5"/>
      <c r="E174" s="6"/>
      <c r="F174" s="6"/>
      <c r="G174" s="6"/>
      <c r="H174" s="4"/>
      <c r="I174" s="4"/>
      <c r="J174" s="4"/>
      <c r="K174" s="4"/>
      <c r="L174" s="7"/>
      <c r="M174" s="7"/>
      <c r="N174" s="7"/>
      <c r="O174" s="4"/>
      <c r="P174" s="7"/>
      <c r="Q174" s="7"/>
      <c r="R174" s="7"/>
      <c r="S174" s="7"/>
      <c r="T174" s="7"/>
      <c r="U174" s="7"/>
      <c r="V174" s="7"/>
      <c r="W174" s="7"/>
      <c r="X174" s="4"/>
      <c r="Y174" s="7"/>
    </row>
    <row r="175">
      <c r="A175" s="4"/>
      <c r="B175" s="4"/>
      <c r="C175" s="8"/>
      <c r="D175" s="5"/>
      <c r="E175" s="6"/>
      <c r="F175" s="6"/>
      <c r="G175" s="6"/>
      <c r="H175" s="4"/>
      <c r="I175" s="4"/>
      <c r="J175" s="4"/>
      <c r="K175" s="4"/>
      <c r="L175" s="7"/>
      <c r="M175" s="7"/>
      <c r="N175" s="7"/>
      <c r="O175" s="4"/>
      <c r="P175" s="7"/>
      <c r="Q175" s="7"/>
      <c r="R175" s="7"/>
      <c r="S175" s="7"/>
      <c r="T175" s="7"/>
      <c r="U175" s="7"/>
      <c r="V175" s="7"/>
      <c r="W175" s="7"/>
      <c r="X175" s="4"/>
      <c r="Y175" s="7"/>
    </row>
    <row r="176">
      <c r="A176" s="4"/>
      <c r="B176" s="4"/>
      <c r="C176" s="8"/>
      <c r="D176" s="5"/>
      <c r="E176" s="6"/>
      <c r="F176" s="6"/>
      <c r="G176" s="6"/>
      <c r="H176" s="4"/>
      <c r="I176" s="4"/>
      <c r="J176" s="4"/>
      <c r="K176" s="4"/>
      <c r="L176" s="7"/>
      <c r="M176" s="7"/>
      <c r="N176" s="7"/>
      <c r="O176" s="4"/>
      <c r="P176" s="7"/>
      <c r="Q176" s="7"/>
      <c r="R176" s="7"/>
      <c r="S176" s="7"/>
      <c r="T176" s="7"/>
      <c r="U176" s="7"/>
      <c r="V176" s="7"/>
      <c r="W176" s="7"/>
      <c r="X176" s="4"/>
      <c r="Y176" s="7"/>
    </row>
    <row r="177">
      <c r="A177" s="4"/>
      <c r="B177" s="4"/>
      <c r="C177" s="8"/>
      <c r="D177" s="5"/>
      <c r="E177" s="6"/>
      <c r="F177" s="6"/>
      <c r="G177" s="6"/>
      <c r="H177" s="4"/>
      <c r="I177" s="4"/>
      <c r="J177" s="4"/>
      <c r="K177" s="4"/>
      <c r="L177" s="7"/>
      <c r="M177" s="7"/>
      <c r="N177" s="7"/>
      <c r="O177" s="4"/>
      <c r="P177" s="7"/>
      <c r="Q177" s="7"/>
      <c r="R177" s="7"/>
      <c r="S177" s="7"/>
      <c r="T177" s="7"/>
      <c r="U177" s="7"/>
      <c r="V177" s="7"/>
      <c r="W177" s="7"/>
      <c r="X177" s="4"/>
      <c r="Y177" s="7"/>
    </row>
    <row r="178">
      <c r="A178" s="4"/>
      <c r="B178" s="4"/>
      <c r="C178" s="8"/>
      <c r="D178" s="5"/>
      <c r="E178" s="6"/>
      <c r="F178" s="6"/>
      <c r="G178" s="6"/>
      <c r="H178" s="4"/>
      <c r="I178" s="4"/>
      <c r="J178" s="4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7"/>
    </row>
    <row r="179">
      <c r="A179" s="4"/>
      <c r="B179" s="4"/>
      <c r="C179" s="8"/>
      <c r="D179" s="5"/>
      <c r="E179" s="6"/>
      <c r="F179" s="6"/>
      <c r="G179" s="6"/>
      <c r="H179" s="4"/>
      <c r="I179" s="4"/>
      <c r="J179" s="4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7"/>
    </row>
    <row r="180">
      <c r="A180" s="4"/>
      <c r="B180" s="4"/>
      <c r="C180" s="8"/>
      <c r="D180" s="5"/>
      <c r="E180" s="6"/>
      <c r="F180" s="6"/>
      <c r="G180" s="6"/>
      <c r="H180" s="4"/>
      <c r="I180" s="4"/>
      <c r="J180" s="4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7"/>
    </row>
    <row r="181">
      <c r="A181" s="4"/>
      <c r="B181" s="4"/>
      <c r="C181" s="8"/>
      <c r="D181" s="5"/>
      <c r="E181" s="6"/>
      <c r="F181" s="6"/>
      <c r="G181" s="6"/>
      <c r="H181" s="4"/>
      <c r="I181" s="4"/>
      <c r="J181" s="4"/>
      <c r="K181" s="4"/>
      <c r="L181" s="7"/>
      <c r="M181" s="7"/>
      <c r="N181" s="7"/>
      <c r="O181" s="7"/>
      <c r="P181" s="7"/>
      <c r="Q181" s="4"/>
      <c r="R181" s="7"/>
      <c r="S181" s="7"/>
      <c r="T181" s="7"/>
      <c r="U181" s="7"/>
      <c r="V181" s="7"/>
      <c r="W181" s="4"/>
      <c r="X181" s="7"/>
      <c r="Y181" s="7"/>
    </row>
    <row r="182">
      <c r="A182" s="4"/>
      <c r="B182" s="4"/>
      <c r="C182" s="8"/>
      <c r="D182" s="5"/>
      <c r="E182" s="6"/>
      <c r="F182" s="6"/>
      <c r="G182" s="6"/>
      <c r="H182" s="4"/>
      <c r="I182" s="4"/>
      <c r="J182" s="4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"/>
      <c r="X182" s="7"/>
      <c r="Y182" s="7"/>
    </row>
    <row r="183">
      <c r="A183" s="4"/>
      <c r="B183" s="4"/>
      <c r="C183" s="8"/>
      <c r="D183" s="5"/>
      <c r="E183" s="6"/>
      <c r="F183" s="6"/>
      <c r="G183" s="6"/>
      <c r="H183" s="4"/>
      <c r="I183" s="4"/>
      <c r="J183" s="4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"/>
      <c r="X183" s="7"/>
      <c r="Y183" s="7"/>
    </row>
    <row r="184">
      <c r="A184" s="4"/>
      <c r="B184" s="4"/>
      <c r="C184" s="8"/>
      <c r="D184" s="5"/>
      <c r="E184" s="6"/>
      <c r="F184" s="6"/>
      <c r="G184" s="6"/>
      <c r="H184" s="4"/>
      <c r="I184" s="4"/>
      <c r="J184" s="4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4"/>
      <c r="W184" s="7"/>
      <c r="X184" s="7"/>
      <c r="Y184" s="7"/>
    </row>
    <row r="185">
      <c r="A185" s="4"/>
      <c r="B185" s="4"/>
      <c r="C185" s="8"/>
      <c r="D185" s="5"/>
      <c r="E185" s="6"/>
      <c r="F185" s="6"/>
      <c r="G185" s="6"/>
      <c r="H185" s="4"/>
      <c r="I185" s="4"/>
      <c r="J185" s="4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4"/>
      <c r="W185" s="7"/>
      <c r="X185" s="7"/>
      <c r="Y185" s="7"/>
    </row>
    <row r="186">
      <c r="A186" s="4"/>
      <c r="B186" s="4"/>
      <c r="C186" s="8"/>
      <c r="D186" s="5"/>
      <c r="E186" s="6"/>
      <c r="F186" s="6"/>
      <c r="G186" s="6"/>
      <c r="H186" s="4"/>
      <c r="I186" s="4"/>
      <c r="J186" s="4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4"/>
      <c r="W186" s="7"/>
      <c r="X186" s="7"/>
      <c r="Y186" s="7"/>
    </row>
    <row r="187">
      <c r="A187" s="4"/>
      <c r="B187" s="4"/>
      <c r="C187" s="8"/>
      <c r="D187" s="5"/>
      <c r="E187" s="6"/>
      <c r="F187" s="6"/>
      <c r="G187" s="6"/>
      <c r="H187" s="4"/>
      <c r="I187" s="4"/>
      <c r="J187" s="4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4"/>
      <c r="W187" s="7"/>
      <c r="X187" s="7"/>
      <c r="Y187" s="7"/>
    </row>
    <row r="188">
      <c r="A188" s="4"/>
      <c r="B188" s="4"/>
      <c r="C188" s="8"/>
      <c r="D188" s="5"/>
      <c r="E188" s="6"/>
      <c r="F188" s="6"/>
      <c r="G188" s="6"/>
      <c r="H188" s="4"/>
      <c r="I188" s="4"/>
      <c r="J188" s="4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4"/>
      <c r="W188" s="7"/>
      <c r="X188" s="7"/>
      <c r="Y188" s="7"/>
    </row>
    <row r="189">
      <c r="A189" s="4"/>
      <c r="B189" s="4"/>
      <c r="C189" s="8"/>
      <c r="D189" s="5"/>
      <c r="E189" s="6"/>
      <c r="F189" s="6"/>
      <c r="G189" s="6"/>
      <c r="H189" s="4"/>
      <c r="I189" s="4"/>
      <c r="J189" s="4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4"/>
      <c r="W189" s="7"/>
      <c r="X189" s="7"/>
      <c r="Y189" s="7"/>
    </row>
    <row r="190">
      <c r="A190" s="4"/>
      <c r="B190" s="4"/>
      <c r="C190" s="8"/>
      <c r="D190" s="5"/>
      <c r="E190" s="6"/>
      <c r="F190" s="6"/>
      <c r="G190" s="6"/>
      <c r="H190" s="4"/>
      <c r="I190" s="4"/>
      <c r="J190" s="4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4"/>
      <c r="W190" s="7"/>
      <c r="X190" s="7"/>
      <c r="Y190" s="7"/>
    </row>
    <row r="191">
      <c r="A191" s="4"/>
      <c r="B191" s="4"/>
      <c r="C191" s="8"/>
      <c r="D191" s="5"/>
      <c r="E191" s="6"/>
      <c r="F191" s="6"/>
      <c r="G191" s="6"/>
      <c r="H191" s="4"/>
      <c r="I191" s="4"/>
      <c r="J191" s="4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4"/>
      <c r="W191" s="7"/>
      <c r="X191" s="7"/>
      <c r="Y191" s="7"/>
    </row>
    <row r="192">
      <c r="A192" s="4"/>
      <c r="B192" s="4"/>
      <c r="C192" s="8"/>
      <c r="D192" s="5"/>
      <c r="E192" s="6"/>
      <c r="F192" s="6"/>
      <c r="G192" s="6"/>
      <c r="H192" s="4"/>
      <c r="I192" s="4"/>
      <c r="J192" s="4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4"/>
      <c r="W192" s="7"/>
      <c r="X192" s="7"/>
      <c r="Y192" s="7"/>
    </row>
    <row r="193">
      <c r="A193" s="4"/>
      <c r="B193" s="4"/>
      <c r="C193" s="8"/>
      <c r="D193" s="5"/>
      <c r="E193" s="6"/>
      <c r="F193" s="6"/>
      <c r="G193" s="6"/>
      <c r="H193" s="4"/>
      <c r="I193" s="4"/>
      <c r="J193" s="4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4"/>
      <c r="W193" s="7"/>
      <c r="X193" s="7"/>
      <c r="Y193" s="7"/>
    </row>
    <row r="194">
      <c r="A194" s="4"/>
      <c r="B194" s="4"/>
      <c r="C194" s="8"/>
      <c r="D194" s="5"/>
      <c r="E194" s="6"/>
      <c r="F194" s="6"/>
      <c r="G194" s="6"/>
      <c r="H194" s="4"/>
      <c r="I194" s="4"/>
      <c r="J194" s="4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4"/>
      <c r="W194" s="7"/>
      <c r="X194" s="7"/>
      <c r="Y194" s="7"/>
    </row>
    <row r="195">
      <c r="A195" s="4"/>
      <c r="B195" s="4"/>
      <c r="C195" s="8"/>
      <c r="D195" s="5"/>
      <c r="E195" s="6"/>
      <c r="F195" s="6"/>
      <c r="G195" s="6"/>
      <c r="H195" s="4"/>
      <c r="I195" s="4"/>
      <c r="J195" s="4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4"/>
      <c r="W195" s="7"/>
      <c r="X195" s="7"/>
      <c r="Y195" s="7"/>
    </row>
    <row r="196">
      <c r="A196" s="4"/>
      <c r="B196" s="4"/>
      <c r="C196" s="8"/>
      <c r="D196" s="5"/>
      <c r="E196" s="6"/>
      <c r="F196" s="6"/>
      <c r="G196" s="6"/>
      <c r="H196" s="4"/>
      <c r="I196" s="4"/>
      <c r="J196" s="4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4"/>
      <c r="W196" s="7"/>
      <c r="X196" s="7"/>
      <c r="Y196" s="7"/>
    </row>
    <row r="197">
      <c r="A197" s="4"/>
      <c r="B197" s="4"/>
      <c r="C197" s="8"/>
      <c r="D197" s="5"/>
      <c r="E197" s="6"/>
      <c r="F197" s="6"/>
      <c r="G197" s="6"/>
      <c r="H197" s="4"/>
      <c r="I197" s="4"/>
      <c r="J197" s="4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4"/>
      <c r="W197" s="7"/>
      <c r="X197" s="7"/>
      <c r="Y197" s="7"/>
    </row>
    <row r="198">
      <c r="A198" s="4"/>
      <c r="B198" s="4"/>
      <c r="C198" s="8"/>
      <c r="D198" s="5"/>
      <c r="E198" s="6"/>
      <c r="F198" s="6"/>
      <c r="G198" s="6"/>
      <c r="H198" s="4"/>
      <c r="I198" s="4"/>
      <c r="J198" s="4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4"/>
      <c r="W198" s="7"/>
      <c r="X198" s="7"/>
      <c r="Y198" s="7"/>
    </row>
    <row r="199">
      <c r="A199" s="4"/>
      <c r="B199" s="4"/>
      <c r="C199" s="8"/>
      <c r="D199" s="5"/>
      <c r="E199" s="6"/>
      <c r="F199" s="6"/>
      <c r="G199" s="6"/>
      <c r="H199" s="4"/>
      <c r="I199" s="4"/>
      <c r="J199" s="4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4"/>
      <c r="W199" s="7"/>
      <c r="X199" s="7"/>
      <c r="Y199" s="7"/>
    </row>
    <row r="200">
      <c r="A200" s="4"/>
      <c r="B200" s="4"/>
      <c r="C200" s="8"/>
      <c r="D200" s="5"/>
      <c r="E200" s="6"/>
      <c r="F200" s="6"/>
      <c r="G200" s="6"/>
      <c r="H200" s="4"/>
      <c r="I200" s="4"/>
      <c r="J200" s="4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4"/>
      <c r="W200" s="7"/>
      <c r="X200" s="7"/>
      <c r="Y200" s="7"/>
    </row>
    <row r="201">
      <c r="A201" s="4"/>
      <c r="B201" s="4"/>
      <c r="C201" s="8"/>
      <c r="D201" s="5"/>
      <c r="E201" s="6"/>
      <c r="F201" s="6"/>
      <c r="G201" s="6"/>
      <c r="H201" s="4"/>
      <c r="I201" s="4"/>
      <c r="J201" s="4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4"/>
      <c r="B202" s="4"/>
      <c r="C202" s="8"/>
      <c r="D202" s="5"/>
      <c r="E202" s="6"/>
      <c r="F202" s="6"/>
      <c r="G202" s="6"/>
      <c r="H202" s="4"/>
      <c r="I202" s="4"/>
      <c r="J202" s="4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4"/>
      <c r="B203" s="4"/>
      <c r="C203" s="8"/>
      <c r="D203" s="5"/>
      <c r="E203" s="6"/>
      <c r="F203" s="6"/>
      <c r="G203" s="6"/>
      <c r="H203" s="4"/>
      <c r="I203" s="4"/>
      <c r="J203" s="4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4"/>
      <c r="B204" s="4"/>
      <c r="C204" s="8"/>
      <c r="D204" s="5"/>
      <c r="E204" s="6"/>
      <c r="F204" s="6"/>
      <c r="G204" s="6"/>
      <c r="H204" s="4"/>
      <c r="I204" s="4"/>
      <c r="J204" s="4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4"/>
      <c r="B205" s="4"/>
      <c r="C205" s="8"/>
      <c r="D205" s="5"/>
      <c r="E205" s="6"/>
      <c r="F205" s="6"/>
      <c r="G205" s="6"/>
      <c r="H205" s="4"/>
      <c r="I205" s="4"/>
      <c r="J205" s="4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4"/>
      <c r="B206" s="4"/>
      <c r="C206" s="8"/>
      <c r="D206" s="5"/>
      <c r="E206" s="6"/>
      <c r="F206" s="6"/>
      <c r="G206" s="6"/>
      <c r="H206" s="4"/>
      <c r="I206" s="4"/>
      <c r="J206" s="4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4"/>
      <c r="B207" s="4"/>
      <c r="C207" s="8"/>
      <c r="D207" s="5"/>
      <c r="E207" s="6"/>
      <c r="F207" s="6"/>
      <c r="G207" s="6"/>
      <c r="H207" s="4"/>
      <c r="I207" s="4"/>
      <c r="J207" s="4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4"/>
      <c r="B208" s="4"/>
      <c r="C208" s="8"/>
      <c r="D208" s="5"/>
      <c r="E208" s="6"/>
      <c r="F208" s="6"/>
      <c r="G208" s="6"/>
      <c r="H208" s="4"/>
      <c r="I208" s="4"/>
      <c r="J208" s="4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4"/>
      <c r="B209" s="4"/>
      <c r="C209" s="8"/>
      <c r="D209" s="5"/>
      <c r="E209" s="6"/>
      <c r="F209" s="6"/>
      <c r="G209" s="6"/>
      <c r="H209" s="4"/>
      <c r="I209" s="4"/>
      <c r="J209" s="4"/>
      <c r="K209" s="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4"/>
      <c r="B210" s="4"/>
      <c r="C210" s="8"/>
      <c r="D210" s="5"/>
      <c r="E210" s="6"/>
      <c r="F210" s="6"/>
      <c r="G210" s="6"/>
      <c r="H210" s="4"/>
      <c r="I210" s="4"/>
      <c r="J210" s="4"/>
      <c r="K210" s="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4"/>
      <c r="B211" s="4"/>
      <c r="C211" s="8"/>
      <c r="D211" s="5"/>
      <c r="E211" s="6"/>
      <c r="F211" s="6"/>
      <c r="G211" s="6"/>
      <c r="H211" s="4"/>
      <c r="I211" s="4"/>
      <c r="J211" s="4"/>
      <c r="K211" s="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4"/>
      <c r="B212" s="4"/>
      <c r="C212" s="8"/>
      <c r="D212" s="5"/>
      <c r="E212" s="6"/>
      <c r="F212" s="6"/>
      <c r="G212" s="6"/>
      <c r="H212" s="4"/>
      <c r="I212" s="4"/>
      <c r="J212" s="4"/>
      <c r="K212" s="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4"/>
      <c r="B213" s="4"/>
      <c r="C213" s="8"/>
      <c r="D213" s="5"/>
      <c r="E213" s="6"/>
      <c r="F213" s="6"/>
      <c r="G213" s="6"/>
      <c r="H213" s="4"/>
      <c r="I213" s="4"/>
      <c r="J213" s="4"/>
      <c r="K213" s="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4"/>
      <c r="B214" s="4"/>
      <c r="C214" s="8"/>
      <c r="D214" s="5"/>
      <c r="E214" s="6"/>
      <c r="F214" s="6"/>
      <c r="G214" s="6"/>
      <c r="H214" s="4"/>
      <c r="I214" s="4"/>
      <c r="J214" s="4"/>
      <c r="K214" s="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4"/>
      <c r="B215" s="4"/>
      <c r="C215" s="8"/>
      <c r="D215" s="5"/>
      <c r="E215" s="6"/>
      <c r="F215" s="6"/>
      <c r="G215" s="6"/>
      <c r="H215" s="4"/>
      <c r="I215" s="4"/>
      <c r="J215" s="4"/>
      <c r="K215" s="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4"/>
      <c r="B216" s="4"/>
      <c r="C216" s="8"/>
      <c r="D216" s="5"/>
      <c r="E216" s="6"/>
      <c r="F216" s="6"/>
      <c r="G216" s="6"/>
      <c r="H216" s="4"/>
      <c r="I216" s="4"/>
      <c r="J216" s="4"/>
      <c r="K216" s="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4"/>
      <c r="B217" s="4"/>
      <c r="C217" s="8"/>
      <c r="D217" s="5"/>
      <c r="E217" s="6"/>
      <c r="F217" s="6"/>
      <c r="G217" s="6"/>
      <c r="H217" s="4"/>
      <c r="I217" s="4"/>
      <c r="J217" s="4"/>
      <c r="K217" s="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4"/>
      <c r="B218" s="4"/>
      <c r="C218" s="8"/>
      <c r="D218" s="5"/>
      <c r="E218" s="6"/>
      <c r="F218" s="6"/>
      <c r="G218" s="6"/>
      <c r="H218" s="4"/>
      <c r="I218" s="4"/>
      <c r="J218" s="4"/>
      <c r="K218" s="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4"/>
      <c r="B219" s="4"/>
      <c r="C219" s="8"/>
      <c r="D219" s="5"/>
      <c r="E219" s="6"/>
      <c r="F219" s="6"/>
      <c r="G219" s="6"/>
      <c r="H219" s="4"/>
      <c r="I219" s="4"/>
      <c r="J219" s="4"/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4"/>
      <c r="B220" s="4"/>
      <c r="C220" s="8"/>
      <c r="D220" s="5"/>
      <c r="E220" s="6"/>
      <c r="F220" s="6"/>
      <c r="G220" s="6"/>
      <c r="H220" s="4"/>
      <c r="I220" s="4"/>
      <c r="J220" s="4"/>
      <c r="K220" s="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4"/>
      <c r="B221" s="4"/>
      <c r="C221" s="8"/>
      <c r="D221" s="5"/>
      <c r="E221" s="6"/>
      <c r="F221" s="6"/>
      <c r="G221" s="6"/>
      <c r="H221" s="4"/>
      <c r="I221" s="4"/>
      <c r="J221" s="4"/>
      <c r="K221" s="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4"/>
      <c r="B222" s="4"/>
      <c r="C222" s="8"/>
      <c r="D222" s="5"/>
      <c r="E222" s="6"/>
      <c r="F222" s="6"/>
      <c r="G222" s="6"/>
      <c r="H222" s="4"/>
      <c r="I222" s="4"/>
      <c r="J222" s="4"/>
      <c r="K222" s="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4"/>
      <c r="B223" s="4"/>
      <c r="C223" s="8"/>
      <c r="D223" s="5"/>
      <c r="E223" s="6"/>
      <c r="F223" s="6"/>
      <c r="G223" s="6"/>
      <c r="H223" s="4"/>
      <c r="I223" s="4"/>
      <c r="J223" s="4"/>
      <c r="K223" s="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4"/>
      <c r="B224" s="4"/>
      <c r="C224" s="8"/>
      <c r="D224" s="5"/>
      <c r="E224" s="6"/>
      <c r="F224" s="6"/>
      <c r="G224" s="6"/>
      <c r="H224" s="4"/>
      <c r="I224" s="4"/>
      <c r="J224" s="4"/>
      <c r="K224" s="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4"/>
      <c r="B225" s="4"/>
      <c r="C225" s="8"/>
      <c r="D225" s="5"/>
      <c r="E225" s="6"/>
      <c r="F225" s="6"/>
      <c r="G225" s="6"/>
      <c r="H225" s="4"/>
      <c r="I225" s="4"/>
      <c r="J225" s="4"/>
      <c r="K225" s="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4"/>
      <c r="B226" s="4"/>
      <c r="C226" s="8"/>
      <c r="D226" s="5"/>
      <c r="E226" s="6"/>
      <c r="F226" s="6"/>
      <c r="G226" s="6"/>
      <c r="H226" s="4"/>
      <c r="I226" s="4"/>
      <c r="J226" s="4"/>
      <c r="K226" s="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4"/>
      <c r="B227" s="4"/>
      <c r="C227" s="8"/>
      <c r="D227" s="5"/>
      <c r="E227" s="6"/>
      <c r="F227" s="6"/>
      <c r="G227" s="6"/>
      <c r="H227" s="4"/>
      <c r="I227" s="4"/>
      <c r="J227" s="4"/>
      <c r="K227" s="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4"/>
      <c r="B228" s="4"/>
      <c r="C228" s="8"/>
      <c r="D228" s="5"/>
      <c r="E228" s="6"/>
      <c r="F228" s="6"/>
      <c r="G228" s="6"/>
      <c r="H228" s="4"/>
      <c r="I228" s="4"/>
      <c r="J228" s="4"/>
      <c r="K228" s="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4"/>
      <c r="B229" s="4"/>
      <c r="C229" s="8"/>
      <c r="D229" s="5"/>
      <c r="E229" s="6"/>
      <c r="F229" s="6"/>
      <c r="G229" s="6"/>
      <c r="H229" s="4"/>
      <c r="I229" s="4"/>
      <c r="J229" s="4"/>
      <c r="K229" s="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4"/>
      <c r="B230" s="4"/>
      <c r="C230" s="4"/>
      <c r="D230" s="5"/>
      <c r="E230" s="6"/>
      <c r="F230" s="6"/>
      <c r="G230" s="6"/>
      <c r="H230" s="4"/>
      <c r="I230" s="4"/>
      <c r="J230" s="4"/>
      <c r="K230" s="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4"/>
      <c r="B231" s="4"/>
      <c r="C231" s="4"/>
      <c r="D231" s="5"/>
      <c r="E231" s="6"/>
      <c r="F231" s="6"/>
      <c r="G231" s="6"/>
      <c r="H231" s="4"/>
      <c r="I231" s="4"/>
      <c r="J231" s="4"/>
      <c r="K231" s="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4"/>
      <c r="B232" s="4"/>
      <c r="C232" s="4"/>
      <c r="D232" s="5"/>
      <c r="E232" s="6"/>
      <c r="F232" s="6"/>
      <c r="G232" s="6"/>
      <c r="H232" s="4"/>
      <c r="I232" s="4"/>
      <c r="J232" s="4"/>
      <c r="K232" s="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4"/>
      <c r="B233" s="4"/>
      <c r="C233" s="8"/>
      <c r="D233" s="5"/>
      <c r="E233" s="6"/>
      <c r="F233" s="6"/>
      <c r="G233" s="6"/>
      <c r="H233" s="4"/>
      <c r="I233" s="4"/>
      <c r="J233" s="4"/>
      <c r="K233" s="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4"/>
      <c r="B234" s="4"/>
      <c r="C234" s="8"/>
      <c r="D234" s="5"/>
      <c r="E234" s="6"/>
      <c r="F234" s="6"/>
      <c r="G234" s="6"/>
      <c r="H234" s="4"/>
      <c r="I234" s="4"/>
      <c r="J234" s="4"/>
      <c r="K234" s="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4"/>
      <c r="B235" s="4"/>
      <c r="C235" s="8"/>
      <c r="D235" s="5"/>
      <c r="E235" s="6"/>
      <c r="F235" s="6"/>
      <c r="G235" s="6"/>
      <c r="H235" s="4"/>
      <c r="I235" s="4"/>
      <c r="J235" s="4"/>
      <c r="K235" s="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4"/>
      <c r="B236" s="4"/>
      <c r="C236" s="8"/>
      <c r="D236" s="5"/>
      <c r="E236" s="6"/>
      <c r="F236" s="6"/>
      <c r="G236" s="6"/>
      <c r="H236" s="4"/>
      <c r="I236" s="4"/>
      <c r="J236" s="4"/>
      <c r="K236" s="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4"/>
      <c r="B237" s="4"/>
      <c r="C237" s="8"/>
      <c r="D237" s="5"/>
      <c r="E237" s="6"/>
      <c r="F237" s="6"/>
      <c r="G237" s="6"/>
      <c r="H237" s="4"/>
      <c r="I237" s="4"/>
      <c r="J237" s="4"/>
      <c r="K237" s="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4"/>
      <c r="B238" s="4"/>
      <c r="C238" s="8"/>
      <c r="D238" s="5"/>
      <c r="E238" s="6"/>
      <c r="F238" s="6"/>
      <c r="G238" s="6"/>
      <c r="H238" s="4"/>
      <c r="I238" s="4"/>
      <c r="J238" s="4"/>
      <c r="K238" s="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4"/>
      <c r="B239" s="4"/>
      <c r="C239" s="8"/>
      <c r="D239" s="5"/>
      <c r="E239" s="6"/>
      <c r="F239" s="6"/>
      <c r="G239" s="6"/>
      <c r="H239" s="4"/>
      <c r="I239" s="4"/>
      <c r="J239" s="4"/>
      <c r="K239" s="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4"/>
      <c r="B240" s="4"/>
      <c r="C240" s="8"/>
      <c r="D240" s="9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11"/>
      <c r="D241" s="9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11"/>
      <c r="D242" s="9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11"/>
      <c r="D243" s="9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11"/>
      <c r="D244" s="9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11"/>
      <c r="D245" s="9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11"/>
      <c r="D246" s="9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11"/>
      <c r="D247" s="9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11"/>
      <c r="D248" s="9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11"/>
      <c r="D249" s="9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11"/>
      <c r="D250" s="9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11"/>
      <c r="D251" s="9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11"/>
      <c r="D252" s="9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11"/>
      <c r="D253" s="9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11"/>
      <c r="D254" s="9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11"/>
      <c r="D255" s="9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11"/>
      <c r="D256" s="9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11"/>
      <c r="D257" s="9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11"/>
      <c r="D258" s="9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11"/>
      <c r="D259" s="9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11"/>
      <c r="D260" s="9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11"/>
      <c r="D261" s="9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11"/>
      <c r="D262" s="9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11"/>
      <c r="D263" s="9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11"/>
      <c r="D264" s="9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11"/>
      <c r="D265" s="9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11"/>
      <c r="D266" s="9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11"/>
      <c r="D267" s="9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11"/>
      <c r="D268" s="9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11"/>
      <c r="D269" s="9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11"/>
      <c r="D270" s="9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11"/>
      <c r="D271" s="9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11"/>
      <c r="D272" s="9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11"/>
      <c r="D273" s="9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11"/>
      <c r="D274" s="9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11"/>
      <c r="D275" s="9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11"/>
      <c r="D276" s="9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11"/>
      <c r="D277" s="9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11"/>
      <c r="D278" s="9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11"/>
      <c r="D279" s="9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11"/>
      <c r="D280" s="9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11"/>
      <c r="D281" s="9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11"/>
      <c r="D282" s="9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11"/>
      <c r="D283" s="9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11"/>
      <c r="D284" s="9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11"/>
      <c r="D285" s="9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11"/>
      <c r="D286" s="9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11"/>
      <c r="D287" s="9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11"/>
      <c r="D288" s="9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11"/>
      <c r="D289" s="9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11"/>
      <c r="D290" s="9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11"/>
      <c r="D291" s="9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11"/>
      <c r="D292" s="9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11"/>
      <c r="D293" s="9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11"/>
      <c r="D294" s="9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11"/>
      <c r="D295" s="9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11"/>
      <c r="D296" s="9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11"/>
      <c r="D297" s="9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11"/>
      <c r="D298" s="9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11"/>
      <c r="D299" s="9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11"/>
      <c r="D300" s="9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11"/>
      <c r="D301" s="9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11"/>
      <c r="D302" s="9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11"/>
      <c r="D303" s="9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11"/>
      <c r="D304" s="9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11"/>
      <c r="D305" s="9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11"/>
      <c r="D306" s="9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11"/>
      <c r="D307" s="9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11"/>
      <c r="D308" s="9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11"/>
      <c r="D309" s="9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11"/>
      <c r="D310" s="9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11"/>
      <c r="D311" s="9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11"/>
      <c r="D312" s="9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11"/>
      <c r="D313" s="9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11"/>
      <c r="D314" s="9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11"/>
      <c r="D315" s="9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11"/>
      <c r="D316" s="9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11"/>
      <c r="D317" s="9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11"/>
      <c r="D318" s="9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11"/>
      <c r="D319" s="9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11"/>
      <c r="D320" s="9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11"/>
      <c r="D321" s="9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11"/>
      <c r="D322" s="9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11"/>
      <c r="D323" s="9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11"/>
      <c r="D324" s="9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11"/>
      <c r="D325" s="9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11"/>
      <c r="D326" s="9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11"/>
      <c r="D327" s="9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11"/>
      <c r="D328" s="9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11"/>
      <c r="D329" s="9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11"/>
      <c r="D330" s="9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11"/>
      <c r="D331" s="9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11"/>
      <c r="D332" s="9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11"/>
      <c r="D333" s="9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11"/>
      <c r="D334" s="9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11"/>
      <c r="D335" s="9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11"/>
      <c r="D336" s="9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11"/>
      <c r="D337" s="9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11"/>
      <c r="D338" s="9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11"/>
      <c r="D339" s="9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11"/>
      <c r="D340" s="9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11"/>
      <c r="D341" s="9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11"/>
      <c r="D342" s="9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11"/>
      <c r="D343" s="9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11"/>
      <c r="D344" s="9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11"/>
      <c r="D345" s="9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11"/>
      <c r="D346" s="9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11"/>
      <c r="D347" s="9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11"/>
      <c r="D348" s="9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11"/>
      <c r="D349" s="9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11"/>
      <c r="D350" s="9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11"/>
      <c r="D351" s="9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11"/>
      <c r="D352" s="9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11"/>
      <c r="D353" s="9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11"/>
      <c r="D354" s="9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11"/>
      <c r="D355" s="9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11"/>
      <c r="D356" s="9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11"/>
      <c r="D357" s="9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11"/>
      <c r="D358" s="9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11"/>
      <c r="D359" s="9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11"/>
      <c r="D360" s="9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11"/>
      <c r="D361" s="9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11"/>
      <c r="D362" s="9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11"/>
      <c r="D363" s="9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11"/>
      <c r="D364" s="9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11"/>
      <c r="D365" s="9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11"/>
      <c r="D366" s="9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11"/>
      <c r="D367" s="9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11"/>
      <c r="D368" s="9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11"/>
      <c r="D369" s="9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11"/>
      <c r="D370" s="9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11"/>
      <c r="D371" s="9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11"/>
      <c r="D372" s="9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11"/>
      <c r="D373" s="9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11"/>
      <c r="D374" s="9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11"/>
      <c r="D375" s="9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11"/>
      <c r="D376" s="9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11"/>
      <c r="D377" s="9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11"/>
      <c r="D378" s="9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11"/>
      <c r="D379" s="9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11"/>
      <c r="D380" s="9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11"/>
      <c r="D381" s="9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11"/>
      <c r="D382" s="9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11"/>
      <c r="D383" s="9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11"/>
      <c r="D384" s="9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11"/>
      <c r="D385" s="9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11"/>
      <c r="D386" s="9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11"/>
      <c r="D387" s="9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11"/>
      <c r="D388" s="9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11"/>
      <c r="D389" s="9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11"/>
      <c r="D390" s="9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11"/>
      <c r="D391" s="9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11"/>
      <c r="D392" s="9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11"/>
      <c r="D393" s="9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11"/>
      <c r="D394" s="9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11"/>
      <c r="D395" s="9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11"/>
      <c r="D396" s="9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11"/>
      <c r="D397" s="9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11"/>
      <c r="D398" s="9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11"/>
      <c r="D399" s="9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11"/>
      <c r="D400" s="9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11"/>
      <c r="D401" s="9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11"/>
      <c r="D402" s="9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11"/>
      <c r="D403" s="9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11"/>
      <c r="D404" s="9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11"/>
      <c r="D405" s="9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11"/>
      <c r="D406" s="9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11"/>
      <c r="D407" s="9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11"/>
      <c r="D408" s="9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11"/>
      <c r="D409" s="9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11"/>
      <c r="D410" s="9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11"/>
      <c r="D411" s="9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11"/>
      <c r="D412" s="9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11"/>
      <c r="D413" s="9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11"/>
      <c r="D414" s="9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11"/>
      <c r="D415" s="9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11"/>
      <c r="D416" s="9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11"/>
      <c r="D417" s="9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11"/>
      <c r="D418" s="9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11"/>
      <c r="D419" s="9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11"/>
      <c r="D420" s="9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11"/>
      <c r="D421" s="9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11"/>
      <c r="D422" s="9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11"/>
      <c r="D423" s="9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11"/>
      <c r="D424" s="9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11"/>
      <c r="D425" s="9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11"/>
      <c r="D426" s="9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11"/>
      <c r="D427" s="9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11"/>
      <c r="D428" s="9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11"/>
      <c r="D429" s="9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11"/>
      <c r="D430" s="9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11"/>
      <c r="D431" s="9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11"/>
      <c r="D432" s="9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11"/>
      <c r="D433" s="9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11"/>
      <c r="D434" s="9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11"/>
      <c r="D435" s="9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11"/>
      <c r="D436" s="9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11"/>
      <c r="D437" s="9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11"/>
      <c r="D438" s="9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11"/>
      <c r="D439" s="9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11"/>
      <c r="D440" s="9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11"/>
      <c r="D441" s="9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11"/>
      <c r="D442" s="9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11"/>
      <c r="D443" s="9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11"/>
      <c r="D444" s="9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11"/>
      <c r="D445" s="9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11"/>
      <c r="D446" s="9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11"/>
      <c r="D447" s="9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11"/>
      <c r="D448" s="9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11"/>
      <c r="D449" s="9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11"/>
      <c r="D450" s="9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11"/>
      <c r="D451" s="9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11"/>
      <c r="D452" s="9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11"/>
      <c r="D453" s="9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11"/>
      <c r="D454" s="9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11"/>
      <c r="D455" s="9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11"/>
      <c r="D456" s="9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11"/>
      <c r="D457" s="9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11"/>
      <c r="D458" s="9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11"/>
      <c r="D459" s="9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11"/>
      <c r="D460" s="9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11"/>
      <c r="D461" s="9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11"/>
      <c r="D462" s="9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11"/>
      <c r="D463" s="9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11"/>
      <c r="D464" s="9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11"/>
      <c r="D465" s="9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11"/>
      <c r="D466" s="9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11"/>
      <c r="D467" s="9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11"/>
      <c r="D468" s="9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11"/>
      <c r="D469" s="9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11"/>
      <c r="D470" s="9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11"/>
      <c r="D471" s="9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11"/>
      <c r="D472" s="9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11"/>
      <c r="D473" s="9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11"/>
      <c r="D474" s="9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11"/>
      <c r="D475" s="9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11"/>
      <c r="D476" s="9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11"/>
      <c r="D477" s="9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11"/>
      <c r="D478" s="9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11"/>
      <c r="D479" s="9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11"/>
      <c r="D480" s="9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11"/>
      <c r="D481" s="9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11"/>
      <c r="D482" s="9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11"/>
      <c r="D483" s="9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11"/>
      <c r="D484" s="9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11"/>
      <c r="D485" s="9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11"/>
      <c r="D486" s="9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11"/>
      <c r="D487" s="9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11"/>
      <c r="D488" s="9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11"/>
      <c r="D489" s="9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11"/>
      <c r="D490" s="9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11"/>
      <c r="D491" s="9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11"/>
      <c r="D492" s="9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11"/>
      <c r="D493" s="9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11"/>
      <c r="D494" s="9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11"/>
      <c r="D495" s="9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11"/>
      <c r="D496" s="9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11"/>
      <c r="D497" s="9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11"/>
      <c r="D498" s="9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11"/>
      <c r="D499" s="9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11"/>
      <c r="D500" s="9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11"/>
      <c r="D501" s="9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11"/>
      <c r="D502" s="9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11"/>
      <c r="D503" s="9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11"/>
      <c r="D504" s="9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11"/>
      <c r="D505" s="9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11"/>
      <c r="D506" s="9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11"/>
      <c r="D507" s="9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11"/>
      <c r="D508" s="9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11"/>
      <c r="D509" s="9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11"/>
      <c r="D510" s="9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11"/>
      <c r="D511" s="9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11"/>
      <c r="D512" s="9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11"/>
      <c r="D513" s="9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11"/>
      <c r="D514" s="9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11"/>
      <c r="D515" s="9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11"/>
      <c r="D516" s="9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11"/>
      <c r="D517" s="9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11"/>
      <c r="D518" s="9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11"/>
      <c r="D519" s="9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11"/>
      <c r="D520" s="9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11"/>
      <c r="D521" s="9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11"/>
      <c r="D522" s="9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11"/>
      <c r="D523" s="9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11"/>
      <c r="D524" s="9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11"/>
      <c r="D525" s="9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11"/>
      <c r="D526" s="9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11"/>
      <c r="D527" s="9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11"/>
      <c r="D528" s="9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11"/>
      <c r="D529" s="9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11"/>
      <c r="D530" s="9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11"/>
      <c r="D531" s="9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11"/>
      <c r="D532" s="9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11"/>
      <c r="D533" s="9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11"/>
      <c r="D534" s="9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11"/>
      <c r="D535" s="9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11"/>
      <c r="D536" s="9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11"/>
      <c r="D537" s="9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11"/>
      <c r="D538" s="9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11"/>
      <c r="D539" s="9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11"/>
      <c r="D540" s="9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11"/>
      <c r="D541" s="9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11"/>
      <c r="D542" s="9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11"/>
      <c r="D543" s="9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11"/>
      <c r="D544" s="9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11"/>
      <c r="D545" s="9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11"/>
      <c r="D546" s="9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11"/>
      <c r="D547" s="9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11"/>
      <c r="D548" s="9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11"/>
      <c r="D549" s="9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11"/>
      <c r="D550" s="9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11"/>
      <c r="D551" s="9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11"/>
      <c r="D552" s="9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11"/>
      <c r="D553" s="9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11"/>
      <c r="D554" s="9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11"/>
      <c r="D555" s="9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11"/>
      <c r="D556" s="9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11"/>
      <c r="D557" s="9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11"/>
      <c r="D558" s="9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11"/>
      <c r="D559" s="9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11"/>
      <c r="D560" s="9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11"/>
      <c r="D561" s="9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11"/>
      <c r="D562" s="9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11"/>
      <c r="D563" s="9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11"/>
      <c r="D564" s="9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11"/>
      <c r="D565" s="9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11"/>
      <c r="D566" s="9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11"/>
      <c r="D567" s="9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11"/>
      <c r="D568" s="9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11"/>
      <c r="D569" s="9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11"/>
      <c r="D570" s="9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11"/>
      <c r="D571" s="9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11"/>
      <c r="D572" s="9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11"/>
      <c r="D573" s="9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11"/>
      <c r="D574" s="9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11"/>
      <c r="D575" s="9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11"/>
      <c r="D576" s="9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11"/>
      <c r="D577" s="9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11"/>
      <c r="D578" s="9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11"/>
      <c r="D579" s="9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11"/>
      <c r="D580" s="9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11"/>
      <c r="D581" s="9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11"/>
      <c r="D582" s="9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11"/>
      <c r="D583" s="9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11"/>
      <c r="D584" s="9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11"/>
      <c r="D585" s="9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11"/>
      <c r="D586" s="9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11"/>
      <c r="D587" s="9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11"/>
      <c r="D588" s="9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11"/>
      <c r="D589" s="9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11"/>
      <c r="D590" s="9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11"/>
      <c r="D591" s="9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11"/>
      <c r="D592" s="9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11"/>
      <c r="D593" s="9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11"/>
      <c r="D594" s="9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11"/>
      <c r="D595" s="9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11"/>
      <c r="D596" s="9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11"/>
      <c r="D597" s="9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11"/>
      <c r="D598" s="9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11"/>
      <c r="D599" s="9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11"/>
      <c r="D600" s="9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11"/>
      <c r="D601" s="9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11"/>
      <c r="D602" s="9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11"/>
      <c r="D603" s="9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11"/>
      <c r="D604" s="9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11"/>
      <c r="D605" s="9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11"/>
      <c r="D606" s="9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11"/>
      <c r="D607" s="9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11"/>
      <c r="D608" s="9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11"/>
      <c r="D609" s="9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11"/>
      <c r="D610" s="9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11"/>
      <c r="D611" s="9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11"/>
      <c r="D612" s="9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11"/>
      <c r="D613" s="9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11"/>
      <c r="D614" s="9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11"/>
      <c r="D615" s="9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11"/>
      <c r="D616" s="9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11"/>
      <c r="D617" s="9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11"/>
      <c r="D618" s="9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11"/>
      <c r="D619" s="9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11"/>
      <c r="D620" s="9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11"/>
      <c r="D621" s="9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11"/>
      <c r="D622" s="9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11"/>
      <c r="D623" s="9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11"/>
      <c r="D624" s="9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11"/>
      <c r="D625" s="9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11"/>
      <c r="D626" s="9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11"/>
      <c r="D627" s="9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11"/>
      <c r="D628" s="9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11"/>
      <c r="D629" s="9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11"/>
      <c r="D630" s="9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11"/>
      <c r="D631" s="9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11"/>
      <c r="D632" s="9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11"/>
      <c r="D633" s="9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11"/>
      <c r="D634" s="9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11"/>
      <c r="D635" s="9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11"/>
      <c r="D636" s="9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11"/>
      <c r="D637" s="9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11"/>
      <c r="D638" s="9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11"/>
      <c r="D639" s="9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11"/>
      <c r="D640" s="9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11"/>
      <c r="D641" s="9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11"/>
      <c r="D642" s="9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11"/>
      <c r="D643" s="9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11"/>
      <c r="D644" s="9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11"/>
      <c r="D645" s="9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11"/>
      <c r="D646" s="9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11"/>
      <c r="D647" s="9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11"/>
      <c r="D648" s="9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11"/>
      <c r="D649" s="9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11"/>
      <c r="D650" s="9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11"/>
      <c r="D651" s="9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11"/>
      <c r="D652" s="9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11"/>
      <c r="D653" s="9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11"/>
      <c r="D654" s="9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11"/>
      <c r="D655" s="9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11"/>
      <c r="D656" s="9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11"/>
      <c r="D657" s="9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11"/>
      <c r="D658" s="9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11"/>
      <c r="D659" s="9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11"/>
      <c r="D660" s="9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11"/>
      <c r="D661" s="9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11"/>
      <c r="D662" s="9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11"/>
      <c r="D663" s="9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11"/>
      <c r="D664" s="9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11"/>
      <c r="D665" s="9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11"/>
      <c r="D666" s="9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11"/>
      <c r="D667" s="9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11"/>
      <c r="D668" s="9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11"/>
      <c r="D669" s="9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11"/>
      <c r="D670" s="9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11"/>
      <c r="D671" s="9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11"/>
      <c r="D672" s="9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11"/>
      <c r="D673" s="9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11"/>
      <c r="D674" s="9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11"/>
      <c r="D675" s="9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11"/>
      <c r="D676" s="9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11"/>
      <c r="D677" s="9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11"/>
      <c r="D678" s="9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11"/>
      <c r="D679" s="9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11"/>
      <c r="D680" s="9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11"/>
      <c r="D681" s="9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11"/>
      <c r="D682" s="9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11"/>
      <c r="D683" s="9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11"/>
      <c r="D684" s="9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11"/>
      <c r="D685" s="9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11"/>
      <c r="D686" s="9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11"/>
      <c r="D687" s="9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11"/>
      <c r="D688" s="9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11"/>
      <c r="D689" s="9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11"/>
      <c r="D690" s="9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11"/>
      <c r="D691" s="9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11"/>
      <c r="D692" s="9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11"/>
      <c r="D693" s="9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11"/>
      <c r="D694" s="9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11"/>
      <c r="D695" s="9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11"/>
      <c r="D696" s="9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11"/>
      <c r="D697" s="9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11"/>
      <c r="D698" s="9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11"/>
      <c r="D699" s="9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11"/>
      <c r="D700" s="9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11"/>
      <c r="D701" s="9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11"/>
      <c r="D702" s="9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11"/>
      <c r="D703" s="9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11"/>
      <c r="D704" s="9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11"/>
      <c r="D705" s="9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11"/>
      <c r="D706" s="9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11"/>
      <c r="D707" s="9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11"/>
      <c r="D708" s="9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11"/>
      <c r="D709" s="9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11"/>
      <c r="D710" s="9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11"/>
      <c r="D711" s="9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11"/>
      <c r="D712" s="9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11"/>
      <c r="D713" s="9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11"/>
      <c r="D714" s="9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11"/>
      <c r="D715" s="9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11"/>
      <c r="D716" s="9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11"/>
      <c r="D717" s="9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11"/>
      <c r="D718" s="9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11"/>
      <c r="D719" s="9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11"/>
      <c r="D720" s="9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11"/>
      <c r="D721" s="9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11"/>
      <c r="D722" s="9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11"/>
      <c r="D723" s="9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11"/>
      <c r="D724" s="9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11"/>
      <c r="D725" s="9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11"/>
      <c r="D726" s="9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11"/>
      <c r="D727" s="9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11"/>
      <c r="D728" s="9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11"/>
      <c r="D729" s="9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11"/>
      <c r="D730" s="9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11"/>
      <c r="D731" s="9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11"/>
      <c r="D732" s="9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11"/>
      <c r="D733" s="9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11"/>
      <c r="D734" s="9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11"/>
      <c r="D735" s="9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11"/>
      <c r="D736" s="9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11"/>
      <c r="D737" s="9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11"/>
      <c r="D738" s="9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11"/>
      <c r="D739" s="9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11"/>
      <c r="D740" s="9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11"/>
      <c r="D741" s="9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11"/>
      <c r="D742" s="9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11"/>
      <c r="D743" s="9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11"/>
      <c r="D744" s="9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11"/>
      <c r="D745" s="9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11"/>
      <c r="D746" s="9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11"/>
      <c r="D747" s="9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11"/>
      <c r="D748" s="9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11"/>
      <c r="D749" s="9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11"/>
      <c r="D750" s="9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11"/>
      <c r="D751" s="9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11"/>
      <c r="D752" s="9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11"/>
      <c r="D753" s="9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11"/>
      <c r="D754" s="9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11"/>
      <c r="D755" s="9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11"/>
      <c r="D756" s="9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11"/>
      <c r="D757" s="9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11"/>
      <c r="D758" s="9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11"/>
      <c r="D759" s="9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11"/>
      <c r="D760" s="9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11"/>
      <c r="D761" s="9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11"/>
      <c r="D762" s="9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11"/>
      <c r="D763" s="9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11"/>
      <c r="D764" s="9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11"/>
      <c r="D765" s="9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11"/>
      <c r="D766" s="9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11"/>
      <c r="D767" s="9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11"/>
      <c r="D768" s="9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11"/>
      <c r="D769" s="9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11"/>
      <c r="D770" s="9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11"/>
      <c r="D771" s="9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11"/>
      <c r="D772" s="9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11"/>
      <c r="D773" s="9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11"/>
      <c r="D774" s="9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11"/>
      <c r="D775" s="9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11"/>
      <c r="D776" s="9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11"/>
      <c r="D777" s="9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11"/>
      <c r="D778" s="9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11"/>
      <c r="D779" s="9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11"/>
      <c r="D780" s="9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11"/>
      <c r="D781" s="9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11"/>
      <c r="D782" s="9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11"/>
      <c r="D783" s="9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11"/>
      <c r="D784" s="9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11"/>
      <c r="D785" s="9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11"/>
      <c r="D786" s="9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11"/>
      <c r="D787" s="9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11"/>
      <c r="D788" s="9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11"/>
      <c r="D789" s="9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11"/>
      <c r="D790" s="9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11"/>
      <c r="D791" s="9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11"/>
      <c r="D792" s="9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11"/>
      <c r="D793" s="9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11"/>
      <c r="D794" s="9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11"/>
      <c r="D795" s="9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11"/>
      <c r="D796" s="9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11"/>
      <c r="D797" s="9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11"/>
      <c r="D798" s="9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11"/>
      <c r="D799" s="9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11"/>
      <c r="D800" s="9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11"/>
      <c r="D801" s="9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11"/>
      <c r="D802" s="9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11"/>
      <c r="D803" s="9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11"/>
      <c r="D804" s="9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11"/>
      <c r="D805" s="9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11"/>
      <c r="D806" s="9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11"/>
      <c r="D807" s="9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11"/>
      <c r="D808" s="9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11"/>
      <c r="D809" s="9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11"/>
      <c r="D810" s="9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11"/>
      <c r="D811" s="9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11"/>
      <c r="D812" s="9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11"/>
      <c r="D813" s="9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11"/>
      <c r="D814" s="9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11"/>
      <c r="D815" s="9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11"/>
      <c r="D816" s="9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11"/>
      <c r="D817" s="9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11"/>
      <c r="D818" s="9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11"/>
      <c r="D819" s="9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11"/>
      <c r="D820" s="9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11"/>
      <c r="D821" s="9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11"/>
      <c r="D822" s="9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11"/>
      <c r="D823" s="9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11"/>
      <c r="D824" s="9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11"/>
      <c r="D825" s="9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11"/>
      <c r="D826" s="9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11"/>
      <c r="D827" s="9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11"/>
      <c r="D828" s="9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11"/>
      <c r="D829" s="9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11"/>
      <c r="D830" s="9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11"/>
      <c r="D831" s="9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11"/>
      <c r="D832" s="9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11"/>
      <c r="D833" s="9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11"/>
      <c r="D834" s="9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11"/>
      <c r="D835" s="9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11"/>
      <c r="D836" s="9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11"/>
      <c r="D837" s="9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11"/>
      <c r="D838" s="9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11"/>
      <c r="D839" s="9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11"/>
      <c r="D840" s="9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11"/>
      <c r="D841" s="9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11"/>
      <c r="D842" s="9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11"/>
      <c r="D843" s="9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11"/>
      <c r="D844" s="9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11"/>
      <c r="D845" s="9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11"/>
      <c r="D846" s="9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11"/>
      <c r="D847" s="9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11"/>
      <c r="D848" s="9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11"/>
      <c r="D849" s="9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11"/>
      <c r="D850" s="9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11"/>
      <c r="D851" s="9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11"/>
      <c r="D852" s="9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11"/>
      <c r="D853" s="9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11"/>
      <c r="D854" s="9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11"/>
      <c r="D855" s="9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11"/>
      <c r="D856" s="9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11"/>
      <c r="D857" s="9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11"/>
      <c r="D858" s="9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11"/>
      <c r="D859" s="9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11"/>
      <c r="D860" s="9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11"/>
      <c r="D861" s="9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11"/>
      <c r="D862" s="9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11"/>
      <c r="D863" s="9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11"/>
      <c r="D864" s="9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11"/>
      <c r="D865" s="9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11"/>
      <c r="D866" s="9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11"/>
      <c r="D867" s="9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11"/>
      <c r="D868" s="9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11"/>
      <c r="D869" s="9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11"/>
      <c r="D870" s="9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11"/>
      <c r="D871" s="9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11"/>
      <c r="D872" s="9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11"/>
      <c r="D873" s="9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11"/>
      <c r="D874" s="9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11"/>
      <c r="D875" s="9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11"/>
      <c r="D876" s="9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11"/>
      <c r="D877" s="9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11"/>
      <c r="D878" s="9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11"/>
      <c r="D879" s="9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11"/>
      <c r="D880" s="9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11"/>
      <c r="D881" s="9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11"/>
      <c r="D882" s="9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11"/>
      <c r="D883" s="9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11"/>
      <c r="D884" s="9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11"/>
      <c r="D885" s="9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11"/>
      <c r="D886" s="9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11"/>
      <c r="D887" s="9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11"/>
      <c r="D888" s="9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11"/>
      <c r="D889" s="9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11"/>
      <c r="D890" s="9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11"/>
      <c r="D891" s="9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11"/>
      <c r="D892" s="9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11"/>
      <c r="D893" s="9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11"/>
      <c r="D894" s="9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11"/>
      <c r="D895" s="9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11"/>
      <c r="D896" s="9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11"/>
      <c r="D897" s="9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11"/>
      <c r="D898" s="9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11"/>
      <c r="D899" s="9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11"/>
      <c r="D900" s="9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11"/>
      <c r="D901" s="9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11"/>
      <c r="D902" s="9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11"/>
      <c r="D903" s="9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11"/>
      <c r="D904" s="9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11"/>
      <c r="D905" s="9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11"/>
      <c r="D906" s="9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11"/>
      <c r="D907" s="9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11"/>
      <c r="D908" s="9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11"/>
      <c r="D909" s="9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11"/>
      <c r="D910" s="9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11"/>
      <c r="D911" s="9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11"/>
      <c r="D912" s="9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11"/>
      <c r="D913" s="9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11"/>
      <c r="D914" s="9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11"/>
      <c r="D915" s="9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11"/>
      <c r="D916" s="9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11"/>
      <c r="D917" s="9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11"/>
      <c r="D918" s="9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11"/>
      <c r="D919" s="9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11"/>
      <c r="D920" s="9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11"/>
      <c r="D921" s="9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11"/>
      <c r="D922" s="9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11"/>
      <c r="D923" s="9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11"/>
      <c r="D924" s="9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11"/>
      <c r="D925" s="9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11"/>
      <c r="D926" s="9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11"/>
      <c r="D927" s="9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11"/>
      <c r="D928" s="9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11"/>
      <c r="D929" s="9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11"/>
      <c r="D930" s="9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11"/>
      <c r="D931" s="9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11"/>
      <c r="D932" s="9"/>
      <c r="E932" s="10"/>
      <c r="F932" s="10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11"/>
      <c r="D933" s="9"/>
      <c r="E933" s="10"/>
      <c r="F933" s="10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11"/>
      <c r="D934" s="9"/>
      <c r="E934" s="10"/>
      <c r="F934" s="10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11"/>
      <c r="D935" s="9"/>
      <c r="E935" s="10"/>
      <c r="F935" s="10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11"/>
      <c r="D936" s="9"/>
      <c r="E936" s="10"/>
      <c r="F936" s="10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11"/>
      <c r="D937" s="9"/>
      <c r="E937" s="10"/>
      <c r="F937" s="10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11"/>
      <c r="D938" s="9"/>
      <c r="E938" s="10"/>
      <c r="F938" s="10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11"/>
      <c r="D939" s="9"/>
      <c r="E939" s="10"/>
      <c r="F939" s="10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11"/>
      <c r="D940" s="9"/>
      <c r="E940" s="10"/>
      <c r="F940" s="10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11"/>
      <c r="D941" s="9"/>
      <c r="E941" s="10"/>
      <c r="F941" s="10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11"/>
      <c r="D942" s="9"/>
      <c r="E942" s="10"/>
      <c r="F942" s="10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11"/>
      <c r="D943" s="9"/>
      <c r="E943" s="10"/>
      <c r="F943" s="10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11"/>
      <c r="D944" s="9"/>
      <c r="E944" s="10"/>
      <c r="F944" s="10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11"/>
      <c r="D945" s="9"/>
      <c r="E945" s="10"/>
      <c r="F945" s="10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11"/>
      <c r="D946" s="9"/>
      <c r="E946" s="10"/>
      <c r="F946" s="10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11"/>
      <c r="D947" s="9"/>
      <c r="E947" s="10"/>
      <c r="F947" s="10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11"/>
      <c r="D948" s="9"/>
      <c r="E948" s="10"/>
      <c r="F948" s="10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11"/>
      <c r="D949" s="9"/>
      <c r="E949" s="10"/>
      <c r="F949" s="10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11"/>
      <c r="D950" s="9"/>
      <c r="E950" s="10"/>
      <c r="F950" s="10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11"/>
      <c r="D951" s="9"/>
      <c r="E951" s="10"/>
      <c r="F951" s="10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11"/>
      <c r="D952" s="9"/>
      <c r="E952" s="10"/>
      <c r="F952" s="10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11"/>
      <c r="D953" s="9"/>
      <c r="E953" s="10"/>
      <c r="F953" s="10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11"/>
      <c r="D954" s="9"/>
      <c r="E954" s="10"/>
      <c r="F954" s="10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11"/>
      <c r="D955" s="9"/>
      <c r="E955" s="10"/>
      <c r="F955" s="10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11"/>
      <c r="D956" s="9"/>
      <c r="E956" s="10"/>
      <c r="F956" s="10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11"/>
      <c r="D957" s="9"/>
      <c r="E957" s="10"/>
      <c r="F957" s="10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11"/>
      <c r="D958" s="9"/>
      <c r="E958" s="10"/>
      <c r="F958" s="10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11"/>
      <c r="D959" s="9"/>
      <c r="E959" s="10"/>
      <c r="F959" s="10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11"/>
      <c r="D960" s="9"/>
      <c r="E960" s="10"/>
      <c r="F960" s="10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11"/>
      <c r="D961" s="9"/>
      <c r="E961" s="10"/>
      <c r="F961" s="10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11"/>
      <c r="D962" s="9"/>
      <c r="E962" s="10"/>
      <c r="F962" s="10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11"/>
      <c r="D963" s="9"/>
      <c r="E963" s="10"/>
      <c r="F963" s="10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11"/>
      <c r="D964" s="9"/>
      <c r="E964" s="10"/>
      <c r="F964" s="10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11"/>
      <c r="D965" s="9"/>
      <c r="E965" s="10"/>
      <c r="F965" s="10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11"/>
      <c r="D966" s="9"/>
      <c r="E966" s="10"/>
      <c r="F966" s="10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11"/>
      <c r="D967" s="9"/>
      <c r="E967" s="10"/>
      <c r="F967" s="10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11"/>
      <c r="D968" s="9"/>
      <c r="E968" s="10"/>
      <c r="F968" s="10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11"/>
      <c r="D969" s="9"/>
      <c r="E969" s="10"/>
      <c r="F969" s="10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11"/>
      <c r="D970" s="9"/>
      <c r="E970" s="10"/>
      <c r="F970" s="10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11"/>
      <c r="D971" s="9"/>
      <c r="E971" s="10"/>
      <c r="F971" s="10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11"/>
      <c r="D972" s="9"/>
      <c r="E972" s="10"/>
      <c r="F972" s="10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11"/>
      <c r="D973" s="9"/>
      <c r="E973" s="10"/>
      <c r="F973" s="10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11"/>
      <c r="D974" s="9"/>
      <c r="E974" s="10"/>
      <c r="F974" s="10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11"/>
      <c r="D975" s="9"/>
      <c r="E975" s="10"/>
      <c r="F975" s="10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11"/>
      <c r="D976" s="9"/>
      <c r="E976" s="10"/>
      <c r="F976" s="10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11"/>
      <c r="D977" s="9"/>
      <c r="E977" s="10"/>
      <c r="F977" s="10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11"/>
      <c r="D978" s="9"/>
      <c r="E978" s="10"/>
      <c r="F978" s="10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11"/>
      <c r="D979" s="9"/>
      <c r="E979" s="10"/>
      <c r="F979" s="10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11"/>
      <c r="D980" s="9"/>
      <c r="E980" s="10"/>
      <c r="F980" s="10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11"/>
      <c r="D981" s="9"/>
      <c r="E981" s="10"/>
      <c r="F981" s="10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11"/>
      <c r="D982" s="9"/>
      <c r="E982" s="10"/>
      <c r="F982" s="10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11"/>
      <c r="D983" s="9"/>
      <c r="E983" s="10"/>
      <c r="F983" s="10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11"/>
      <c r="D984" s="9"/>
      <c r="E984" s="10"/>
      <c r="F984" s="10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11"/>
      <c r="D985" s="9"/>
      <c r="E985" s="10"/>
      <c r="F985" s="10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11"/>
      <c r="D986" s="9"/>
      <c r="E986" s="10"/>
      <c r="F986" s="10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11"/>
      <c r="D987" s="9"/>
      <c r="E987" s="10"/>
      <c r="F987" s="10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11"/>
      <c r="D988" s="9"/>
      <c r="E988" s="10"/>
      <c r="F988" s="10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11"/>
      <c r="D989" s="9"/>
      <c r="E989" s="10"/>
      <c r="F989" s="10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11"/>
      <c r="D990" s="9"/>
      <c r="E990" s="10"/>
      <c r="F990" s="10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11"/>
      <c r="D991" s="9"/>
      <c r="E991" s="10"/>
      <c r="F991" s="10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11"/>
      <c r="D992" s="9"/>
      <c r="E992" s="10"/>
      <c r="F992" s="10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11"/>
      <c r="D993" s="9"/>
      <c r="E993" s="10"/>
      <c r="F993" s="10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11"/>
      <c r="D994" s="9"/>
      <c r="E994" s="10"/>
      <c r="F994" s="10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11"/>
      <c r="D995" s="9"/>
      <c r="E995" s="10"/>
      <c r="F995" s="10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11"/>
      <c r="D996" s="9"/>
      <c r="E996" s="10"/>
      <c r="F996" s="10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11"/>
      <c r="D997" s="9"/>
      <c r="E997" s="10"/>
      <c r="F997" s="10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11"/>
      <c r="D998" s="9"/>
      <c r="E998" s="10"/>
      <c r="F998" s="10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11"/>
      <c r="D999" s="9"/>
      <c r="E999" s="10"/>
      <c r="F999" s="10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11"/>
      <c r="D1000" s="9"/>
      <c r="E1000" s="10"/>
      <c r="F1000" s="10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11"/>
      <c r="D1001" s="9"/>
      <c r="E1001" s="10"/>
      <c r="F1001" s="10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8.25"/>
    <col customWidth="1" min="3" max="3" width="28.88"/>
    <col customWidth="1" hidden="1" min="4" max="4" width="7.75"/>
    <col customWidth="1" min="5" max="7" width="11.88"/>
    <col customWidth="1" hidden="1" min="8" max="8" width="8.38"/>
    <col customWidth="1" min="9" max="11" width="8.38"/>
    <col customWidth="1" hidden="1" min="12" max="12" width="9.63"/>
    <col customWidth="1" hidden="1" min="13" max="13" width="7.5"/>
    <col customWidth="1" hidden="1" min="14" max="14" width="12.63"/>
    <col customWidth="1" hidden="1" min="15" max="15" width="6.88"/>
    <col customWidth="1" hidden="1" min="16" max="16" width="12.13"/>
    <col customWidth="1" hidden="1" min="17" max="17" width="10.63"/>
    <col customWidth="1" hidden="1" min="18" max="18" width="5.5"/>
    <col customWidth="1" hidden="1" min="19" max="19" width="7.38"/>
    <col customWidth="1" hidden="1" min="20" max="20" width="6.13"/>
    <col customWidth="1" hidden="1" min="21" max="21" width="6.63"/>
    <col customWidth="1" hidden="1" min="22" max="22" width="3.5"/>
    <col customWidth="1" hidden="1" min="23" max="23" width="7.13"/>
    <col customWidth="1" hidden="1" min="24" max="24" width="7.0"/>
    <col customWidth="1" hidden="1" min="25" max="25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tr">
        <f>IFERROR(__xludf.DUMMYFUNCTION("FILTER(Master!A:Z, Master!U:U = ""X"")"),"Adventuring Gear")</f>
        <v>Adventuring Gear</v>
      </c>
      <c r="B2" s="4" t="str">
        <f>IFERROR(__xludf.DUMMYFUNCTION("""COMPUTED_VALUE"""),"Arcane Focuses")</f>
        <v>Arcane Focuses</v>
      </c>
      <c r="C2" s="4" t="str">
        <f>IFERROR(__xludf.DUMMYFUNCTION("""COMPUTED_VALUE"""),"Crystal")</f>
        <v>Crystal</v>
      </c>
      <c r="D2" s="5">
        <f>IFERROR(__xludf.DUMMYFUNCTION("""COMPUTED_VALUE"""),1.0)</f>
        <v>1</v>
      </c>
      <c r="E2" s="6">
        <f>IFERROR(__xludf.DUMMYFUNCTION("""COMPUTED_VALUE"""),10.0)</f>
        <v>10</v>
      </c>
      <c r="F2" s="6">
        <f>IFERROR(__xludf.DUMMYFUNCTION("""COMPUTED_VALUE"""),7.5)</f>
        <v>7.5</v>
      </c>
      <c r="G2" s="6">
        <f>IFERROR(__xludf.DUMMYFUNCTION("""COMPUTED_VALUE"""),15.0)</f>
        <v>15</v>
      </c>
      <c r="H2" s="4" t="str">
        <f>IFERROR(__xludf.DUMMYFUNCTION("""COMPUTED_VALUE"""),"PHB 2024")</f>
        <v>PHB 2024</v>
      </c>
      <c r="I2" s="4" t="str">
        <f>IFERROR(__xludf.DUMMYFUNCTION("""COMPUTED_VALUE"""),"x")</f>
        <v>x</v>
      </c>
      <c r="J2" s="4" t="str">
        <f>IFERROR(__xludf.DUMMYFUNCTION("""COMPUTED_VALUE"""),"x")</f>
        <v>x</v>
      </c>
      <c r="K2" s="4" t="str">
        <f>IFERROR(__xludf.DUMMYFUNCTION("""COMPUTED_VALUE"""),"x")</f>
        <v>x</v>
      </c>
      <c r="L2" s="7"/>
      <c r="M2" s="7"/>
      <c r="N2" s="7"/>
      <c r="O2" s="7"/>
      <c r="P2" s="7"/>
      <c r="Q2" s="7"/>
      <c r="R2" s="7"/>
      <c r="S2" s="7" t="str">
        <f>IFERROR(__xludf.DUMMYFUNCTION("""COMPUTED_VALUE"""),"x")</f>
        <v>x</v>
      </c>
      <c r="T2" s="4"/>
      <c r="U2" s="7" t="str">
        <f>IFERROR(__xludf.DUMMYFUNCTION("""COMPUTED_VALUE"""),"x")</f>
        <v>x</v>
      </c>
      <c r="V2" s="7"/>
      <c r="W2" s="7"/>
      <c r="X2" s="7"/>
      <c r="Y2" s="7"/>
    </row>
    <row r="3">
      <c r="A3" s="4" t="str">
        <f>IFERROR(__xludf.DUMMYFUNCTION("""COMPUTED_VALUE"""),"Adventuring Gear")</f>
        <v>Adventuring Gear</v>
      </c>
      <c r="B3" s="4" t="str">
        <f>IFERROR(__xludf.DUMMYFUNCTION("""COMPUTED_VALUE"""),"Arcane Focuses")</f>
        <v>Arcane Focuses</v>
      </c>
      <c r="C3" s="4" t="str">
        <f>IFERROR(__xludf.DUMMYFUNCTION("""COMPUTED_VALUE"""),"Orb")</f>
        <v>Orb</v>
      </c>
      <c r="D3" s="5">
        <f>IFERROR(__xludf.DUMMYFUNCTION("""COMPUTED_VALUE"""),3.0)</f>
        <v>3</v>
      </c>
      <c r="E3" s="6">
        <f>IFERROR(__xludf.DUMMYFUNCTION("""COMPUTED_VALUE"""),20.0)</f>
        <v>20</v>
      </c>
      <c r="F3" s="6">
        <f>IFERROR(__xludf.DUMMYFUNCTION("""COMPUTED_VALUE"""),15.0)</f>
        <v>15</v>
      </c>
      <c r="G3" s="6">
        <f>IFERROR(__xludf.DUMMYFUNCTION("""COMPUTED_VALUE"""),30.0)</f>
        <v>30</v>
      </c>
      <c r="H3" s="4" t="str">
        <f>IFERROR(__xludf.DUMMYFUNCTION("""COMPUTED_VALUE"""),"PHB 2024")</f>
        <v>PHB 2024</v>
      </c>
      <c r="I3" s="4"/>
      <c r="J3" s="4"/>
      <c r="K3" s="4" t="str">
        <f>IFERROR(__xludf.DUMMYFUNCTION("""COMPUTED_VALUE"""),"x")</f>
        <v>x</v>
      </c>
      <c r="L3" s="7"/>
      <c r="M3" s="7"/>
      <c r="N3" s="7"/>
      <c r="O3" s="7"/>
      <c r="P3" s="7"/>
      <c r="Q3" s="7"/>
      <c r="R3" s="7"/>
      <c r="S3" s="7" t="str">
        <f>IFERROR(__xludf.DUMMYFUNCTION("""COMPUTED_VALUE"""),"x")</f>
        <v>x</v>
      </c>
      <c r="T3" s="4"/>
      <c r="U3" s="7" t="str">
        <f>IFERROR(__xludf.DUMMYFUNCTION("""COMPUTED_VALUE"""),"x")</f>
        <v>x</v>
      </c>
      <c r="V3" s="7"/>
      <c r="W3" s="7"/>
      <c r="X3" s="7"/>
      <c r="Y3" s="7"/>
    </row>
    <row r="4">
      <c r="A4" s="4" t="str">
        <f>IFERROR(__xludf.DUMMYFUNCTION("""COMPUTED_VALUE"""),"Adventuring Gear")</f>
        <v>Adventuring Gear</v>
      </c>
      <c r="B4" s="4" t="str">
        <f>IFERROR(__xludf.DUMMYFUNCTION("""COMPUTED_VALUE"""),"Arcane Focuses")</f>
        <v>Arcane Focuses</v>
      </c>
      <c r="C4" s="4" t="str">
        <f>IFERROR(__xludf.DUMMYFUNCTION("""COMPUTED_VALUE"""),"Rod")</f>
        <v>Rod</v>
      </c>
      <c r="D4" s="5">
        <f>IFERROR(__xludf.DUMMYFUNCTION("""COMPUTED_VALUE"""),2.0)</f>
        <v>2</v>
      </c>
      <c r="E4" s="6">
        <f>IFERROR(__xludf.DUMMYFUNCTION("""COMPUTED_VALUE"""),10.0)</f>
        <v>10</v>
      </c>
      <c r="F4" s="6">
        <f>IFERROR(__xludf.DUMMYFUNCTION("""COMPUTED_VALUE"""),7.5)</f>
        <v>7.5</v>
      </c>
      <c r="G4" s="6">
        <f>IFERROR(__xludf.DUMMYFUNCTION("""COMPUTED_VALUE"""),15.0)</f>
        <v>15</v>
      </c>
      <c r="H4" s="4" t="str">
        <f>IFERROR(__xludf.DUMMYFUNCTION("""COMPUTED_VALUE"""),"PHB 2024")</f>
        <v>PHB 2024</v>
      </c>
      <c r="I4" s="4"/>
      <c r="J4" s="4" t="str">
        <f>IFERROR(__xludf.DUMMYFUNCTION("""COMPUTED_VALUE"""),"x")</f>
        <v>x</v>
      </c>
      <c r="K4" s="4" t="str">
        <f>IFERROR(__xludf.DUMMYFUNCTION("""COMPUTED_VALUE"""),"x")</f>
        <v>x</v>
      </c>
      <c r="L4" s="7"/>
      <c r="M4" s="4"/>
      <c r="N4" s="7"/>
      <c r="O4" s="7"/>
      <c r="P4" s="7"/>
      <c r="Q4" s="4"/>
      <c r="R4" s="7"/>
      <c r="S4" s="7"/>
      <c r="T4" s="7"/>
      <c r="U4" s="7" t="str">
        <f>IFERROR(__xludf.DUMMYFUNCTION("""COMPUTED_VALUE"""),"x")</f>
        <v>x</v>
      </c>
      <c r="V4" s="7"/>
      <c r="W4" s="7"/>
      <c r="X4" s="7"/>
      <c r="Y4" s="7"/>
    </row>
    <row r="5">
      <c r="A5" s="4" t="str">
        <f>IFERROR(__xludf.DUMMYFUNCTION("""COMPUTED_VALUE"""),"Adventuring Gear")</f>
        <v>Adventuring Gear</v>
      </c>
      <c r="B5" s="4" t="str">
        <f>IFERROR(__xludf.DUMMYFUNCTION("""COMPUTED_VALUE"""),"Arcane Focuses")</f>
        <v>Arcane Focuses</v>
      </c>
      <c r="C5" s="4" t="str">
        <f>IFERROR(__xludf.DUMMYFUNCTION("""COMPUTED_VALUE"""),"Staff (also a Quarterstaff)")</f>
        <v>Staff (also a Quarterstaff)</v>
      </c>
      <c r="D5" s="5">
        <f>IFERROR(__xludf.DUMMYFUNCTION("""COMPUTED_VALUE"""),4.0)</f>
        <v>4</v>
      </c>
      <c r="E5" s="6">
        <f>IFERROR(__xludf.DUMMYFUNCTION("""COMPUTED_VALUE"""),5.0)</f>
        <v>5</v>
      </c>
      <c r="F5" s="6">
        <f>IFERROR(__xludf.DUMMYFUNCTION("""COMPUTED_VALUE"""),3.75)</f>
        <v>3.75</v>
      </c>
      <c r="G5" s="6">
        <f>IFERROR(__xludf.DUMMYFUNCTION("""COMPUTED_VALUE"""),7.5)</f>
        <v>7.5</v>
      </c>
      <c r="H5" s="4" t="str">
        <f>IFERROR(__xludf.DUMMYFUNCTION("""COMPUTED_VALUE"""),"PHB 2024")</f>
        <v>PHB 2024</v>
      </c>
      <c r="I5" s="4" t="str">
        <f>IFERROR(__xludf.DUMMYFUNCTION("""COMPUTED_VALUE"""),"x")</f>
        <v>x</v>
      </c>
      <c r="J5" s="4" t="str">
        <f>IFERROR(__xludf.DUMMYFUNCTION("""COMPUTED_VALUE"""),"x")</f>
        <v>x</v>
      </c>
      <c r="K5" s="4" t="str">
        <f>IFERROR(__xludf.DUMMYFUNCTION("""COMPUTED_VALUE"""),"x")</f>
        <v>x</v>
      </c>
      <c r="L5" s="7"/>
      <c r="M5" s="4"/>
      <c r="N5" s="7"/>
      <c r="O5" s="7"/>
      <c r="P5" s="7"/>
      <c r="Q5" s="4"/>
      <c r="R5" s="7"/>
      <c r="S5" s="7"/>
      <c r="T5" s="7"/>
      <c r="U5" s="7" t="str">
        <f>IFERROR(__xludf.DUMMYFUNCTION("""COMPUTED_VALUE"""),"x")</f>
        <v>x</v>
      </c>
      <c r="V5" s="7"/>
      <c r="W5" s="7"/>
      <c r="X5" s="7"/>
      <c r="Y5" s="7"/>
    </row>
    <row r="6">
      <c r="A6" s="4" t="str">
        <f>IFERROR(__xludf.DUMMYFUNCTION("""COMPUTED_VALUE"""),"Adventuring Gear")</f>
        <v>Adventuring Gear</v>
      </c>
      <c r="B6" s="4" t="str">
        <f>IFERROR(__xludf.DUMMYFUNCTION("""COMPUTED_VALUE"""),"Arcane Focuses")</f>
        <v>Arcane Focuses</v>
      </c>
      <c r="C6" s="4" t="str">
        <f>IFERROR(__xludf.DUMMYFUNCTION("""COMPUTED_VALUE"""),"Wand")</f>
        <v>Wand</v>
      </c>
      <c r="D6" s="5">
        <f>IFERROR(__xludf.DUMMYFUNCTION("""COMPUTED_VALUE"""),1.0)</f>
        <v>1</v>
      </c>
      <c r="E6" s="6">
        <f>IFERROR(__xludf.DUMMYFUNCTION("""COMPUTED_VALUE"""),10.0)</f>
        <v>10</v>
      </c>
      <c r="F6" s="6">
        <f>IFERROR(__xludf.DUMMYFUNCTION("""COMPUTED_VALUE"""),7.5)</f>
        <v>7.5</v>
      </c>
      <c r="G6" s="6">
        <f>IFERROR(__xludf.DUMMYFUNCTION("""COMPUTED_VALUE"""),15.0)</f>
        <v>15</v>
      </c>
      <c r="H6" s="4" t="str">
        <f>IFERROR(__xludf.DUMMYFUNCTION("""COMPUTED_VALUE"""),"PHB 2024")</f>
        <v>PHB 2024</v>
      </c>
      <c r="I6" s="4" t="str">
        <f>IFERROR(__xludf.DUMMYFUNCTION("""COMPUTED_VALUE"""),"x")</f>
        <v>x</v>
      </c>
      <c r="J6" s="4" t="str">
        <f>IFERROR(__xludf.DUMMYFUNCTION("""COMPUTED_VALUE"""),"x")</f>
        <v>x</v>
      </c>
      <c r="K6" s="4" t="str">
        <f>IFERROR(__xludf.DUMMYFUNCTION("""COMPUTED_VALUE"""),"x")</f>
        <v>x</v>
      </c>
      <c r="L6" s="7"/>
      <c r="M6" s="7"/>
      <c r="N6" s="7"/>
      <c r="O6" s="7"/>
      <c r="P6" s="7"/>
      <c r="Q6" s="7"/>
      <c r="R6" s="7"/>
      <c r="S6" s="7"/>
      <c r="T6" s="7"/>
      <c r="U6" s="7" t="str">
        <f>IFERROR(__xludf.DUMMYFUNCTION("""COMPUTED_VALUE"""),"x")</f>
        <v>x</v>
      </c>
      <c r="V6" s="7"/>
      <c r="W6" s="4"/>
      <c r="X6" s="4"/>
      <c r="Y6" s="4"/>
    </row>
    <row r="7">
      <c r="A7" s="4" t="str">
        <f>IFERROR(__xludf.DUMMYFUNCTION("""COMPUTED_VALUE"""),"Adventuring Gear")</f>
        <v>Adventuring Gear</v>
      </c>
      <c r="B7" s="4" t="str">
        <f>IFERROR(__xludf.DUMMYFUNCTION("""COMPUTED_VALUE"""),"-")</f>
        <v>-</v>
      </c>
      <c r="C7" s="4" t="str">
        <f>IFERROR(__xludf.DUMMYFUNCTION("""COMPUTED_VALUE"""),"Book")</f>
        <v>Book</v>
      </c>
      <c r="D7" s="5">
        <f>IFERROR(__xludf.DUMMYFUNCTION("""COMPUTED_VALUE"""),5.0)</f>
        <v>5</v>
      </c>
      <c r="E7" s="6">
        <f>IFERROR(__xludf.DUMMYFUNCTION("""COMPUTED_VALUE"""),25.0)</f>
        <v>25</v>
      </c>
      <c r="F7" s="6">
        <f>IFERROR(__xludf.DUMMYFUNCTION("""COMPUTED_VALUE"""),18.75)</f>
        <v>18.75</v>
      </c>
      <c r="G7" s="6">
        <f>IFERROR(__xludf.DUMMYFUNCTION("""COMPUTED_VALUE"""),37.5)</f>
        <v>37.5</v>
      </c>
      <c r="H7" s="4" t="str">
        <f>IFERROR(__xludf.DUMMYFUNCTION("""COMPUTED_VALUE"""),"PHB 2024")</f>
        <v>PHB 2024</v>
      </c>
      <c r="I7" s="4" t="str">
        <f>IFERROR(__xludf.DUMMYFUNCTION("""COMPUTED_VALUE"""),"x")</f>
        <v>x</v>
      </c>
      <c r="J7" s="4" t="str">
        <f>IFERROR(__xludf.DUMMYFUNCTION("""COMPUTED_VALUE"""),"x")</f>
        <v>x</v>
      </c>
      <c r="K7" s="4" t="str">
        <f>IFERROR(__xludf.DUMMYFUNCTION("""COMPUTED_VALUE"""),"x")</f>
        <v>x</v>
      </c>
      <c r="L7" s="7"/>
      <c r="M7" s="7"/>
      <c r="N7" s="7"/>
      <c r="O7" s="7" t="str">
        <f>IFERROR(__xludf.DUMMYFUNCTION("""COMPUTED_VALUE"""),"x")</f>
        <v>x</v>
      </c>
      <c r="P7" s="7"/>
      <c r="Q7" s="4"/>
      <c r="R7" s="7"/>
      <c r="S7" s="7"/>
      <c r="T7" s="7"/>
      <c r="U7" s="7" t="str">
        <f>IFERROR(__xludf.DUMMYFUNCTION("""COMPUTED_VALUE"""),"x")</f>
        <v>x</v>
      </c>
      <c r="V7" s="7"/>
      <c r="W7" s="7"/>
      <c r="X7" s="7"/>
      <c r="Y7" s="7"/>
    </row>
    <row r="8">
      <c r="A8" s="4" t="str">
        <f>IFERROR(__xludf.DUMMYFUNCTION("""COMPUTED_VALUE"""),"Adventuring Gear")</f>
        <v>Adventuring Gear</v>
      </c>
      <c r="B8" s="4" t="str">
        <f>IFERROR(__xludf.DUMMYFUNCTION("""COMPUTED_VALUE"""),"-")</f>
        <v>-</v>
      </c>
      <c r="C8" s="4" t="str">
        <f>IFERROR(__xludf.DUMMYFUNCTION("""COMPUTED_VALUE"""),"Bottle, Glass")</f>
        <v>Bottle, Glass</v>
      </c>
      <c r="D8" s="5">
        <f>IFERROR(__xludf.DUMMYFUNCTION("""COMPUTED_VALUE"""),2.0)</f>
        <v>2</v>
      </c>
      <c r="E8" s="6">
        <f>IFERROR(__xludf.DUMMYFUNCTION("""COMPUTED_VALUE"""),2.0)</f>
        <v>2</v>
      </c>
      <c r="F8" s="6">
        <f>IFERROR(__xludf.DUMMYFUNCTION("""COMPUTED_VALUE"""),1.5)</f>
        <v>1.5</v>
      </c>
      <c r="G8" s="6">
        <f>IFERROR(__xludf.DUMMYFUNCTION("""COMPUTED_VALUE"""),3.0)</f>
        <v>3</v>
      </c>
      <c r="H8" s="4" t="str">
        <f>IFERROR(__xludf.DUMMYFUNCTION("""COMPUTED_VALUE"""),"PHB 2024")</f>
        <v>PHB 2024</v>
      </c>
      <c r="I8" s="4" t="str">
        <f>IFERROR(__xludf.DUMMYFUNCTION("""COMPUTED_VALUE"""),"x")</f>
        <v>x</v>
      </c>
      <c r="J8" s="4" t="str">
        <f>IFERROR(__xludf.DUMMYFUNCTION("""COMPUTED_VALUE"""),"x")</f>
        <v>x</v>
      </c>
      <c r="K8" s="4" t="str">
        <f>IFERROR(__xludf.DUMMYFUNCTION("""COMPUTED_VALUE"""),"x")</f>
        <v>x</v>
      </c>
      <c r="L8" s="7"/>
      <c r="M8" s="7"/>
      <c r="N8" s="7"/>
      <c r="O8" s="7"/>
      <c r="P8" s="7" t="str">
        <f>IFERROR(__xludf.DUMMYFUNCTION("""COMPUTED_VALUE"""),"x")</f>
        <v>x</v>
      </c>
      <c r="Q8" s="4" t="str">
        <f>IFERROR(__xludf.DUMMYFUNCTION("""COMPUTED_VALUE"""),"x")</f>
        <v>x</v>
      </c>
      <c r="R8" s="7"/>
      <c r="S8" s="7"/>
      <c r="T8" s="7"/>
      <c r="U8" s="7" t="str">
        <f>IFERROR(__xludf.DUMMYFUNCTION("""COMPUTED_VALUE"""),"x")</f>
        <v>x</v>
      </c>
      <c r="V8" s="7"/>
      <c r="W8" s="7"/>
      <c r="X8" s="7"/>
      <c r="Y8" s="7"/>
    </row>
    <row r="9">
      <c r="A9" s="4" t="str">
        <f>IFERROR(__xludf.DUMMYFUNCTION("""COMPUTED_VALUE"""),"Adventuring Gear")</f>
        <v>Adventuring Gear</v>
      </c>
      <c r="B9" s="4" t="str">
        <f>IFERROR(__xludf.DUMMYFUNCTION("""COMPUTED_VALUE"""),"-")</f>
        <v>-</v>
      </c>
      <c r="C9" s="4" t="str">
        <f>IFERROR(__xludf.DUMMYFUNCTION("""COMPUTED_VALUE"""),"Candle")</f>
        <v>Candle</v>
      </c>
      <c r="D9" s="5" t="str">
        <f>IFERROR(__xludf.DUMMYFUNCTION("""COMPUTED_VALUE"""),"-")</f>
        <v>-</v>
      </c>
      <c r="E9" s="6">
        <f>IFERROR(__xludf.DUMMYFUNCTION("""COMPUTED_VALUE"""),0.01)</f>
        <v>0.01</v>
      </c>
      <c r="F9" s="6">
        <f>IFERROR(__xludf.DUMMYFUNCTION("""COMPUTED_VALUE"""),0.0075)</f>
        <v>0.0075</v>
      </c>
      <c r="G9" s="6">
        <f>IFERROR(__xludf.DUMMYFUNCTION("""COMPUTED_VALUE"""),0.015)</f>
        <v>0.015</v>
      </c>
      <c r="H9" s="4" t="str">
        <f>IFERROR(__xludf.DUMMYFUNCTION("""COMPUTED_VALUE"""),"PHB 2024")</f>
        <v>PHB 2024</v>
      </c>
      <c r="I9" s="4" t="str">
        <f>IFERROR(__xludf.DUMMYFUNCTION("""COMPUTED_VALUE"""),"x")</f>
        <v>x</v>
      </c>
      <c r="J9" s="4" t="str">
        <f>IFERROR(__xludf.DUMMYFUNCTION("""COMPUTED_VALUE"""),"x")</f>
        <v>x</v>
      </c>
      <c r="K9" s="4" t="str">
        <f>IFERROR(__xludf.DUMMYFUNCTION("""COMPUTED_VALUE"""),"x")</f>
        <v>x</v>
      </c>
      <c r="L9" s="7"/>
      <c r="M9" s="7"/>
      <c r="N9" s="7"/>
      <c r="O9" s="7" t="str">
        <f>IFERROR(__xludf.DUMMYFUNCTION("""COMPUTED_VALUE"""),"x")</f>
        <v>x</v>
      </c>
      <c r="P9" s="7" t="str">
        <f>IFERROR(__xludf.DUMMYFUNCTION("""COMPUTED_VALUE"""),"x")</f>
        <v>x</v>
      </c>
      <c r="Q9" s="7" t="str">
        <f>IFERROR(__xludf.DUMMYFUNCTION("""COMPUTED_VALUE"""),"x")</f>
        <v>x</v>
      </c>
      <c r="R9" s="7"/>
      <c r="S9" s="7"/>
      <c r="T9" s="4"/>
      <c r="U9" s="7" t="str">
        <f>IFERROR(__xludf.DUMMYFUNCTION("""COMPUTED_VALUE"""),"x")</f>
        <v>x</v>
      </c>
      <c r="V9" s="7"/>
      <c r="W9" s="7"/>
      <c r="X9" s="7"/>
      <c r="Y9" s="7"/>
    </row>
    <row r="10">
      <c r="A10" s="4" t="str">
        <f>IFERROR(__xludf.DUMMYFUNCTION("""COMPUTED_VALUE"""),"Adventuring Gear")</f>
        <v>Adventuring Gear</v>
      </c>
      <c r="B10" s="4" t="str">
        <f>IFERROR(__xludf.DUMMYFUNCTION("""COMPUTED_VALUE"""),"-")</f>
        <v>-</v>
      </c>
      <c r="C10" s="8" t="str">
        <f>IFERROR(__xludf.DUMMYFUNCTION("""COMPUTED_VALUE"""),"Case, Map or Scroll")</f>
        <v>Case, Map or Scroll</v>
      </c>
      <c r="D10" s="5">
        <f>IFERROR(__xludf.DUMMYFUNCTION("""COMPUTED_VALUE"""),1.0)</f>
        <v>1</v>
      </c>
      <c r="E10" s="6">
        <f>IFERROR(__xludf.DUMMYFUNCTION("""COMPUTED_VALUE"""),1.0)</f>
        <v>1</v>
      </c>
      <c r="F10" s="6">
        <f>IFERROR(__xludf.DUMMYFUNCTION("""COMPUTED_VALUE"""),0.75)</f>
        <v>0.75</v>
      </c>
      <c r="G10" s="6">
        <f>IFERROR(__xludf.DUMMYFUNCTION("""COMPUTED_VALUE"""),1.5)</f>
        <v>1.5</v>
      </c>
      <c r="H10" s="4" t="str">
        <f>IFERROR(__xludf.DUMMYFUNCTION("""COMPUTED_VALUE"""),"PHB 2024")</f>
        <v>PHB 2024</v>
      </c>
      <c r="I10" s="4" t="str">
        <f>IFERROR(__xludf.DUMMYFUNCTION("""COMPUTED_VALUE"""),"x")</f>
        <v>x</v>
      </c>
      <c r="J10" s="4" t="str">
        <f>IFERROR(__xludf.DUMMYFUNCTION("""COMPUTED_VALUE"""),"x")</f>
        <v>x</v>
      </c>
      <c r="K10" s="4" t="str">
        <f>IFERROR(__xludf.DUMMYFUNCTION("""COMPUTED_VALUE"""),"x")</f>
        <v>x</v>
      </c>
      <c r="L10" s="7"/>
      <c r="M10" s="7"/>
      <c r="N10" s="7"/>
      <c r="O10" s="7" t="str">
        <f>IFERROR(__xludf.DUMMYFUNCTION("""COMPUTED_VALUE"""),"x")</f>
        <v>x</v>
      </c>
      <c r="P10" s="7"/>
      <c r="Q10" s="7" t="str">
        <f>IFERROR(__xludf.DUMMYFUNCTION("""COMPUTED_VALUE"""),"x")</f>
        <v>x</v>
      </c>
      <c r="R10" s="7"/>
      <c r="S10" s="4"/>
      <c r="T10" s="7"/>
      <c r="U10" s="4" t="str">
        <f>IFERROR(__xludf.DUMMYFUNCTION("""COMPUTED_VALUE"""),"x")</f>
        <v>x</v>
      </c>
      <c r="V10" s="7"/>
      <c r="W10" s="7"/>
      <c r="X10" s="7"/>
      <c r="Y10" s="7"/>
    </row>
    <row r="11">
      <c r="A11" s="4" t="str">
        <f>IFERROR(__xludf.DUMMYFUNCTION("""COMPUTED_VALUE"""),"Adventuring Gear")</f>
        <v>Adventuring Gear</v>
      </c>
      <c r="B11" s="4" t="str">
        <f>IFERROR(__xludf.DUMMYFUNCTION("""COMPUTED_VALUE"""),"-")</f>
        <v>-</v>
      </c>
      <c r="C11" s="8" t="str">
        <f>IFERROR(__xludf.DUMMYFUNCTION("""COMPUTED_VALUE"""),"Component Pouch")</f>
        <v>Component Pouch</v>
      </c>
      <c r="D11" s="5">
        <f>IFERROR(__xludf.DUMMYFUNCTION("""COMPUTED_VALUE"""),2.0)</f>
        <v>2</v>
      </c>
      <c r="E11" s="6">
        <f>IFERROR(__xludf.DUMMYFUNCTION("""COMPUTED_VALUE"""),25.0)</f>
        <v>25</v>
      </c>
      <c r="F11" s="6">
        <f>IFERROR(__xludf.DUMMYFUNCTION("""COMPUTED_VALUE"""),18.75)</f>
        <v>18.75</v>
      </c>
      <c r="G11" s="6">
        <f>IFERROR(__xludf.DUMMYFUNCTION("""COMPUTED_VALUE"""),37.5)</f>
        <v>37.5</v>
      </c>
      <c r="H11" s="4" t="str">
        <f>IFERROR(__xludf.DUMMYFUNCTION("""COMPUTED_VALUE"""),"PHB 2024")</f>
        <v>PHB 2024</v>
      </c>
      <c r="I11" s="4" t="str">
        <f>IFERROR(__xludf.DUMMYFUNCTION("""COMPUTED_VALUE"""),"x")</f>
        <v>x</v>
      </c>
      <c r="J11" s="4" t="str">
        <f>IFERROR(__xludf.DUMMYFUNCTION("""COMPUTED_VALUE"""),"x")</f>
        <v>x</v>
      </c>
      <c r="K11" s="4" t="str">
        <f>IFERROR(__xludf.DUMMYFUNCTION("""COMPUTED_VALUE"""),"x")</f>
        <v>x</v>
      </c>
      <c r="L11" s="7"/>
      <c r="M11" s="7"/>
      <c r="N11" s="7"/>
      <c r="O11" s="7"/>
      <c r="P11" s="7"/>
      <c r="Q11" s="7"/>
      <c r="R11" s="7" t="str">
        <f>IFERROR(__xludf.DUMMYFUNCTION("""COMPUTED_VALUE"""),"x")</f>
        <v>x</v>
      </c>
      <c r="S11" s="4"/>
      <c r="T11" s="7" t="str">
        <f>IFERROR(__xludf.DUMMYFUNCTION("""COMPUTED_VALUE"""),"x")</f>
        <v>x</v>
      </c>
      <c r="U11" s="4" t="str">
        <f>IFERROR(__xludf.DUMMYFUNCTION("""COMPUTED_VALUE"""),"x")</f>
        <v>x</v>
      </c>
      <c r="V11" s="7"/>
      <c r="W11" s="7"/>
      <c r="X11" s="7"/>
      <c r="Y11" s="7"/>
    </row>
    <row r="12">
      <c r="A12" s="4" t="str">
        <f>IFERROR(__xludf.DUMMYFUNCTION("""COMPUTED_VALUE"""),"Adventuring Gear")</f>
        <v>Adventuring Gear</v>
      </c>
      <c r="B12" s="8" t="str">
        <f>IFERROR(__xludf.DUMMYFUNCTION("""COMPUTED_VALUE"""),"Drudic Focus")</f>
        <v>Drudic Focus</v>
      </c>
      <c r="C12" s="4" t="str">
        <f>IFERROR(__xludf.DUMMYFUNCTION("""COMPUTED_VALUE"""),"Sprig of Mistletoe")</f>
        <v>Sprig of Mistletoe</v>
      </c>
      <c r="D12" s="5" t="str">
        <f>IFERROR(__xludf.DUMMYFUNCTION("""COMPUTED_VALUE"""),"-")</f>
        <v>-</v>
      </c>
      <c r="E12" s="6">
        <f>IFERROR(__xludf.DUMMYFUNCTION("""COMPUTED_VALUE"""),1.0)</f>
        <v>1</v>
      </c>
      <c r="F12" s="6">
        <f>IFERROR(__xludf.DUMMYFUNCTION("""COMPUTED_VALUE"""),0.75)</f>
        <v>0.75</v>
      </c>
      <c r="G12" s="6">
        <f>IFERROR(__xludf.DUMMYFUNCTION("""COMPUTED_VALUE"""),1.5)</f>
        <v>1.5</v>
      </c>
      <c r="H12" s="4" t="str">
        <f>IFERROR(__xludf.DUMMYFUNCTION("""COMPUTED_VALUE"""),"PHB 2024")</f>
        <v>PHB 2024</v>
      </c>
      <c r="I12" s="4" t="str">
        <f>IFERROR(__xludf.DUMMYFUNCTION("""COMPUTED_VALUE"""),"x")</f>
        <v>x</v>
      </c>
      <c r="J12" s="4" t="str">
        <f>IFERROR(__xludf.DUMMYFUNCTION("""COMPUTED_VALUE"""),"x")</f>
        <v>x</v>
      </c>
      <c r="K12" s="4" t="str">
        <f>IFERROR(__xludf.DUMMYFUNCTION("""COMPUTED_VALUE"""),"x")</f>
        <v>x</v>
      </c>
      <c r="L12" s="7"/>
      <c r="M12" s="7"/>
      <c r="N12" s="7"/>
      <c r="O12" s="7"/>
      <c r="P12" s="7"/>
      <c r="Q12" s="7"/>
      <c r="R12" s="7"/>
      <c r="S12" s="7"/>
      <c r="T12" s="7"/>
      <c r="U12" s="4" t="str">
        <f>IFERROR(__xludf.DUMMYFUNCTION("""COMPUTED_VALUE"""),"x")</f>
        <v>x</v>
      </c>
      <c r="V12" s="7"/>
      <c r="W12" s="7"/>
      <c r="X12" s="7"/>
      <c r="Y12" s="7"/>
    </row>
    <row r="13">
      <c r="A13" s="4" t="str">
        <f>IFERROR(__xludf.DUMMYFUNCTION("""COMPUTED_VALUE"""),"Adventuring Gear")</f>
        <v>Adventuring Gear</v>
      </c>
      <c r="B13" s="8" t="str">
        <f>IFERROR(__xludf.DUMMYFUNCTION("""COMPUTED_VALUE"""),"Drudic Focus")</f>
        <v>Drudic Focus</v>
      </c>
      <c r="C13" s="8" t="str">
        <f>IFERROR(__xludf.DUMMYFUNCTION("""COMPUTED_VALUE"""),"Wooden Staff (also a Quarterstaff)")</f>
        <v>Wooden Staff (also a Quarterstaff)</v>
      </c>
      <c r="D13" s="5">
        <f>IFERROR(__xludf.DUMMYFUNCTION("""COMPUTED_VALUE"""),4.0)</f>
        <v>4</v>
      </c>
      <c r="E13" s="6">
        <f>IFERROR(__xludf.DUMMYFUNCTION("""COMPUTED_VALUE"""),5.0)</f>
        <v>5</v>
      </c>
      <c r="F13" s="6">
        <f>IFERROR(__xludf.DUMMYFUNCTION("""COMPUTED_VALUE"""),3.75)</f>
        <v>3.75</v>
      </c>
      <c r="G13" s="6">
        <f>IFERROR(__xludf.DUMMYFUNCTION("""COMPUTED_VALUE"""),7.5)</f>
        <v>7.5</v>
      </c>
      <c r="H13" s="4" t="str">
        <f>IFERROR(__xludf.DUMMYFUNCTION("""COMPUTED_VALUE"""),"PHB 2024")</f>
        <v>PHB 2024</v>
      </c>
      <c r="I13" s="4" t="str">
        <f>IFERROR(__xludf.DUMMYFUNCTION("""COMPUTED_VALUE"""),"x")</f>
        <v>x</v>
      </c>
      <c r="J13" s="4" t="str">
        <f>IFERROR(__xludf.DUMMYFUNCTION("""COMPUTED_VALUE"""),"x")</f>
        <v>x</v>
      </c>
      <c r="K13" s="4" t="str">
        <f>IFERROR(__xludf.DUMMYFUNCTION("""COMPUTED_VALUE"""),"x")</f>
        <v>x</v>
      </c>
      <c r="L13" s="7"/>
      <c r="M13" s="7"/>
      <c r="N13" s="7"/>
      <c r="O13" s="7"/>
      <c r="P13" s="7"/>
      <c r="Q13" s="7"/>
      <c r="R13" s="7"/>
      <c r="S13" s="7"/>
      <c r="T13" s="7"/>
      <c r="U13" s="4" t="str">
        <f>IFERROR(__xludf.DUMMYFUNCTION("""COMPUTED_VALUE"""),"x")</f>
        <v>x</v>
      </c>
      <c r="V13" s="7"/>
      <c r="W13" s="7"/>
      <c r="X13" s="7"/>
      <c r="Y13" s="7"/>
    </row>
    <row r="14">
      <c r="A14" s="4" t="str">
        <f>IFERROR(__xludf.DUMMYFUNCTION("""COMPUTED_VALUE"""),"Adventuring Gear")</f>
        <v>Adventuring Gear</v>
      </c>
      <c r="B14" s="8" t="str">
        <f>IFERROR(__xludf.DUMMYFUNCTION("""COMPUTED_VALUE"""),"Drudic Focus")</f>
        <v>Drudic Focus</v>
      </c>
      <c r="C14" s="8" t="str">
        <f>IFERROR(__xludf.DUMMYFUNCTION("""COMPUTED_VALUE"""),"Yew Wand")</f>
        <v>Yew Wand</v>
      </c>
      <c r="D14" s="5">
        <f>IFERROR(__xludf.DUMMYFUNCTION("""COMPUTED_VALUE"""),1.0)</f>
        <v>1</v>
      </c>
      <c r="E14" s="6">
        <f>IFERROR(__xludf.DUMMYFUNCTION("""COMPUTED_VALUE"""),10.0)</f>
        <v>10</v>
      </c>
      <c r="F14" s="6">
        <f>IFERROR(__xludf.DUMMYFUNCTION("""COMPUTED_VALUE"""),7.5)</f>
        <v>7.5</v>
      </c>
      <c r="G14" s="6">
        <f>IFERROR(__xludf.DUMMYFUNCTION("""COMPUTED_VALUE"""),15.0)</f>
        <v>15</v>
      </c>
      <c r="H14" s="4" t="str">
        <f>IFERROR(__xludf.DUMMYFUNCTION("""COMPUTED_VALUE"""),"PHB 2024")</f>
        <v>PHB 2024</v>
      </c>
      <c r="I14" s="4" t="str">
        <f>IFERROR(__xludf.DUMMYFUNCTION("""COMPUTED_VALUE"""),"x")</f>
        <v>x</v>
      </c>
      <c r="J14" s="4" t="str">
        <f>IFERROR(__xludf.DUMMYFUNCTION("""COMPUTED_VALUE"""),"x")</f>
        <v>x</v>
      </c>
      <c r="K14" s="4" t="str">
        <f>IFERROR(__xludf.DUMMYFUNCTION("""COMPUTED_VALUE"""),"x")</f>
        <v>x</v>
      </c>
      <c r="L14" s="7"/>
      <c r="M14" s="7"/>
      <c r="N14" s="7"/>
      <c r="O14" s="7"/>
      <c r="P14" s="7"/>
      <c r="Q14" s="7"/>
      <c r="R14" s="7"/>
      <c r="S14" s="7"/>
      <c r="T14" s="7"/>
      <c r="U14" s="4" t="str">
        <f>IFERROR(__xludf.DUMMYFUNCTION("""COMPUTED_VALUE"""),"x")</f>
        <v>x</v>
      </c>
      <c r="V14" s="7"/>
      <c r="W14" s="7"/>
      <c r="X14" s="7"/>
      <c r="Y14" s="7"/>
    </row>
    <row r="15">
      <c r="A15" s="4" t="str">
        <f>IFERROR(__xludf.DUMMYFUNCTION("""COMPUTED_VALUE"""),"Adventuring Gear")</f>
        <v>Adventuring Gear</v>
      </c>
      <c r="B15" s="4" t="str">
        <f>IFERROR(__xludf.DUMMYFUNCTION("""COMPUTED_VALUE"""),"-")</f>
        <v>-</v>
      </c>
      <c r="C15" s="8" t="str">
        <f>IFERROR(__xludf.DUMMYFUNCTION("""COMPUTED_VALUE"""),"Ink")</f>
        <v>Ink</v>
      </c>
      <c r="D15" s="5" t="str">
        <f>IFERROR(__xludf.DUMMYFUNCTION("""COMPUTED_VALUE"""),"-")</f>
        <v>-</v>
      </c>
      <c r="E15" s="6">
        <f>IFERROR(__xludf.DUMMYFUNCTION("""COMPUTED_VALUE"""),10.0)</f>
        <v>10</v>
      </c>
      <c r="F15" s="6">
        <f>IFERROR(__xludf.DUMMYFUNCTION("""COMPUTED_VALUE"""),7.5)</f>
        <v>7.5</v>
      </c>
      <c r="G15" s="6">
        <f>IFERROR(__xludf.DUMMYFUNCTION("""COMPUTED_VALUE"""),15.0)</f>
        <v>15</v>
      </c>
      <c r="H15" s="4" t="str">
        <f>IFERROR(__xludf.DUMMYFUNCTION("""COMPUTED_VALUE"""),"PHB 2024")</f>
        <v>PHB 2024</v>
      </c>
      <c r="I15" s="4" t="str">
        <f>IFERROR(__xludf.DUMMYFUNCTION("""COMPUTED_VALUE"""),"x")</f>
        <v>x</v>
      </c>
      <c r="J15" s="4" t="str">
        <f>IFERROR(__xludf.DUMMYFUNCTION("""COMPUTED_VALUE"""),"x")</f>
        <v>x</v>
      </c>
      <c r="K15" s="4" t="str">
        <f>IFERROR(__xludf.DUMMYFUNCTION("""COMPUTED_VALUE"""),"x")</f>
        <v>x</v>
      </c>
      <c r="L15" s="7"/>
      <c r="M15" s="7"/>
      <c r="N15" s="7"/>
      <c r="O15" s="7" t="str">
        <f>IFERROR(__xludf.DUMMYFUNCTION("""COMPUTED_VALUE"""),"x")</f>
        <v>x</v>
      </c>
      <c r="P15" s="7" t="str">
        <f>IFERROR(__xludf.DUMMYFUNCTION("""COMPUTED_VALUE"""),"x")</f>
        <v>x</v>
      </c>
      <c r="Q15" s="4" t="str">
        <f>IFERROR(__xludf.DUMMYFUNCTION("""COMPUTED_VALUE"""),"x")</f>
        <v>x</v>
      </c>
      <c r="R15" s="7"/>
      <c r="S15" s="7"/>
      <c r="T15" s="7"/>
      <c r="U15" s="7" t="str">
        <f>IFERROR(__xludf.DUMMYFUNCTION("""COMPUTED_VALUE"""),"x")</f>
        <v>x</v>
      </c>
      <c r="V15" s="7"/>
      <c r="W15" s="7" t="str">
        <f>IFERROR(__xludf.DUMMYFUNCTION("""COMPUTED_VALUE"""),"x")</f>
        <v>x</v>
      </c>
      <c r="X15" s="7"/>
      <c r="Y15" s="7"/>
    </row>
    <row r="16">
      <c r="A16" s="4" t="str">
        <f>IFERROR(__xludf.DUMMYFUNCTION("""COMPUTED_VALUE"""),"Adventuring Gear")</f>
        <v>Adventuring Gear</v>
      </c>
      <c r="B16" s="4" t="str">
        <f>IFERROR(__xludf.DUMMYFUNCTION("""COMPUTED_VALUE"""),"-")</f>
        <v>-</v>
      </c>
      <c r="C16" s="8" t="str">
        <f>IFERROR(__xludf.DUMMYFUNCTION("""COMPUTED_VALUE"""),"Ink Pen")</f>
        <v>Ink Pen</v>
      </c>
      <c r="D16" s="5" t="str">
        <f>IFERROR(__xludf.DUMMYFUNCTION("""COMPUTED_VALUE"""),"-")</f>
        <v>-</v>
      </c>
      <c r="E16" s="6">
        <f>IFERROR(__xludf.DUMMYFUNCTION("""COMPUTED_VALUE"""),0.02)</f>
        <v>0.02</v>
      </c>
      <c r="F16" s="6">
        <f>IFERROR(__xludf.DUMMYFUNCTION("""COMPUTED_VALUE"""),0.015)</f>
        <v>0.015</v>
      </c>
      <c r="G16" s="6">
        <f>IFERROR(__xludf.DUMMYFUNCTION("""COMPUTED_VALUE"""),0.03)</f>
        <v>0.03</v>
      </c>
      <c r="H16" s="4" t="str">
        <f>IFERROR(__xludf.DUMMYFUNCTION("""COMPUTED_VALUE"""),"PHB 2024")</f>
        <v>PHB 2024</v>
      </c>
      <c r="I16" s="4"/>
      <c r="J16" s="4" t="str">
        <f>IFERROR(__xludf.DUMMYFUNCTION("""COMPUTED_VALUE"""),"x")</f>
        <v>x</v>
      </c>
      <c r="K16" s="4" t="str">
        <f>IFERROR(__xludf.DUMMYFUNCTION("""COMPUTED_VALUE"""),"x")</f>
        <v>x</v>
      </c>
      <c r="L16" s="4"/>
      <c r="M16" s="7"/>
      <c r="N16" s="7"/>
      <c r="O16" s="7" t="str">
        <f>IFERROR(__xludf.DUMMYFUNCTION("""COMPUTED_VALUE"""),"x")</f>
        <v>x</v>
      </c>
      <c r="P16" s="7" t="str">
        <f>IFERROR(__xludf.DUMMYFUNCTION("""COMPUTED_VALUE"""),"x")</f>
        <v>x</v>
      </c>
      <c r="Q16" s="7" t="str">
        <f>IFERROR(__xludf.DUMMYFUNCTION("""COMPUTED_VALUE"""),"x")</f>
        <v>x</v>
      </c>
      <c r="R16" s="7"/>
      <c r="S16" s="7"/>
      <c r="T16" s="7"/>
      <c r="U16" s="7" t="str">
        <f>IFERROR(__xludf.DUMMYFUNCTION("""COMPUTED_VALUE"""),"x")</f>
        <v>x</v>
      </c>
      <c r="V16" s="7"/>
      <c r="W16" s="7" t="str">
        <f>IFERROR(__xludf.DUMMYFUNCTION("""COMPUTED_VALUE"""),"x")</f>
        <v>x</v>
      </c>
      <c r="X16" s="7"/>
      <c r="Y16" s="7"/>
    </row>
    <row r="17">
      <c r="A17" s="4" t="str">
        <f>IFERROR(__xludf.DUMMYFUNCTION("""COMPUTED_VALUE"""),"Adventuring Gear")</f>
        <v>Adventuring Gear</v>
      </c>
      <c r="B17" s="4" t="str">
        <f>IFERROR(__xludf.DUMMYFUNCTION("""COMPUTED_VALUE"""),"-")</f>
        <v>-</v>
      </c>
      <c r="C17" s="8" t="str">
        <f>IFERROR(__xludf.DUMMYFUNCTION("""COMPUTED_VALUE"""),"Paper")</f>
        <v>Paper</v>
      </c>
      <c r="D17" s="5" t="str">
        <f>IFERROR(__xludf.DUMMYFUNCTION("""COMPUTED_VALUE"""),"-")</f>
        <v>-</v>
      </c>
      <c r="E17" s="6">
        <f>IFERROR(__xludf.DUMMYFUNCTION("""COMPUTED_VALUE"""),0.2)</f>
        <v>0.2</v>
      </c>
      <c r="F17" s="6">
        <f>IFERROR(__xludf.DUMMYFUNCTION("""COMPUTED_VALUE"""),0.15000000000000002)</f>
        <v>0.15</v>
      </c>
      <c r="G17" s="6">
        <f>IFERROR(__xludf.DUMMYFUNCTION("""COMPUTED_VALUE"""),0.30000000000000004)</f>
        <v>0.3</v>
      </c>
      <c r="H17" s="4" t="str">
        <f>IFERROR(__xludf.DUMMYFUNCTION("""COMPUTED_VALUE"""),"PHB 2024")</f>
        <v>PHB 2024</v>
      </c>
      <c r="I17" s="4"/>
      <c r="J17" s="4" t="str">
        <f>IFERROR(__xludf.DUMMYFUNCTION("""COMPUTED_VALUE"""),"x")</f>
        <v>x</v>
      </c>
      <c r="K17" s="4" t="str">
        <f>IFERROR(__xludf.DUMMYFUNCTION("""COMPUTED_VALUE"""),"x")</f>
        <v>x</v>
      </c>
      <c r="L17" s="7"/>
      <c r="M17" s="7"/>
      <c r="N17" s="7"/>
      <c r="O17" s="7" t="str">
        <f>IFERROR(__xludf.DUMMYFUNCTION("""COMPUTED_VALUE"""),"x")</f>
        <v>x</v>
      </c>
      <c r="P17" s="4" t="str">
        <f>IFERROR(__xludf.DUMMYFUNCTION("""COMPUTED_VALUE"""),"x")</f>
        <v>x</v>
      </c>
      <c r="Q17" s="7" t="str">
        <f>IFERROR(__xludf.DUMMYFUNCTION("""COMPUTED_VALUE"""),"x")</f>
        <v>x</v>
      </c>
      <c r="R17" s="7"/>
      <c r="S17" s="7"/>
      <c r="T17" s="7"/>
      <c r="U17" s="7" t="str">
        <f>IFERROR(__xludf.DUMMYFUNCTION("""COMPUTED_VALUE"""),"x")</f>
        <v>x</v>
      </c>
      <c r="V17" s="7"/>
      <c r="W17" s="7"/>
      <c r="X17" s="7"/>
      <c r="Y17" s="7"/>
    </row>
    <row r="18">
      <c r="A18" s="4" t="str">
        <f>IFERROR(__xludf.DUMMYFUNCTION("""COMPUTED_VALUE"""),"Adventuring Gear")</f>
        <v>Adventuring Gear</v>
      </c>
      <c r="B18" s="4" t="str">
        <f>IFERROR(__xludf.DUMMYFUNCTION("""COMPUTED_VALUE"""),"-")</f>
        <v>-</v>
      </c>
      <c r="C18" s="8" t="str">
        <f>IFERROR(__xludf.DUMMYFUNCTION("""COMPUTED_VALUE"""),"Parchment")</f>
        <v>Parchment</v>
      </c>
      <c r="D18" s="5" t="str">
        <f>IFERROR(__xludf.DUMMYFUNCTION("""COMPUTED_VALUE"""),"-")</f>
        <v>-</v>
      </c>
      <c r="E18" s="6">
        <f>IFERROR(__xludf.DUMMYFUNCTION("""COMPUTED_VALUE"""),0.1)</f>
        <v>0.1</v>
      </c>
      <c r="F18" s="6">
        <f>IFERROR(__xludf.DUMMYFUNCTION("""COMPUTED_VALUE"""),0.07500000000000001)</f>
        <v>0.075</v>
      </c>
      <c r="G18" s="6">
        <f>IFERROR(__xludf.DUMMYFUNCTION("""COMPUTED_VALUE"""),0.15000000000000002)</f>
        <v>0.15</v>
      </c>
      <c r="H18" s="4" t="str">
        <f>IFERROR(__xludf.DUMMYFUNCTION("""COMPUTED_VALUE"""),"PHB 2024")</f>
        <v>PHB 2024</v>
      </c>
      <c r="I18" s="4" t="str">
        <f>IFERROR(__xludf.DUMMYFUNCTION("""COMPUTED_VALUE"""),"x")</f>
        <v>x</v>
      </c>
      <c r="J18" s="4" t="str">
        <f>IFERROR(__xludf.DUMMYFUNCTION("""COMPUTED_VALUE"""),"x")</f>
        <v>x</v>
      </c>
      <c r="K18" s="4" t="str">
        <f>IFERROR(__xludf.DUMMYFUNCTION("""COMPUTED_VALUE"""),"x")</f>
        <v>x</v>
      </c>
      <c r="L18" s="7"/>
      <c r="M18" s="7"/>
      <c r="N18" s="7"/>
      <c r="O18" s="7" t="str">
        <f>IFERROR(__xludf.DUMMYFUNCTION("""COMPUTED_VALUE"""),"x")</f>
        <v>x</v>
      </c>
      <c r="P18" s="7" t="str">
        <f>IFERROR(__xludf.DUMMYFUNCTION("""COMPUTED_VALUE"""),"x")</f>
        <v>x</v>
      </c>
      <c r="Q18" s="7" t="str">
        <f>IFERROR(__xludf.DUMMYFUNCTION("""COMPUTED_VALUE"""),"x")</f>
        <v>x</v>
      </c>
      <c r="R18" s="4"/>
      <c r="S18" s="7"/>
      <c r="T18" s="7"/>
      <c r="U18" s="7" t="str">
        <f>IFERROR(__xludf.DUMMYFUNCTION("""COMPUTED_VALUE"""),"x")</f>
        <v>x</v>
      </c>
      <c r="V18" s="7"/>
      <c r="W18" s="7"/>
      <c r="X18" s="7"/>
      <c r="Y18" s="7"/>
    </row>
    <row r="19">
      <c r="A19" s="4" t="str">
        <f>IFERROR(__xludf.DUMMYFUNCTION("""COMPUTED_VALUE"""),"Adventuring Gear")</f>
        <v>Adventuring Gear</v>
      </c>
      <c r="B19" s="4" t="str">
        <f>IFERROR(__xludf.DUMMYFUNCTION("""COMPUTED_VALUE"""),"-")</f>
        <v>-</v>
      </c>
      <c r="C19" s="8" t="str">
        <f>IFERROR(__xludf.DUMMYFUNCTION("""COMPUTED_VALUE"""),"Pouch")</f>
        <v>Pouch</v>
      </c>
      <c r="D19" s="5">
        <f>IFERROR(__xludf.DUMMYFUNCTION("""COMPUTED_VALUE"""),1.0)</f>
        <v>1</v>
      </c>
      <c r="E19" s="6">
        <f>IFERROR(__xludf.DUMMYFUNCTION("""COMPUTED_VALUE"""),0.5)</f>
        <v>0.5</v>
      </c>
      <c r="F19" s="6">
        <f>IFERROR(__xludf.DUMMYFUNCTION("""COMPUTED_VALUE"""),0.375)</f>
        <v>0.375</v>
      </c>
      <c r="G19" s="6">
        <f>IFERROR(__xludf.DUMMYFUNCTION("""COMPUTED_VALUE"""),0.75)</f>
        <v>0.75</v>
      </c>
      <c r="H19" s="4" t="str">
        <f>IFERROR(__xludf.DUMMYFUNCTION("""COMPUTED_VALUE"""),"PHB 2024")</f>
        <v>PHB 2024</v>
      </c>
      <c r="I19" s="4" t="str">
        <f>IFERROR(__xludf.DUMMYFUNCTION("""COMPUTED_VALUE"""),"x")</f>
        <v>x</v>
      </c>
      <c r="J19" s="4" t="str">
        <f>IFERROR(__xludf.DUMMYFUNCTION("""COMPUTED_VALUE"""),"x")</f>
        <v>x</v>
      </c>
      <c r="K19" s="4" t="str">
        <f>IFERROR(__xludf.DUMMYFUNCTION("""COMPUTED_VALUE"""),"x")</f>
        <v>x</v>
      </c>
      <c r="L19" s="7"/>
      <c r="M19" s="7"/>
      <c r="N19" s="7"/>
      <c r="O19" s="7"/>
      <c r="P19" s="7" t="str">
        <f>IFERROR(__xludf.DUMMYFUNCTION("""COMPUTED_VALUE"""),"x")</f>
        <v>x</v>
      </c>
      <c r="Q19" s="4" t="str">
        <f>IFERROR(__xludf.DUMMYFUNCTION("""COMPUTED_VALUE"""),"x")</f>
        <v>x</v>
      </c>
      <c r="R19" s="7" t="str">
        <f>IFERROR(__xludf.DUMMYFUNCTION("""COMPUTED_VALUE"""),"x")</f>
        <v>x</v>
      </c>
      <c r="S19" s="7"/>
      <c r="T19" s="7" t="str">
        <f>IFERROR(__xludf.DUMMYFUNCTION("""COMPUTED_VALUE"""),"x")</f>
        <v>x</v>
      </c>
      <c r="U19" s="7" t="str">
        <f>IFERROR(__xludf.DUMMYFUNCTION("""COMPUTED_VALUE"""),"x")</f>
        <v>x</v>
      </c>
      <c r="V19" s="7"/>
      <c r="W19" s="7"/>
      <c r="X19" s="7"/>
      <c r="Y19" s="7" t="str">
        <f>IFERROR(__xludf.DUMMYFUNCTION("""COMPUTED_VALUE"""),"x")</f>
        <v>x</v>
      </c>
    </row>
    <row r="20">
      <c r="A20" s="4" t="str">
        <f>IFERROR(__xludf.DUMMYFUNCTION("""COMPUTED_VALUE"""),"Adventuring Gear")</f>
        <v>Adventuring Gear</v>
      </c>
      <c r="B20" s="4" t="str">
        <f>IFERROR(__xludf.DUMMYFUNCTION("""COMPUTED_VALUE"""),"-")</f>
        <v>-</v>
      </c>
      <c r="C20" s="8" t="str">
        <f>IFERROR(__xludf.DUMMYFUNCTION("""COMPUTED_VALUE"""),"Rations")</f>
        <v>Rations</v>
      </c>
      <c r="D20" s="5">
        <f>IFERROR(__xludf.DUMMYFUNCTION("""COMPUTED_VALUE"""),2.0)</f>
        <v>2</v>
      </c>
      <c r="E20" s="6">
        <f>IFERROR(__xludf.DUMMYFUNCTION("""COMPUTED_VALUE"""),0.5)</f>
        <v>0.5</v>
      </c>
      <c r="F20" s="6">
        <f>IFERROR(__xludf.DUMMYFUNCTION("""COMPUTED_VALUE"""),0.375)</f>
        <v>0.375</v>
      </c>
      <c r="G20" s="6">
        <f>IFERROR(__xludf.DUMMYFUNCTION("""COMPUTED_VALUE"""),0.75)</f>
        <v>0.75</v>
      </c>
      <c r="H20" s="4" t="str">
        <f>IFERROR(__xludf.DUMMYFUNCTION("""COMPUTED_VALUE"""),"PHB 2024")</f>
        <v>PHB 2024</v>
      </c>
      <c r="I20" s="4" t="str">
        <f>IFERROR(__xludf.DUMMYFUNCTION("""COMPUTED_VALUE"""),"x")</f>
        <v>x</v>
      </c>
      <c r="J20" s="4" t="str">
        <f>IFERROR(__xludf.DUMMYFUNCTION("""COMPUTED_VALUE"""),"x")</f>
        <v>x</v>
      </c>
      <c r="K20" s="4" t="str">
        <f>IFERROR(__xludf.DUMMYFUNCTION("""COMPUTED_VALUE"""),"x")</f>
        <v>x</v>
      </c>
      <c r="L20" s="4"/>
      <c r="M20" s="7"/>
      <c r="N20" s="7"/>
      <c r="O20" s="4" t="str">
        <f>IFERROR(__xludf.DUMMYFUNCTION("""COMPUTED_VALUE"""),"x")</f>
        <v>x</v>
      </c>
      <c r="P20" s="7"/>
      <c r="Q20" s="7" t="str">
        <f>IFERROR(__xludf.DUMMYFUNCTION("""COMPUTED_VALUE"""),"x")</f>
        <v>x</v>
      </c>
      <c r="R20" s="7" t="str">
        <f>IFERROR(__xludf.DUMMYFUNCTION("""COMPUTED_VALUE"""),"x")</f>
        <v>x</v>
      </c>
      <c r="S20" s="7"/>
      <c r="T20" s="7"/>
      <c r="U20" s="7" t="str">
        <f>IFERROR(__xludf.DUMMYFUNCTION("""COMPUTED_VALUE"""),"x")</f>
        <v>x</v>
      </c>
      <c r="V20" s="7"/>
      <c r="W20" s="7"/>
      <c r="X20" s="7"/>
      <c r="Y20" s="7"/>
    </row>
    <row r="21">
      <c r="A21" s="4" t="str">
        <f>IFERROR(__xludf.DUMMYFUNCTION("""COMPUTED_VALUE"""),"Adventuring Gear")</f>
        <v>Adventuring Gear</v>
      </c>
      <c r="B21" s="4" t="str">
        <f>IFERROR(__xludf.DUMMYFUNCTION("""COMPUTED_VALUE"""),"-")</f>
        <v>-</v>
      </c>
      <c r="C21" s="8" t="str">
        <f>IFERROR(__xludf.DUMMYFUNCTION("""COMPUTED_VALUE"""),"Spell Scroll (Cantrip)")</f>
        <v>Spell Scroll (Cantrip)</v>
      </c>
      <c r="D21" s="5" t="str">
        <f>IFERROR(__xludf.DUMMYFUNCTION("""COMPUTED_VALUE"""),"-")</f>
        <v>-</v>
      </c>
      <c r="E21" s="6">
        <f>IFERROR(__xludf.DUMMYFUNCTION("""COMPUTED_VALUE"""),30.0)</f>
        <v>30</v>
      </c>
      <c r="F21" s="6">
        <f>IFERROR(__xludf.DUMMYFUNCTION("""COMPUTED_VALUE"""),22.5)</f>
        <v>22.5</v>
      </c>
      <c r="G21" s="6">
        <f>IFERROR(__xludf.DUMMYFUNCTION("""COMPUTED_VALUE"""),45.0)</f>
        <v>45</v>
      </c>
      <c r="H21" s="4" t="str">
        <f>IFERROR(__xludf.DUMMYFUNCTION("""COMPUTED_VALUE"""),"PHB 2024")</f>
        <v>PHB 2024</v>
      </c>
      <c r="I21" s="4" t="str">
        <f>IFERROR(__xludf.DUMMYFUNCTION("""COMPUTED_VALUE"""),"x")</f>
        <v>x</v>
      </c>
      <c r="J21" s="4" t="str">
        <f>IFERROR(__xludf.DUMMYFUNCTION("""COMPUTED_VALUE"""),"x")</f>
        <v>x</v>
      </c>
      <c r="K21" s="4" t="str">
        <f>IFERROR(__xludf.DUMMYFUNCTION("""COMPUTED_VALUE"""),"x")</f>
        <v>x</v>
      </c>
      <c r="L21" s="7"/>
      <c r="M21" s="7"/>
      <c r="N21" s="7"/>
      <c r="O21" s="4"/>
      <c r="P21" s="4"/>
      <c r="Q21" s="4"/>
      <c r="R21" s="7"/>
      <c r="S21" s="7"/>
      <c r="T21" s="7"/>
      <c r="U21" s="7" t="str">
        <f>IFERROR(__xludf.DUMMYFUNCTION("""COMPUTED_VALUE"""),"x")</f>
        <v>x</v>
      </c>
      <c r="V21" s="7"/>
      <c r="W21" s="7"/>
      <c r="X21" s="7"/>
      <c r="Y21" s="7"/>
    </row>
    <row r="22">
      <c r="A22" s="4" t="str">
        <f>IFERROR(__xludf.DUMMYFUNCTION("""COMPUTED_VALUE"""),"Adventuring Gear")</f>
        <v>Adventuring Gear</v>
      </c>
      <c r="B22" s="4" t="str">
        <f>IFERROR(__xludf.DUMMYFUNCTION("""COMPUTED_VALUE"""),"-")</f>
        <v>-</v>
      </c>
      <c r="C22" s="8" t="str">
        <f>IFERROR(__xludf.DUMMYFUNCTION("""COMPUTED_VALUE"""),"Spell Scroll (Level 1)")</f>
        <v>Spell Scroll (Level 1)</v>
      </c>
      <c r="D22" s="5" t="str">
        <f>IFERROR(__xludf.DUMMYFUNCTION("""COMPUTED_VALUE"""),"-")</f>
        <v>-</v>
      </c>
      <c r="E22" s="6">
        <f>IFERROR(__xludf.DUMMYFUNCTION("""COMPUTED_VALUE"""),50.0)</f>
        <v>50</v>
      </c>
      <c r="F22" s="6">
        <f>IFERROR(__xludf.DUMMYFUNCTION("""COMPUTED_VALUE"""),37.5)</f>
        <v>37.5</v>
      </c>
      <c r="G22" s="6">
        <f>IFERROR(__xludf.DUMMYFUNCTION("""COMPUTED_VALUE"""),75.0)</f>
        <v>75</v>
      </c>
      <c r="H22" s="4" t="str">
        <f>IFERROR(__xludf.DUMMYFUNCTION("""COMPUTED_VALUE"""),"PHB 2024")</f>
        <v>PHB 2024</v>
      </c>
      <c r="I22" s="4" t="str">
        <f>IFERROR(__xludf.DUMMYFUNCTION("""COMPUTED_VALUE"""),"x")</f>
        <v>x</v>
      </c>
      <c r="J22" s="4" t="str">
        <f>IFERROR(__xludf.DUMMYFUNCTION("""COMPUTED_VALUE"""),"x")</f>
        <v>x</v>
      </c>
      <c r="K22" s="4" t="str">
        <f>IFERROR(__xludf.DUMMYFUNCTION("""COMPUTED_VALUE"""),"x")</f>
        <v>x</v>
      </c>
      <c r="L22" s="4"/>
      <c r="M22" s="7"/>
      <c r="N22" s="7"/>
      <c r="O22" s="7"/>
      <c r="P22" s="7"/>
      <c r="Q22" s="4"/>
      <c r="R22" s="7"/>
      <c r="S22" s="7"/>
      <c r="T22" s="7"/>
      <c r="U22" s="7" t="str">
        <f>IFERROR(__xludf.DUMMYFUNCTION("""COMPUTED_VALUE"""),"x")</f>
        <v>x</v>
      </c>
      <c r="V22" s="7"/>
      <c r="W22" s="7"/>
      <c r="X22" s="7"/>
      <c r="Y22" s="7"/>
    </row>
    <row r="23">
      <c r="A23" s="4" t="str">
        <f>IFERROR(__xludf.DUMMYFUNCTION("""COMPUTED_VALUE"""),"Adventuring Gear")</f>
        <v>Adventuring Gear</v>
      </c>
      <c r="B23" s="4" t="str">
        <f>IFERROR(__xludf.DUMMYFUNCTION("""COMPUTED_VALUE"""),"-")</f>
        <v>-</v>
      </c>
      <c r="C23" s="8" t="str">
        <f>IFERROR(__xludf.DUMMYFUNCTION("""COMPUTED_VALUE"""),"Vial")</f>
        <v>Vial</v>
      </c>
      <c r="D23" s="5" t="str">
        <f>IFERROR(__xludf.DUMMYFUNCTION("""COMPUTED_VALUE"""),"-")</f>
        <v>-</v>
      </c>
      <c r="E23" s="6">
        <f>IFERROR(__xludf.DUMMYFUNCTION("""COMPUTED_VALUE"""),1.0)</f>
        <v>1</v>
      </c>
      <c r="F23" s="6">
        <f>IFERROR(__xludf.DUMMYFUNCTION("""COMPUTED_VALUE"""),0.75)</f>
        <v>0.75</v>
      </c>
      <c r="G23" s="6">
        <f>IFERROR(__xludf.DUMMYFUNCTION("""COMPUTED_VALUE"""),1.5)</f>
        <v>1.5</v>
      </c>
      <c r="H23" s="4" t="str">
        <f>IFERROR(__xludf.DUMMYFUNCTION("""COMPUTED_VALUE"""),"PHB 2024")</f>
        <v>PHB 2024</v>
      </c>
      <c r="I23" s="4" t="str">
        <f>IFERROR(__xludf.DUMMYFUNCTION("""COMPUTED_VALUE"""),"x")</f>
        <v>x</v>
      </c>
      <c r="J23" s="4" t="str">
        <f>IFERROR(__xludf.DUMMYFUNCTION("""COMPUTED_VALUE"""),"x")</f>
        <v>x</v>
      </c>
      <c r="K23" s="4" t="str">
        <f>IFERROR(__xludf.DUMMYFUNCTION("""COMPUTED_VALUE"""),"x")</f>
        <v>x</v>
      </c>
      <c r="L23" s="7"/>
      <c r="M23" s="7"/>
      <c r="N23" s="7"/>
      <c r="O23" s="4" t="str">
        <f>IFERROR(__xludf.DUMMYFUNCTION("""COMPUTED_VALUE"""),"x")</f>
        <v>x</v>
      </c>
      <c r="P23" s="7" t="str">
        <f>IFERROR(__xludf.DUMMYFUNCTION("""COMPUTED_VALUE"""),"x")</f>
        <v>x</v>
      </c>
      <c r="Q23" s="7" t="str">
        <f>IFERROR(__xludf.DUMMYFUNCTION("""COMPUTED_VALUE"""),"x")</f>
        <v>x</v>
      </c>
      <c r="R23" s="7"/>
      <c r="S23" s="7"/>
      <c r="T23" s="7" t="str">
        <f>IFERROR(__xludf.DUMMYFUNCTION("""COMPUTED_VALUE"""),"x")</f>
        <v>x</v>
      </c>
      <c r="U23" s="4" t="str">
        <f>IFERROR(__xludf.DUMMYFUNCTION("""COMPUTED_VALUE"""),"x")</f>
        <v>x</v>
      </c>
      <c r="V23" s="7"/>
      <c r="W23" s="7" t="str">
        <f>IFERROR(__xludf.DUMMYFUNCTION("""COMPUTED_VALUE"""),"x")</f>
        <v>x</v>
      </c>
      <c r="X23" s="7"/>
      <c r="Y23" s="7"/>
    </row>
    <row r="24">
      <c r="A24" s="4" t="str">
        <f>IFERROR(__xludf.DUMMYFUNCTION("""COMPUTED_VALUE"""),"Tools")</f>
        <v>Tools</v>
      </c>
      <c r="B24" s="4" t="str">
        <f>IFERROR(__xludf.DUMMYFUNCTION("""COMPUTED_VALUE"""),"Artisan's Tools")</f>
        <v>Artisan's Tools</v>
      </c>
      <c r="C24" s="8" t="str">
        <f>IFERROR(__xludf.DUMMYFUNCTION("""COMPUTED_VALUE"""),"Alchemist's Supplies")</f>
        <v>Alchemist's Supplies</v>
      </c>
      <c r="D24" s="5">
        <f>IFERROR(__xludf.DUMMYFUNCTION("""COMPUTED_VALUE"""),8.0)</f>
        <v>8</v>
      </c>
      <c r="E24" s="6">
        <f>IFERROR(__xludf.DUMMYFUNCTION("""COMPUTED_VALUE"""),50.0)</f>
        <v>50</v>
      </c>
      <c r="F24" s="6">
        <f>IFERROR(__xludf.DUMMYFUNCTION("""COMPUTED_VALUE"""),37.5)</f>
        <v>37.5</v>
      </c>
      <c r="G24" s="6">
        <f>IFERROR(__xludf.DUMMYFUNCTION("""COMPUTED_VALUE"""),75.0)</f>
        <v>75</v>
      </c>
      <c r="H24" s="4" t="str">
        <f>IFERROR(__xludf.DUMMYFUNCTION("""COMPUTED_VALUE"""),"PHB 2024")</f>
        <v>PHB 2024</v>
      </c>
      <c r="I24" s="4"/>
      <c r="J24" s="4" t="str">
        <f>IFERROR(__xludf.DUMMYFUNCTION("""COMPUTED_VALUE"""),"x")</f>
        <v>x</v>
      </c>
      <c r="K24" s="4" t="str">
        <f>IFERROR(__xludf.DUMMYFUNCTION("""COMPUTED_VALUE"""),"x")</f>
        <v>x</v>
      </c>
      <c r="L24" s="7"/>
      <c r="M24" s="7"/>
      <c r="N24" s="7"/>
      <c r="O24" s="7"/>
      <c r="P24" s="4"/>
      <c r="Q24" s="4"/>
      <c r="R24" s="7"/>
      <c r="S24" s="7"/>
      <c r="T24" s="7" t="str">
        <f>IFERROR(__xludf.DUMMYFUNCTION("""COMPUTED_VALUE"""),"x")</f>
        <v>x</v>
      </c>
      <c r="U24" s="4" t="str">
        <f>IFERROR(__xludf.DUMMYFUNCTION("""COMPUTED_VALUE"""),"x")</f>
        <v>x</v>
      </c>
      <c r="V24" s="7"/>
      <c r="W24" s="7"/>
      <c r="X24" s="7"/>
      <c r="Y24" s="7"/>
    </row>
    <row r="25">
      <c r="A25" s="4" t="str">
        <f>IFERROR(__xludf.DUMMYFUNCTION("""COMPUTED_VALUE"""),"Tools")</f>
        <v>Tools</v>
      </c>
      <c r="B25" s="4" t="str">
        <f>IFERROR(__xludf.DUMMYFUNCTION("""COMPUTED_VALUE"""),"Artisan's Tools")</f>
        <v>Artisan's Tools</v>
      </c>
      <c r="C25" s="8" t="str">
        <f>IFERROR(__xludf.DUMMYFUNCTION("""COMPUTED_VALUE"""),"Calligrapher's Supplies")</f>
        <v>Calligrapher's Supplies</v>
      </c>
      <c r="D25" s="5">
        <f>IFERROR(__xludf.DUMMYFUNCTION("""COMPUTED_VALUE"""),5.0)</f>
        <v>5</v>
      </c>
      <c r="E25" s="6">
        <f>IFERROR(__xludf.DUMMYFUNCTION("""COMPUTED_VALUE"""),10.0)</f>
        <v>10</v>
      </c>
      <c r="F25" s="6">
        <f>IFERROR(__xludf.DUMMYFUNCTION("""COMPUTED_VALUE"""),7.5)</f>
        <v>7.5</v>
      </c>
      <c r="G25" s="6">
        <f>IFERROR(__xludf.DUMMYFUNCTION("""COMPUTED_VALUE"""),15.0)</f>
        <v>15</v>
      </c>
      <c r="H25" s="4" t="str">
        <f>IFERROR(__xludf.DUMMYFUNCTION("""COMPUTED_VALUE"""),"PHB 2024")</f>
        <v>PHB 2024</v>
      </c>
      <c r="I25" s="4"/>
      <c r="J25" s="4" t="str">
        <f>IFERROR(__xludf.DUMMYFUNCTION("""COMPUTED_VALUE"""),"x")</f>
        <v>x</v>
      </c>
      <c r="K25" s="4" t="str">
        <f>IFERROR(__xludf.DUMMYFUNCTION("""COMPUTED_VALUE"""),"x")</f>
        <v>x</v>
      </c>
      <c r="L25" s="7"/>
      <c r="M25" s="7"/>
      <c r="N25" s="7"/>
      <c r="O25" s="7" t="str">
        <f>IFERROR(__xludf.DUMMYFUNCTION("""COMPUTED_VALUE"""),"x")</f>
        <v>x</v>
      </c>
      <c r="P25" s="4"/>
      <c r="Q25" s="7"/>
      <c r="R25" s="7"/>
      <c r="S25" s="7"/>
      <c r="T25" s="7"/>
      <c r="U25" s="7" t="str">
        <f>IFERROR(__xludf.DUMMYFUNCTION("""COMPUTED_VALUE"""),"x")</f>
        <v>x</v>
      </c>
      <c r="V25" s="7"/>
      <c r="W25" s="7"/>
      <c r="X25" s="7"/>
      <c r="Y25" s="7"/>
    </row>
    <row r="26">
      <c r="A26" s="4" t="str">
        <f>IFERROR(__xludf.DUMMYFUNCTION("""COMPUTED_VALUE"""),"Weapons")</f>
        <v>Weapons</v>
      </c>
      <c r="B26" s="4" t="str">
        <f>IFERROR(__xludf.DUMMYFUNCTION("""COMPUTED_VALUE"""),"Simple Melee Weapons")</f>
        <v>Simple Melee Weapons</v>
      </c>
      <c r="C26" s="8" t="str">
        <f>IFERROR(__xludf.DUMMYFUNCTION("""COMPUTED_VALUE"""),"Quarterstaff")</f>
        <v>Quarterstaff</v>
      </c>
      <c r="D26" s="5">
        <f>IFERROR(__xludf.DUMMYFUNCTION("""COMPUTED_VALUE"""),4.0)</f>
        <v>4</v>
      </c>
      <c r="E26" s="6">
        <f>IFERROR(__xludf.DUMMYFUNCTION("""COMPUTED_VALUE"""),0.2)</f>
        <v>0.2</v>
      </c>
      <c r="F26" s="6">
        <f>IFERROR(__xludf.DUMMYFUNCTION("""COMPUTED_VALUE"""),0.15000000000000002)</f>
        <v>0.15</v>
      </c>
      <c r="G26" s="6">
        <f>IFERROR(__xludf.DUMMYFUNCTION("""COMPUTED_VALUE"""),0.30000000000000004)</f>
        <v>0.3</v>
      </c>
      <c r="H26" s="4" t="str">
        <f>IFERROR(__xludf.DUMMYFUNCTION("""COMPUTED_VALUE"""),"PHB 2024")</f>
        <v>PHB 2024</v>
      </c>
      <c r="I26" s="4" t="str">
        <f>IFERROR(__xludf.DUMMYFUNCTION("""COMPUTED_VALUE"""),"x")</f>
        <v>x</v>
      </c>
      <c r="J26" s="4" t="str">
        <f>IFERROR(__xludf.DUMMYFUNCTION("""COMPUTED_VALUE"""),"x")</f>
        <v>x</v>
      </c>
      <c r="K26" s="4" t="str">
        <f>IFERROR(__xludf.DUMMYFUNCTION("""COMPUTED_VALUE"""),"x")</f>
        <v>x</v>
      </c>
      <c r="L26" s="7"/>
      <c r="M26" s="7"/>
      <c r="N26" s="7"/>
      <c r="O26" s="7"/>
      <c r="P26" s="7"/>
      <c r="Q26" s="7" t="str">
        <f>IFERROR(__xludf.DUMMYFUNCTION("""COMPUTED_VALUE"""),"x")</f>
        <v>x</v>
      </c>
      <c r="R26" s="7"/>
      <c r="S26" s="7"/>
      <c r="T26" s="7"/>
      <c r="U26" s="7" t="str">
        <f>IFERROR(__xludf.DUMMYFUNCTION("""COMPUTED_VALUE"""),"x")</f>
        <v>x</v>
      </c>
      <c r="V26" s="7"/>
      <c r="W26" s="4"/>
      <c r="X26" s="7"/>
      <c r="Y26" s="7"/>
    </row>
    <row r="27">
      <c r="A27" s="4"/>
      <c r="B27" s="4"/>
      <c r="C27" s="4"/>
      <c r="D27" s="5"/>
      <c r="E27" s="6"/>
      <c r="F27" s="6"/>
      <c r="G27" s="6"/>
      <c r="H27" s="4"/>
      <c r="I27" s="4"/>
      <c r="J27" s="4"/>
      <c r="K27" s="4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4"/>
      <c r="X27" s="7"/>
      <c r="Y27" s="7"/>
    </row>
    <row r="28">
      <c r="A28" s="4"/>
      <c r="B28" s="4"/>
      <c r="C28" s="4"/>
      <c r="D28" s="5"/>
      <c r="E28" s="6"/>
      <c r="F28" s="6"/>
      <c r="G28" s="6"/>
      <c r="H28" s="4"/>
      <c r="I28" s="4"/>
      <c r="J28" s="4"/>
      <c r="K28" s="4"/>
      <c r="L28" s="7"/>
      <c r="M28" s="7"/>
      <c r="N28" s="7"/>
      <c r="O28" s="4"/>
      <c r="P28" s="4"/>
      <c r="Q28" s="4"/>
      <c r="R28" s="7"/>
      <c r="S28" s="7"/>
      <c r="T28" s="7"/>
      <c r="U28" s="4"/>
      <c r="V28" s="7"/>
      <c r="W28" s="7"/>
      <c r="X28" s="7"/>
      <c r="Y28" s="7"/>
    </row>
    <row r="29">
      <c r="A29" s="4"/>
      <c r="B29" s="4"/>
      <c r="C29" s="4"/>
      <c r="D29" s="5"/>
      <c r="E29" s="6"/>
      <c r="F29" s="6"/>
      <c r="G29" s="6"/>
      <c r="H29" s="4"/>
      <c r="I29" s="4"/>
      <c r="J29" s="4"/>
      <c r="K29" s="4"/>
      <c r="L29" s="7"/>
      <c r="M29" s="4"/>
      <c r="N29" s="7"/>
      <c r="O29" s="7"/>
      <c r="P29" s="7"/>
      <c r="Q29" s="4"/>
      <c r="R29" s="7"/>
      <c r="S29" s="7"/>
      <c r="T29" s="7"/>
      <c r="U29" s="7"/>
      <c r="V29" s="7"/>
      <c r="W29" s="7"/>
      <c r="X29" s="7"/>
      <c r="Y29" s="7"/>
    </row>
    <row r="30">
      <c r="A30" s="4"/>
      <c r="B30" s="4"/>
      <c r="C30" s="8"/>
      <c r="D30" s="5"/>
      <c r="E30" s="6"/>
      <c r="F30" s="6"/>
      <c r="G30" s="6"/>
      <c r="H30" s="4"/>
      <c r="I30" s="4"/>
      <c r="J30" s="4"/>
      <c r="K30" s="4"/>
      <c r="L30" s="7"/>
      <c r="M30" s="7"/>
      <c r="N30" s="7"/>
      <c r="O30" s="4"/>
      <c r="P30" s="7"/>
      <c r="Q30" s="4"/>
      <c r="R30" s="7"/>
      <c r="S30" s="7"/>
      <c r="T30" s="7"/>
      <c r="U30" s="4"/>
      <c r="V30" s="7"/>
      <c r="W30" s="7"/>
      <c r="X30" s="7"/>
      <c r="Y30" s="7"/>
    </row>
    <row r="31">
      <c r="A31" s="4"/>
      <c r="B31" s="4"/>
      <c r="C31" s="8"/>
      <c r="D31" s="5"/>
      <c r="E31" s="6"/>
      <c r="F31" s="6"/>
      <c r="G31" s="6"/>
      <c r="H31" s="4"/>
      <c r="I31" s="4"/>
      <c r="J31" s="4"/>
      <c r="K31" s="4"/>
      <c r="L31" s="4"/>
      <c r="M31" s="7"/>
      <c r="N31" s="7"/>
      <c r="O31" s="7"/>
      <c r="P31" s="7"/>
      <c r="Q31" s="4"/>
      <c r="R31" s="7"/>
      <c r="S31" s="7"/>
      <c r="T31" s="7"/>
      <c r="U31" s="7"/>
      <c r="V31" s="7"/>
      <c r="W31" s="7"/>
      <c r="X31" s="7"/>
      <c r="Y31" s="7"/>
    </row>
    <row r="32">
      <c r="A32" s="4"/>
      <c r="B32" s="4"/>
      <c r="C32" s="8"/>
      <c r="D32" s="5"/>
      <c r="E32" s="6"/>
      <c r="F32" s="6"/>
      <c r="G32" s="6"/>
      <c r="H32" s="4"/>
      <c r="I32" s="4"/>
      <c r="J32" s="4"/>
      <c r="K32" s="4"/>
      <c r="L32" s="7"/>
      <c r="M32" s="7"/>
      <c r="N32" s="7"/>
      <c r="O32" s="7"/>
      <c r="P32" s="4"/>
      <c r="Q32" s="4"/>
      <c r="R32" s="7"/>
      <c r="S32" s="7"/>
      <c r="T32" s="7"/>
      <c r="U32" s="7"/>
      <c r="V32" s="7"/>
      <c r="W32" s="7"/>
      <c r="X32" s="7"/>
      <c r="Y32" s="7"/>
    </row>
    <row r="33">
      <c r="A33" s="4"/>
      <c r="B33" s="4"/>
      <c r="C33" s="8"/>
      <c r="D33" s="5"/>
      <c r="E33" s="6"/>
      <c r="F33" s="6"/>
      <c r="G33" s="6"/>
      <c r="H33" s="4"/>
      <c r="I33" s="4"/>
      <c r="J33" s="4"/>
      <c r="K33" s="4"/>
      <c r="L33" s="7"/>
      <c r="M33" s="7"/>
      <c r="N33" s="7"/>
      <c r="O33" s="7"/>
      <c r="P33" s="7"/>
      <c r="Q33" s="4"/>
      <c r="R33" s="7"/>
      <c r="S33" s="7"/>
      <c r="T33" s="7"/>
      <c r="U33" s="7"/>
      <c r="V33" s="7"/>
      <c r="W33" s="7"/>
      <c r="X33" s="7"/>
      <c r="Y33" s="7"/>
    </row>
    <row r="34">
      <c r="A34" s="4"/>
      <c r="B34" s="4"/>
      <c r="C34" s="8"/>
      <c r="D34" s="5"/>
      <c r="E34" s="6"/>
      <c r="F34" s="6"/>
      <c r="G34" s="6"/>
      <c r="H34" s="4"/>
      <c r="I34" s="4"/>
      <c r="J34" s="4"/>
      <c r="K34" s="4"/>
      <c r="L34" s="7"/>
      <c r="M34" s="7"/>
      <c r="N34" s="7"/>
      <c r="O34" s="7"/>
      <c r="P34" s="4"/>
      <c r="Q34" s="7"/>
      <c r="R34" s="4"/>
      <c r="S34" s="7"/>
      <c r="T34" s="7"/>
      <c r="U34" s="7"/>
      <c r="V34" s="7"/>
      <c r="W34" s="7"/>
      <c r="X34" s="7"/>
      <c r="Y34" s="7"/>
    </row>
    <row r="35">
      <c r="A35" s="4"/>
      <c r="B35" s="4"/>
      <c r="C35" s="8"/>
      <c r="D35" s="5"/>
      <c r="E35" s="6"/>
      <c r="F35" s="6"/>
      <c r="G35" s="6"/>
      <c r="H35" s="4"/>
      <c r="I35" s="4"/>
      <c r="J35" s="4"/>
      <c r="K35" s="4"/>
      <c r="L35" s="7"/>
      <c r="M35" s="7"/>
      <c r="N35" s="7"/>
      <c r="O35" s="7"/>
      <c r="P35" s="7"/>
      <c r="Q35" s="4"/>
      <c r="R35" s="4"/>
      <c r="S35" s="7"/>
      <c r="T35" s="7"/>
      <c r="U35" s="7"/>
      <c r="V35" s="7"/>
      <c r="W35" s="7"/>
      <c r="X35" s="7"/>
      <c r="Y35" s="7"/>
    </row>
    <row r="36">
      <c r="A36" s="4"/>
      <c r="B36" s="4"/>
      <c r="C36" s="8"/>
      <c r="D36" s="5"/>
      <c r="E36" s="6"/>
      <c r="F36" s="6"/>
      <c r="G36" s="6"/>
      <c r="H36" s="4"/>
      <c r="I36" s="4"/>
      <c r="J36" s="4"/>
      <c r="K36" s="4"/>
      <c r="L36" s="7"/>
      <c r="M36" s="7"/>
      <c r="N36" s="7"/>
      <c r="O36" s="7"/>
      <c r="P36" s="7"/>
      <c r="Q36" s="7"/>
      <c r="R36" s="4"/>
      <c r="S36" s="7"/>
      <c r="T36" s="4"/>
      <c r="U36" s="4"/>
      <c r="V36" s="7"/>
      <c r="W36" s="7"/>
      <c r="X36" s="7"/>
      <c r="Y36" s="7"/>
    </row>
    <row r="37">
      <c r="A37" s="4"/>
      <c r="B37" s="4"/>
      <c r="C37" s="8"/>
      <c r="D37" s="5"/>
      <c r="E37" s="6"/>
      <c r="F37" s="6"/>
      <c r="G37" s="6"/>
      <c r="H37" s="4"/>
      <c r="I37" s="4"/>
      <c r="J37" s="4"/>
      <c r="K37" s="4"/>
      <c r="L37" s="7"/>
      <c r="M37" s="7"/>
      <c r="N37" s="7"/>
      <c r="O37" s="7"/>
      <c r="P37" s="7"/>
      <c r="Q37" s="7"/>
      <c r="R37" s="4"/>
      <c r="S37" s="7"/>
      <c r="T37" s="7"/>
      <c r="U37" s="7"/>
      <c r="V37" s="7"/>
      <c r="W37" s="4"/>
      <c r="X37" s="7"/>
      <c r="Y37" s="7"/>
    </row>
    <row r="38">
      <c r="A38" s="4"/>
      <c r="B38" s="4"/>
      <c r="C38" s="8"/>
      <c r="D38" s="5"/>
      <c r="E38" s="6"/>
      <c r="F38" s="6"/>
      <c r="G38" s="6"/>
      <c r="H38" s="4"/>
      <c r="I38" s="4"/>
      <c r="J38" s="4"/>
      <c r="K38" s="4"/>
      <c r="L38" s="4"/>
      <c r="M38" s="7"/>
      <c r="N38" s="7"/>
      <c r="O38" s="7"/>
      <c r="P38" s="7"/>
      <c r="Q38" s="4"/>
      <c r="R38" s="7"/>
      <c r="S38" s="7"/>
      <c r="T38" s="7"/>
      <c r="U38" s="7"/>
      <c r="V38" s="7"/>
      <c r="W38" s="4"/>
      <c r="X38" s="7"/>
      <c r="Y38" s="7"/>
    </row>
    <row r="39">
      <c r="A39" s="4"/>
      <c r="B39" s="4"/>
      <c r="C39" s="8"/>
      <c r="D39" s="5"/>
      <c r="E39" s="6"/>
      <c r="F39" s="6"/>
      <c r="G39" s="6"/>
      <c r="H39" s="4"/>
      <c r="I39" s="4"/>
      <c r="J39" s="4"/>
      <c r="K39" s="4"/>
      <c r="L39" s="7"/>
      <c r="M39" s="7"/>
      <c r="N39" s="7"/>
      <c r="O39" s="4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4"/>
      <c r="B40" s="8"/>
      <c r="C40" s="4"/>
      <c r="D40" s="5"/>
      <c r="E40" s="6"/>
      <c r="F40" s="6"/>
      <c r="G40" s="6"/>
      <c r="H40" s="4"/>
      <c r="I40" s="4"/>
      <c r="J40" s="4"/>
      <c r="K40" s="4"/>
      <c r="L40" s="7"/>
      <c r="M40" s="7"/>
      <c r="N40" s="7"/>
      <c r="O40" s="7"/>
      <c r="P40" s="7"/>
      <c r="Q40" s="7"/>
      <c r="R40" s="7"/>
      <c r="S40" s="7"/>
      <c r="T40" s="7"/>
      <c r="U40" s="4"/>
      <c r="V40" s="7"/>
      <c r="W40" s="7"/>
      <c r="X40" s="7"/>
      <c r="Y40" s="7"/>
    </row>
    <row r="41">
      <c r="A41" s="4"/>
      <c r="B41" s="8"/>
      <c r="C41" s="8"/>
      <c r="D41" s="5"/>
      <c r="E41" s="6"/>
      <c r="F41" s="6"/>
      <c r="G41" s="6"/>
      <c r="H41" s="4"/>
      <c r="I41" s="4"/>
      <c r="J41" s="4"/>
      <c r="K41" s="4"/>
      <c r="L41" s="7"/>
      <c r="M41" s="7"/>
      <c r="N41" s="7"/>
      <c r="O41" s="7"/>
      <c r="P41" s="7"/>
      <c r="Q41" s="7"/>
      <c r="R41" s="7"/>
      <c r="S41" s="7"/>
      <c r="T41" s="7"/>
      <c r="U41" s="4"/>
      <c r="V41" s="7"/>
      <c r="W41" s="7"/>
      <c r="X41" s="7"/>
      <c r="Y41" s="7"/>
    </row>
    <row r="42">
      <c r="A42" s="4"/>
      <c r="B42" s="8"/>
      <c r="C42" s="8"/>
      <c r="D42" s="5"/>
      <c r="E42" s="6"/>
      <c r="F42" s="6"/>
      <c r="G42" s="6"/>
      <c r="H42" s="4"/>
      <c r="I42" s="4"/>
      <c r="J42" s="4"/>
      <c r="K42" s="4"/>
      <c r="L42" s="7"/>
      <c r="M42" s="7"/>
      <c r="N42" s="7"/>
      <c r="O42" s="7"/>
      <c r="P42" s="7"/>
      <c r="Q42" s="7"/>
      <c r="R42" s="7"/>
      <c r="S42" s="7"/>
      <c r="T42" s="7"/>
      <c r="U42" s="4"/>
      <c r="V42" s="7"/>
      <c r="W42" s="7"/>
      <c r="X42" s="7"/>
      <c r="Y42" s="7"/>
    </row>
    <row r="43">
      <c r="A43" s="4"/>
      <c r="B43" s="4"/>
      <c r="C43" s="8"/>
      <c r="D43" s="5"/>
      <c r="E43" s="6"/>
      <c r="F43" s="6"/>
      <c r="G43" s="6"/>
      <c r="H43" s="4"/>
      <c r="I43" s="4"/>
      <c r="J43" s="4"/>
      <c r="K43" s="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4"/>
      <c r="B44" s="4"/>
      <c r="C44" s="8"/>
      <c r="D44" s="5"/>
      <c r="E44" s="6"/>
      <c r="F44" s="6"/>
      <c r="G44" s="6"/>
      <c r="H44" s="4"/>
      <c r="I44" s="4"/>
      <c r="J44" s="4"/>
      <c r="K44" s="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4"/>
      <c r="B45" s="4"/>
      <c r="C45" s="8"/>
      <c r="D45" s="5"/>
      <c r="E45" s="6"/>
      <c r="F45" s="6"/>
      <c r="G45" s="6"/>
      <c r="H45" s="4"/>
      <c r="I45" s="4"/>
      <c r="J45" s="4"/>
      <c r="K45" s="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4"/>
      <c r="B46" s="4"/>
      <c r="C46" s="8"/>
      <c r="D46" s="5"/>
      <c r="E46" s="6"/>
      <c r="F46" s="6"/>
      <c r="G46" s="6"/>
      <c r="H46" s="4"/>
      <c r="I46" s="4"/>
      <c r="J46" s="4"/>
      <c r="K46" s="4"/>
      <c r="L46" s="7"/>
      <c r="M46" s="7"/>
      <c r="N46" s="7"/>
      <c r="O46" s="4"/>
      <c r="P46" s="4"/>
      <c r="Q46" s="4"/>
      <c r="R46" s="7"/>
      <c r="S46" s="7"/>
      <c r="T46" s="4"/>
      <c r="U46" s="7"/>
      <c r="V46" s="7"/>
      <c r="W46" s="7"/>
      <c r="X46" s="7"/>
      <c r="Y46" s="7"/>
    </row>
    <row r="47">
      <c r="A47" s="4"/>
      <c r="B47" s="4"/>
      <c r="C47" s="8"/>
      <c r="D47" s="5"/>
      <c r="E47" s="6"/>
      <c r="F47" s="6"/>
      <c r="G47" s="6"/>
      <c r="H47" s="4"/>
      <c r="I47" s="4"/>
      <c r="J47" s="4"/>
      <c r="K47" s="4"/>
      <c r="L47" s="4"/>
      <c r="M47" s="7"/>
      <c r="N47" s="7"/>
      <c r="O47" s="7"/>
      <c r="P47" s="7"/>
      <c r="Q47" s="4"/>
      <c r="R47" s="7"/>
      <c r="S47" s="7"/>
      <c r="T47" s="7"/>
      <c r="U47" s="7"/>
      <c r="V47" s="7"/>
      <c r="W47" s="4"/>
      <c r="X47" s="7"/>
      <c r="Y47" s="7"/>
    </row>
    <row r="48">
      <c r="A48" s="4"/>
      <c r="B48" s="4"/>
      <c r="C48" s="8"/>
      <c r="D48" s="5"/>
      <c r="E48" s="6"/>
      <c r="F48" s="6"/>
      <c r="G48" s="6"/>
      <c r="H48" s="4"/>
      <c r="I48" s="4"/>
      <c r="J48" s="4"/>
      <c r="K48" s="4"/>
      <c r="L48" s="7"/>
      <c r="M48" s="7"/>
      <c r="N48" s="7"/>
      <c r="O48" s="4"/>
      <c r="P48" s="7"/>
      <c r="Q48" s="4"/>
      <c r="R48" s="7"/>
      <c r="S48" s="7"/>
      <c r="T48" s="7"/>
      <c r="U48" s="7"/>
      <c r="V48" s="7"/>
      <c r="W48" s="7"/>
      <c r="X48" s="7"/>
      <c r="Y48" s="7"/>
    </row>
    <row r="49">
      <c r="A49" s="4"/>
      <c r="B49" s="4"/>
      <c r="C49" s="8"/>
      <c r="D49" s="5"/>
      <c r="E49" s="6"/>
      <c r="F49" s="6"/>
      <c r="G49" s="6"/>
      <c r="H49" s="4"/>
      <c r="I49" s="4"/>
      <c r="J49" s="4"/>
      <c r="K49" s="4"/>
      <c r="L49" s="7"/>
      <c r="M49" s="7"/>
      <c r="N49" s="7"/>
      <c r="O49" s="4"/>
      <c r="P49" s="7"/>
      <c r="Q49" s="7"/>
      <c r="R49" s="7"/>
      <c r="S49" s="4"/>
      <c r="T49" s="7"/>
      <c r="U49" s="7"/>
      <c r="V49" s="7"/>
      <c r="W49" s="7"/>
      <c r="X49" s="7"/>
      <c r="Y49" s="7"/>
    </row>
    <row r="50">
      <c r="A50" s="4"/>
      <c r="B50" s="4"/>
      <c r="C50" s="8"/>
      <c r="D50" s="5"/>
      <c r="E50" s="6"/>
      <c r="F50" s="6"/>
      <c r="G50" s="6"/>
      <c r="H50" s="4"/>
      <c r="I50" s="4"/>
      <c r="J50" s="4"/>
      <c r="K50" s="4"/>
      <c r="L50" s="7"/>
      <c r="M50" s="7"/>
      <c r="N50" s="7"/>
      <c r="O50" s="4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4"/>
      <c r="B51" s="4"/>
      <c r="C51" s="8"/>
      <c r="D51" s="5"/>
      <c r="E51" s="6"/>
      <c r="F51" s="6"/>
      <c r="G51" s="6"/>
      <c r="H51" s="4"/>
      <c r="I51" s="4"/>
      <c r="J51" s="4"/>
      <c r="K51" s="4"/>
      <c r="L51" s="7"/>
      <c r="M51" s="7"/>
      <c r="N51" s="7"/>
      <c r="O51" s="4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4"/>
      <c r="B52" s="4"/>
      <c r="C52" s="8"/>
      <c r="D52" s="5"/>
      <c r="E52" s="6"/>
      <c r="F52" s="6"/>
      <c r="G52" s="6"/>
      <c r="H52" s="4"/>
      <c r="I52" s="4"/>
      <c r="J52" s="4"/>
      <c r="K52" s="4"/>
      <c r="L52" s="7"/>
      <c r="M52" s="7"/>
      <c r="N52" s="7"/>
      <c r="O52" s="4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4"/>
      <c r="B53" s="4"/>
      <c r="C53" s="8"/>
      <c r="D53" s="5"/>
      <c r="E53" s="6"/>
      <c r="F53" s="6"/>
      <c r="G53" s="6"/>
      <c r="H53" s="4"/>
      <c r="I53" s="4"/>
      <c r="J53" s="4"/>
      <c r="K53" s="4"/>
      <c r="L53" s="4"/>
      <c r="M53" s="7"/>
      <c r="N53" s="7"/>
      <c r="O53" s="7"/>
      <c r="P53" s="7"/>
      <c r="Q53" s="4"/>
      <c r="R53" s="7"/>
      <c r="S53" s="7"/>
      <c r="T53" s="7"/>
      <c r="U53" s="7"/>
      <c r="V53" s="7"/>
      <c r="W53" s="7"/>
      <c r="X53" s="7"/>
      <c r="Y53" s="7"/>
    </row>
    <row r="54">
      <c r="A54" s="4"/>
      <c r="B54" s="4"/>
      <c r="C54" s="8"/>
      <c r="D54" s="5"/>
      <c r="E54" s="6"/>
      <c r="F54" s="6"/>
      <c r="G54" s="6"/>
      <c r="H54" s="4"/>
      <c r="I54" s="4"/>
      <c r="J54" s="4"/>
      <c r="K54" s="4"/>
      <c r="L54" s="7"/>
      <c r="M54" s="7"/>
      <c r="N54" s="7"/>
      <c r="O54" s="4"/>
      <c r="P54" s="4"/>
      <c r="Q54" s="4"/>
      <c r="R54" s="7"/>
      <c r="S54" s="7"/>
      <c r="T54" s="7"/>
      <c r="U54" s="4"/>
      <c r="V54" s="7"/>
      <c r="W54" s="4"/>
      <c r="X54" s="7"/>
      <c r="Y54" s="7"/>
    </row>
    <row r="55">
      <c r="A55" s="4"/>
      <c r="B55" s="4"/>
      <c r="C55" s="8"/>
      <c r="D55" s="5"/>
      <c r="E55" s="6"/>
      <c r="F55" s="6"/>
      <c r="G55" s="6"/>
      <c r="H55" s="4"/>
      <c r="I55" s="4"/>
      <c r="J55" s="4"/>
      <c r="K55" s="4"/>
      <c r="L55" s="7"/>
      <c r="M55" s="7"/>
      <c r="N55" s="7"/>
      <c r="O55" s="4"/>
      <c r="P55" s="4"/>
      <c r="Q55" s="4"/>
      <c r="R55" s="7"/>
      <c r="S55" s="7"/>
      <c r="T55" s="7"/>
      <c r="U55" s="4"/>
      <c r="V55" s="7"/>
      <c r="W55" s="4"/>
      <c r="X55" s="7"/>
      <c r="Y55" s="7"/>
    </row>
    <row r="56">
      <c r="A56" s="4"/>
      <c r="B56" s="4"/>
      <c r="C56" s="8"/>
      <c r="D56" s="5"/>
      <c r="E56" s="6"/>
      <c r="F56" s="6"/>
      <c r="G56" s="6"/>
      <c r="H56" s="4"/>
      <c r="I56" s="4"/>
      <c r="J56" s="4"/>
      <c r="K56" s="4"/>
      <c r="L56" s="7"/>
      <c r="M56" s="7"/>
      <c r="N56" s="7"/>
      <c r="O56" s="7"/>
      <c r="P56" s="4"/>
      <c r="Q56" s="4"/>
      <c r="R56" s="7"/>
      <c r="S56" s="7"/>
      <c r="T56" s="7"/>
      <c r="U56" s="7"/>
      <c r="V56" s="7"/>
      <c r="W56" s="7"/>
      <c r="X56" s="7"/>
      <c r="Y56" s="7"/>
    </row>
    <row r="57">
      <c r="A57" s="4"/>
      <c r="B57" s="4"/>
      <c r="C57" s="8"/>
      <c r="D57" s="5"/>
      <c r="E57" s="6"/>
      <c r="F57" s="6"/>
      <c r="G57" s="6"/>
      <c r="H57" s="4"/>
      <c r="I57" s="4"/>
      <c r="J57" s="4"/>
      <c r="K57" s="4"/>
      <c r="L57" s="7"/>
      <c r="M57" s="7"/>
      <c r="N57" s="7"/>
      <c r="O57" s="7"/>
      <c r="P57" s="4"/>
      <c r="Q57" s="4"/>
      <c r="R57" s="7"/>
      <c r="S57" s="7"/>
      <c r="T57" s="7"/>
      <c r="U57" s="7"/>
      <c r="V57" s="7"/>
      <c r="W57" s="7"/>
      <c r="X57" s="7"/>
      <c r="Y57" s="7"/>
    </row>
    <row r="58">
      <c r="A58" s="4"/>
      <c r="B58" s="4"/>
      <c r="C58" s="8"/>
      <c r="D58" s="5"/>
      <c r="E58" s="6"/>
      <c r="F58" s="6"/>
      <c r="G58" s="6"/>
      <c r="H58" s="4"/>
      <c r="I58" s="4"/>
      <c r="J58" s="4"/>
      <c r="K58" s="4"/>
      <c r="L58" s="4"/>
      <c r="M58" s="7"/>
      <c r="N58" s="7"/>
      <c r="O58" s="4"/>
      <c r="P58" s="4"/>
      <c r="Q58" s="7"/>
      <c r="R58" s="7"/>
      <c r="S58" s="7"/>
      <c r="T58" s="7"/>
      <c r="U58" s="7"/>
      <c r="V58" s="7"/>
      <c r="W58" s="7"/>
      <c r="X58" s="7"/>
      <c r="Y58" s="7"/>
    </row>
    <row r="59">
      <c r="A59" s="4"/>
      <c r="B59" s="4"/>
      <c r="C59" s="8"/>
      <c r="D59" s="5"/>
      <c r="E59" s="6"/>
      <c r="F59" s="6"/>
      <c r="G59" s="6"/>
      <c r="H59" s="4"/>
      <c r="I59" s="4"/>
      <c r="J59" s="4"/>
      <c r="K59" s="4"/>
      <c r="L59" s="4"/>
      <c r="M59" s="7"/>
      <c r="N59" s="7"/>
      <c r="O59" s="7"/>
      <c r="P59" s="7"/>
      <c r="Q59" s="4"/>
      <c r="R59" s="7"/>
      <c r="S59" s="7"/>
      <c r="T59" s="7"/>
      <c r="U59" s="7"/>
      <c r="V59" s="7"/>
      <c r="W59" s="4"/>
      <c r="X59" s="7"/>
      <c r="Y59" s="7"/>
    </row>
    <row r="60">
      <c r="A60" s="4"/>
      <c r="B60" s="4"/>
      <c r="C60" s="8"/>
      <c r="D60" s="5"/>
      <c r="E60" s="6"/>
      <c r="F60" s="6"/>
      <c r="G60" s="6"/>
      <c r="H60" s="4"/>
      <c r="I60" s="4"/>
      <c r="J60" s="4"/>
      <c r="K60" s="4"/>
      <c r="L60" s="4"/>
      <c r="M60" s="7"/>
      <c r="N60" s="7"/>
      <c r="O60" s="4"/>
      <c r="P60" s="4"/>
      <c r="Q60" s="4"/>
      <c r="R60" s="7"/>
      <c r="S60" s="7"/>
      <c r="T60" s="7"/>
      <c r="U60" s="7"/>
      <c r="V60" s="7"/>
      <c r="W60" s="7"/>
      <c r="X60" s="7"/>
      <c r="Y60" s="7"/>
    </row>
    <row r="61">
      <c r="A61" s="4"/>
      <c r="B61" s="4"/>
      <c r="C61" s="8"/>
      <c r="D61" s="5"/>
      <c r="E61" s="6"/>
      <c r="F61" s="6"/>
      <c r="G61" s="6"/>
      <c r="H61" s="4"/>
      <c r="I61" s="4"/>
      <c r="J61" s="4"/>
      <c r="K61" s="4"/>
      <c r="L61" s="4"/>
      <c r="M61" s="7"/>
      <c r="N61" s="7"/>
      <c r="O61" s="7"/>
      <c r="P61" s="4"/>
      <c r="Q61" s="4"/>
      <c r="R61" s="7"/>
      <c r="S61" s="7"/>
      <c r="T61" s="7"/>
      <c r="U61" s="7"/>
      <c r="V61" s="7"/>
      <c r="W61" s="4"/>
      <c r="X61" s="7"/>
      <c r="Y61" s="7"/>
    </row>
    <row r="62">
      <c r="A62" s="4"/>
      <c r="B62" s="4"/>
      <c r="C62" s="8"/>
      <c r="D62" s="5"/>
      <c r="E62" s="6"/>
      <c r="F62" s="6"/>
      <c r="G62" s="6"/>
      <c r="H62" s="4"/>
      <c r="I62" s="4"/>
      <c r="J62" s="4"/>
      <c r="K62" s="4"/>
      <c r="L62" s="7"/>
      <c r="M62" s="7"/>
      <c r="N62" s="7"/>
      <c r="O62" s="4"/>
      <c r="P62" s="7"/>
      <c r="Q62" s="7"/>
      <c r="R62" s="7"/>
      <c r="S62" s="4"/>
      <c r="T62" s="7"/>
      <c r="U62" s="7"/>
      <c r="V62" s="7"/>
      <c r="W62" s="7"/>
      <c r="X62" s="7"/>
      <c r="Y62" s="7"/>
    </row>
    <row r="63">
      <c r="A63" s="4"/>
      <c r="B63" s="4"/>
      <c r="C63" s="8"/>
      <c r="D63" s="5"/>
      <c r="E63" s="6"/>
      <c r="F63" s="6"/>
      <c r="G63" s="6"/>
      <c r="H63" s="4"/>
      <c r="I63" s="4"/>
      <c r="J63" s="4"/>
      <c r="K63" s="4"/>
      <c r="L63" s="4"/>
      <c r="M63" s="7"/>
      <c r="N63" s="7"/>
      <c r="O63" s="7"/>
      <c r="P63" s="7"/>
      <c r="Q63" s="7"/>
      <c r="R63" s="7"/>
      <c r="S63" s="7"/>
      <c r="T63" s="7"/>
      <c r="U63" s="7"/>
      <c r="V63" s="7"/>
      <c r="W63" s="4"/>
      <c r="X63" s="7"/>
      <c r="Y63" s="7"/>
    </row>
    <row r="64">
      <c r="A64" s="4"/>
      <c r="B64" s="4"/>
      <c r="C64" s="8"/>
      <c r="D64" s="5"/>
      <c r="E64" s="6"/>
      <c r="F64" s="6"/>
      <c r="G64" s="6"/>
      <c r="H64" s="4"/>
      <c r="I64" s="4"/>
      <c r="J64" s="4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4"/>
      <c r="B65" s="4"/>
      <c r="C65" s="8"/>
      <c r="D65" s="5"/>
      <c r="E65" s="6"/>
      <c r="F65" s="6"/>
      <c r="G65" s="6"/>
      <c r="H65" s="4"/>
      <c r="I65" s="4"/>
      <c r="J65" s="4"/>
      <c r="K65" s="4"/>
      <c r="L65" s="4"/>
      <c r="M65" s="7"/>
      <c r="N65" s="7"/>
      <c r="O65" s="7"/>
      <c r="P65" s="4"/>
      <c r="Q65" s="4"/>
      <c r="R65" s="7"/>
      <c r="S65" s="7"/>
      <c r="T65" s="7"/>
      <c r="U65" s="7"/>
      <c r="V65" s="7"/>
      <c r="W65" s="7"/>
      <c r="X65" s="7"/>
      <c r="Y65" s="7"/>
    </row>
    <row r="66">
      <c r="A66" s="4"/>
      <c r="B66" s="4"/>
      <c r="C66" s="8"/>
      <c r="D66" s="5"/>
      <c r="E66" s="6"/>
      <c r="F66" s="6"/>
      <c r="G66" s="6"/>
      <c r="H66" s="4"/>
      <c r="I66" s="4"/>
      <c r="J66" s="4"/>
      <c r="K66" s="4"/>
      <c r="L66" s="7"/>
      <c r="M66" s="7"/>
      <c r="N66" s="7"/>
      <c r="O66" s="7"/>
      <c r="P66" s="4"/>
      <c r="Q66" s="7"/>
      <c r="R66" s="7"/>
      <c r="S66" s="7"/>
      <c r="T66" s="7"/>
      <c r="U66" s="7"/>
      <c r="V66" s="7"/>
      <c r="W66" s="7"/>
      <c r="X66" s="7"/>
      <c r="Y66" s="7"/>
    </row>
    <row r="67">
      <c r="A67" s="4"/>
      <c r="B67" s="4"/>
      <c r="C67" s="8"/>
      <c r="D67" s="5"/>
      <c r="E67" s="6"/>
      <c r="F67" s="6"/>
      <c r="G67" s="6"/>
      <c r="H67" s="4"/>
      <c r="I67" s="4"/>
      <c r="J67" s="4"/>
      <c r="K67" s="4"/>
      <c r="L67" s="7"/>
      <c r="M67" s="7"/>
      <c r="N67" s="7"/>
      <c r="O67" s="4"/>
      <c r="P67" s="7"/>
      <c r="Q67" s="7"/>
      <c r="R67" s="7"/>
      <c r="S67" s="7"/>
      <c r="T67" s="4"/>
      <c r="U67" s="7"/>
      <c r="V67" s="7"/>
      <c r="W67" s="4"/>
      <c r="X67" s="7"/>
      <c r="Y67" s="7"/>
    </row>
    <row r="68">
      <c r="A68" s="4"/>
      <c r="B68" s="4"/>
      <c r="C68" s="8"/>
      <c r="D68" s="5"/>
      <c r="E68" s="6"/>
      <c r="F68" s="6"/>
      <c r="G68" s="6"/>
      <c r="H68" s="4"/>
      <c r="I68" s="4"/>
      <c r="J68" s="4"/>
      <c r="K68" s="4"/>
      <c r="L68" s="7"/>
      <c r="M68" s="7"/>
      <c r="N68" s="7"/>
      <c r="O68" s="4"/>
      <c r="P68" s="4"/>
      <c r="Q68" s="4"/>
      <c r="R68" s="7"/>
      <c r="S68" s="7"/>
      <c r="T68" s="7"/>
      <c r="U68" s="4"/>
      <c r="V68" s="7"/>
      <c r="W68" s="7"/>
      <c r="X68" s="7"/>
      <c r="Y68" s="7"/>
    </row>
    <row r="69">
      <c r="A69" s="4"/>
      <c r="B69" s="4"/>
      <c r="C69" s="8"/>
      <c r="D69" s="5"/>
      <c r="E69" s="6"/>
      <c r="F69" s="6"/>
      <c r="G69" s="6"/>
      <c r="H69" s="4"/>
      <c r="I69" s="4"/>
      <c r="J69" s="4"/>
      <c r="K69" s="4"/>
      <c r="L69" s="7"/>
      <c r="M69" s="7"/>
      <c r="N69" s="7"/>
      <c r="O69" s="4"/>
      <c r="P69" s="4"/>
      <c r="Q69" s="4"/>
      <c r="R69" s="7"/>
      <c r="S69" s="7"/>
      <c r="T69" s="7"/>
      <c r="U69" s="4"/>
      <c r="V69" s="7"/>
      <c r="W69" s="7"/>
      <c r="X69" s="7"/>
      <c r="Y69" s="7"/>
    </row>
    <row r="70">
      <c r="A70" s="4"/>
      <c r="B70" s="4"/>
      <c r="C70" s="8"/>
      <c r="D70" s="5"/>
      <c r="E70" s="6"/>
      <c r="F70" s="6"/>
      <c r="G70" s="6"/>
      <c r="H70" s="4"/>
      <c r="I70" s="4"/>
      <c r="J70" s="4"/>
      <c r="K70" s="4"/>
      <c r="L70" s="7"/>
      <c r="M70" s="7"/>
      <c r="N70" s="7"/>
      <c r="O70" s="4"/>
      <c r="P70" s="7"/>
      <c r="Q70" s="7"/>
      <c r="R70" s="7"/>
      <c r="S70" s="7"/>
      <c r="T70" s="4"/>
      <c r="U70" s="7"/>
      <c r="V70" s="7"/>
      <c r="W70" s="7"/>
      <c r="X70" s="7"/>
      <c r="Y70" s="7"/>
    </row>
    <row r="71">
      <c r="A71" s="4"/>
      <c r="B71" s="4"/>
      <c r="C71" s="8"/>
      <c r="D71" s="5"/>
      <c r="E71" s="6"/>
      <c r="F71" s="6"/>
      <c r="G71" s="6"/>
      <c r="H71" s="4"/>
      <c r="I71" s="4"/>
      <c r="J71" s="4"/>
      <c r="K71" s="4"/>
      <c r="L71" s="7"/>
      <c r="M71" s="7"/>
      <c r="N71" s="7"/>
      <c r="O71" s="7"/>
      <c r="P71" s="7"/>
      <c r="Q71" s="7"/>
      <c r="R71" s="7"/>
      <c r="S71" s="7"/>
      <c r="T71" s="4"/>
      <c r="U71" s="7"/>
      <c r="V71" s="7"/>
      <c r="W71" s="4"/>
      <c r="X71" s="7"/>
      <c r="Y71" s="7"/>
    </row>
    <row r="72">
      <c r="A72" s="4"/>
      <c r="B72" s="4"/>
      <c r="C72" s="8"/>
      <c r="D72" s="5"/>
      <c r="E72" s="6"/>
      <c r="F72" s="6"/>
      <c r="G72" s="6"/>
      <c r="H72" s="4"/>
      <c r="I72" s="4"/>
      <c r="J72" s="4"/>
      <c r="K72" s="4"/>
      <c r="L72" s="7"/>
      <c r="M72" s="7"/>
      <c r="N72" s="7"/>
      <c r="O72" s="7"/>
      <c r="P72" s="7"/>
      <c r="Q72" s="4"/>
      <c r="R72" s="7"/>
      <c r="S72" s="7"/>
      <c r="T72" s="7"/>
      <c r="U72" s="7"/>
      <c r="V72" s="7"/>
      <c r="W72" s="7"/>
      <c r="X72" s="7"/>
      <c r="Y72" s="7"/>
    </row>
    <row r="73">
      <c r="A73" s="4"/>
      <c r="B73" s="4"/>
      <c r="C73" s="8"/>
      <c r="D73" s="5"/>
      <c r="E73" s="6"/>
      <c r="F73" s="6"/>
      <c r="G73" s="6"/>
      <c r="H73" s="4"/>
      <c r="I73" s="4"/>
      <c r="J73" s="4"/>
      <c r="K73" s="4"/>
      <c r="L73" s="4"/>
      <c r="M73" s="7"/>
      <c r="N73" s="7"/>
      <c r="O73" s="7"/>
      <c r="P73" s="4"/>
      <c r="Q73" s="4"/>
      <c r="R73" s="7"/>
      <c r="S73" s="7"/>
      <c r="T73" s="7"/>
      <c r="U73" s="7"/>
      <c r="V73" s="7"/>
      <c r="W73" s="7"/>
      <c r="X73" s="7"/>
      <c r="Y73" s="7"/>
    </row>
    <row r="74">
      <c r="A74" s="4"/>
      <c r="B74" s="4"/>
      <c r="C74" s="8"/>
      <c r="D74" s="5"/>
      <c r="E74" s="6"/>
      <c r="F74" s="6"/>
      <c r="G74" s="6"/>
      <c r="H74" s="4"/>
      <c r="I74" s="4"/>
      <c r="J74" s="4"/>
      <c r="K74" s="4"/>
      <c r="L74" s="7"/>
      <c r="M74" s="7"/>
      <c r="N74" s="7"/>
      <c r="O74" s="4"/>
      <c r="P74" s="7"/>
      <c r="Q74" s="7"/>
      <c r="R74" s="7"/>
      <c r="S74" s="7"/>
      <c r="T74" s="4"/>
      <c r="U74" s="7"/>
      <c r="V74" s="7"/>
      <c r="W74" s="7"/>
      <c r="X74" s="7"/>
      <c r="Y74" s="7"/>
    </row>
    <row r="75">
      <c r="A75" s="4"/>
      <c r="B75" s="4"/>
      <c r="C75" s="8"/>
      <c r="D75" s="5"/>
      <c r="E75" s="6"/>
      <c r="F75" s="6"/>
      <c r="G75" s="6"/>
      <c r="H75" s="4"/>
      <c r="I75" s="4"/>
      <c r="J75" s="4"/>
      <c r="K75" s="4"/>
      <c r="L75" s="7"/>
      <c r="M75" s="7"/>
      <c r="N75" s="7"/>
      <c r="O75" s="7"/>
      <c r="P75" s="4"/>
      <c r="Q75" s="4"/>
      <c r="R75" s="4"/>
      <c r="S75" s="7"/>
      <c r="T75" s="4"/>
      <c r="U75" s="4"/>
      <c r="V75" s="7"/>
      <c r="W75" s="4"/>
      <c r="X75" s="4"/>
      <c r="Y75" s="4"/>
    </row>
    <row r="76">
      <c r="A76" s="4"/>
      <c r="B76" s="4"/>
      <c r="C76" s="8"/>
      <c r="D76" s="5"/>
      <c r="E76" s="6"/>
      <c r="F76" s="6"/>
      <c r="G76" s="6"/>
      <c r="H76" s="4"/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4"/>
      <c r="B77" s="4"/>
      <c r="C77" s="8"/>
      <c r="D77" s="5"/>
      <c r="E77" s="6"/>
      <c r="F77" s="6"/>
      <c r="G77" s="6"/>
      <c r="H77" s="4"/>
      <c r="I77" s="4"/>
      <c r="J77" s="4"/>
      <c r="K77" s="4"/>
      <c r="L77" s="7"/>
      <c r="M77" s="4"/>
      <c r="N77" s="7"/>
      <c r="O77" s="7"/>
      <c r="P77" s="7"/>
      <c r="Q77" s="4"/>
      <c r="R77" s="7"/>
      <c r="S77" s="7"/>
      <c r="T77" s="7"/>
      <c r="U77" s="7"/>
      <c r="V77" s="7"/>
      <c r="W77" s="7"/>
      <c r="X77" s="7"/>
      <c r="Y77" s="7"/>
    </row>
    <row r="78">
      <c r="A78" s="4"/>
      <c r="B78" s="4"/>
      <c r="C78" s="8"/>
      <c r="D78" s="5"/>
      <c r="E78" s="6"/>
      <c r="F78" s="6"/>
      <c r="G78" s="6"/>
      <c r="H78" s="4"/>
      <c r="I78" s="4"/>
      <c r="J78" s="4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"/>
      <c r="X78" s="7"/>
      <c r="Y78" s="7"/>
    </row>
    <row r="79">
      <c r="A79" s="4"/>
      <c r="B79" s="4"/>
      <c r="C79" s="8"/>
      <c r="D79" s="5"/>
      <c r="E79" s="6"/>
      <c r="F79" s="6"/>
      <c r="G79" s="6"/>
      <c r="H79" s="4"/>
      <c r="I79" s="4"/>
      <c r="J79" s="4"/>
      <c r="K79" s="4"/>
      <c r="L79" s="7"/>
      <c r="M79" s="7"/>
      <c r="N79" s="7"/>
      <c r="O79" s="4"/>
      <c r="P79" s="7"/>
      <c r="Q79" s="4"/>
      <c r="R79" s="4"/>
      <c r="S79" s="7"/>
      <c r="T79" s="7"/>
      <c r="U79" s="4"/>
      <c r="V79" s="7"/>
      <c r="W79" s="7"/>
      <c r="X79" s="7"/>
      <c r="Y79" s="7"/>
    </row>
    <row r="80">
      <c r="A80" s="4"/>
      <c r="B80" s="4"/>
      <c r="C80" s="8"/>
      <c r="D80" s="5"/>
      <c r="E80" s="6"/>
      <c r="F80" s="6"/>
      <c r="G80" s="6"/>
      <c r="H80" s="4"/>
      <c r="I80" s="4"/>
      <c r="J80" s="4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4"/>
      <c r="B81" s="4"/>
      <c r="C81" s="8"/>
      <c r="D81" s="5"/>
      <c r="E81" s="6"/>
      <c r="F81" s="6"/>
      <c r="G81" s="6"/>
      <c r="H81" s="4"/>
      <c r="I81" s="4"/>
      <c r="J81" s="4"/>
      <c r="K81" s="4"/>
      <c r="L81" s="7"/>
      <c r="M81" s="7"/>
      <c r="N81" s="7"/>
      <c r="O81" s="7"/>
      <c r="P81" s="4"/>
      <c r="Q81" s="4"/>
      <c r="R81" s="7"/>
      <c r="S81" s="7"/>
      <c r="T81" s="7"/>
      <c r="U81" s="7"/>
      <c r="V81" s="7"/>
      <c r="W81" s="4"/>
      <c r="X81" s="7"/>
      <c r="Y81" s="7"/>
    </row>
    <row r="82">
      <c r="A82" s="4"/>
      <c r="B82" s="4"/>
      <c r="C82" s="8"/>
      <c r="D82" s="5"/>
      <c r="E82" s="6"/>
      <c r="F82" s="6"/>
      <c r="G82" s="6"/>
      <c r="H82" s="4"/>
      <c r="I82" s="4"/>
      <c r="J82" s="4"/>
      <c r="K82" s="4"/>
      <c r="L82" s="7"/>
      <c r="M82" s="7"/>
      <c r="N82" s="7"/>
      <c r="O82" s="7"/>
      <c r="P82" s="4"/>
      <c r="Q82" s="4"/>
      <c r="R82" s="4"/>
      <c r="S82" s="7"/>
      <c r="T82" s="7"/>
      <c r="U82" s="7"/>
      <c r="V82" s="7"/>
      <c r="W82" s="7"/>
      <c r="X82" s="7"/>
      <c r="Y82" s="7"/>
    </row>
    <row r="83">
      <c r="A83" s="4"/>
      <c r="B83" s="4"/>
      <c r="C83" s="8"/>
      <c r="D83" s="5"/>
      <c r="E83" s="6"/>
      <c r="F83" s="6"/>
      <c r="G83" s="6"/>
      <c r="H83" s="4"/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4"/>
      <c r="B84" s="4"/>
      <c r="C84" s="8"/>
      <c r="D84" s="5"/>
      <c r="E84" s="6"/>
      <c r="F84" s="6"/>
      <c r="G84" s="6"/>
      <c r="H84" s="4"/>
      <c r="I84" s="4"/>
      <c r="J84" s="4"/>
      <c r="K84" s="4"/>
      <c r="L84" s="7"/>
      <c r="M84" s="7"/>
      <c r="N84" s="7"/>
      <c r="O84" s="7"/>
      <c r="P84" s="4"/>
      <c r="Q84" s="4"/>
      <c r="R84" s="7"/>
      <c r="S84" s="7"/>
      <c r="T84" s="7"/>
      <c r="U84" s="7"/>
      <c r="V84" s="7"/>
      <c r="W84" s="7"/>
      <c r="X84" s="7"/>
      <c r="Y84" s="7"/>
    </row>
    <row r="85">
      <c r="A85" s="4"/>
      <c r="B85" s="4"/>
      <c r="C85" s="8"/>
      <c r="D85" s="5"/>
      <c r="E85" s="6"/>
      <c r="F85" s="6"/>
      <c r="G85" s="6"/>
      <c r="H85" s="4"/>
      <c r="I85" s="4"/>
      <c r="J85" s="4"/>
      <c r="K85" s="4"/>
      <c r="L85" s="7"/>
      <c r="M85" s="7"/>
      <c r="N85" s="7"/>
      <c r="O85" s="7"/>
      <c r="P85" s="7"/>
      <c r="Q85" s="4"/>
      <c r="R85" s="7"/>
      <c r="S85" s="7"/>
      <c r="T85" s="7"/>
      <c r="U85" s="7"/>
      <c r="V85" s="7"/>
      <c r="W85" s="7"/>
      <c r="X85" s="7"/>
      <c r="Y85" s="7"/>
    </row>
    <row r="86">
      <c r="A86" s="4"/>
      <c r="B86" s="4"/>
      <c r="C86" s="8"/>
      <c r="D86" s="5"/>
      <c r="E86" s="6"/>
      <c r="F86" s="6"/>
      <c r="G86" s="6"/>
      <c r="H86" s="4"/>
      <c r="I86" s="4"/>
      <c r="J86" s="4"/>
      <c r="K86" s="4"/>
      <c r="L86" s="7"/>
      <c r="M86" s="7"/>
      <c r="N86" s="7"/>
      <c r="O86" s="7"/>
      <c r="P86" s="7"/>
      <c r="Q86" s="7"/>
      <c r="R86" s="7"/>
      <c r="S86" s="7"/>
      <c r="T86" s="7"/>
      <c r="U86" s="4"/>
      <c r="V86" s="7"/>
      <c r="W86" s="7"/>
      <c r="X86" s="7"/>
      <c r="Y86" s="7"/>
    </row>
    <row r="87">
      <c r="A87" s="4"/>
      <c r="B87" s="4"/>
      <c r="C87" s="8"/>
      <c r="D87" s="5"/>
      <c r="E87" s="6"/>
      <c r="F87" s="6"/>
      <c r="G87" s="6"/>
      <c r="H87" s="4"/>
      <c r="I87" s="4"/>
      <c r="J87" s="4"/>
      <c r="K87" s="4"/>
      <c r="L87" s="7"/>
      <c r="M87" s="7"/>
      <c r="N87" s="7"/>
      <c r="O87" s="7"/>
      <c r="P87" s="7"/>
      <c r="Q87" s="7"/>
      <c r="R87" s="7"/>
      <c r="S87" s="7"/>
      <c r="T87" s="7"/>
      <c r="U87" s="4"/>
      <c r="V87" s="7"/>
      <c r="W87" s="7"/>
      <c r="X87" s="7"/>
      <c r="Y87" s="7"/>
    </row>
    <row r="88">
      <c r="A88" s="4"/>
      <c r="B88" s="4"/>
      <c r="C88" s="8"/>
      <c r="D88" s="5"/>
      <c r="E88" s="6"/>
      <c r="F88" s="6"/>
      <c r="G88" s="6"/>
      <c r="H88" s="4"/>
      <c r="I88" s="4"/>
      <c r="J88" s="4"/>
      <c r="K88" s="4"/>
      <c r="L88" s="4"/>
      <c r="M88" s="7"/>
      <c r="N88" s="7"/>
      <c r="O88" s="7"/>
      <c r="P88" s="7"/>
      <c r="Q88" s="7"/>
      <c r="R88" s="7"/>
      <c r="S88" s="7"/>
      <c r="T88" s="7"/>
      <c r="U88" s="7"/>
      <c r="V88" s="7"/>
      <c r="W88" s="4"/>
      <c r="X88" s="7"/>
      <c r="Y88" s="7"/>
    </row>
    <row r="89">
      <c r="A89" s="4"/>
      <c r="B89" s="4"/>
      <c r="C89" s="8"/>
      <c r="D89" s="5"/>
      <c r="E89" s="6"/>
      <c r="F89" s="6"/>
      <c r="G89" s="6"/>
      <c r="H89" s="4"/>
      <c r="I89" s="4"/>
      <c r="J89" s="4"/>
      <c r="K89" s="4"/>
      <c r="L89" s="7"/>
      <c r="M89" s="7"/>
      <c r="N89" s="7"/>
      <c r="O89" s="7"/>
      <c r="P89" s="7"/>
      <c r="Q89" s="4"/>
      <c r="R89" s="7"/>
      <c r="S89" s="7"/>
      <c r="T89" s="7"/>
      <c r="U89" s="7"/>
      <c r="V89" s="7"/>
      <c r="W89" s="7"/>
      <c r="X89" s="7"/>
      <c r="Y89" s="7"/>
    </row>
    <row r="90">
      <c r="A90" s="4"/>
      <c r="B90" s="4"/>
      <c r="C90" s="8"/>
      <c r="D90" s="5"/>
      <c r="E90" s="6"/>
      <c r="F90" s="6"/>
      <c r="G90" s="6"/>
      <c r="H90" s="4"/>
      <c r="I90" s="4"/>
      <c r="J90" s="4"/>
      <c r="K90" s="4"/>
      <c r="L90" s="7"/>
      <c r="M90" s="7"/>
      <c r="N90" s="7"/>
      <c r="O90" s="7"/>
      <c r="P90" s="4"/>
      <c r="Q90" s="7"/>
      <c r="R90" s="7"/>
      <c r="S90" s="7"/>
      <c r="T90" s="7"/>
      <c r="U90" s="7"/>
      <c r="V90" s="7"/>
      <c r="W90" s="7"/>
      <c r="X90" s="7"/>
      <c r="Y90" s="7"/>
    </row>
    <row r="91">
      <c r="A91" s="4"/>
      <c r="B91" s="4"/>
      <c r="C91" s="8"/>
      <c r="D91" s="5"/>
      <c r="E91" s="6"/>
      <c r="F91" s="6"/>
      <c r="G91" s="6"/>
      <c r="H91" s="4"/>
      <c r="I91" s="4"/>
      <c r="J91" s="4"/>
      <c r="K91" s="4"/>
      <c r="L91" s="7"/>
      <c r="M91" s="7"/>
      <c r="N91" s="7"/>
      <c r="O91" s="7"/>
      <c r="P91" s="7"/>
      <c r="Q91" s="4"/>
      <c r="R91" s="4"/>
      <c r="S91" s="7"/>
      <c r="T91" s="7"/>
      <c r="U91" s="7"/>
      <c r="V91" s="7"/>
      <c r="W91" s="7"/>
      <c r="X91" s="7"/>
      <c r="Y91" s="7"/>
    </row>
    <row r="92">
      <c r="A92" s="4"/>
      <c r="B92" s="4"/>
      <c r="C92" s="8"/>
      <c r="D92" s="5"/>
      <c r="E92" s="6"/>
      <c r="F92" s="6"/>
      <c r="G92" s="6"/>
      <c r="H92" s="4"/>
      <c r="I92" s="4"/>
      <c r="J92" s="4"/>
      <c r="K92" s="4"/>
      <c r="L92" s="7"/>
      <c r="M92" s="7"/>
      <c r="N92" s="7"/>
      <c r="O92" s="7"/>
      <c r="P92" s="7"/>
      <c r="Q92" s="4"/>
      <c r="R92" s="7"/>
      <c r="S92" s="7"/>
      <c r="T92" s="7"/>
      <c r="U92" s="7"/>
      <c r="V92" s="7"/>
      <c r="W92" s="7"/>
      <c r="X92" s="7"/>
      <c r="Y92" s="7"/>
    </row>
    <row r="93">
      <c r="A93" s="4"/>
      <c r="B93" s="4"/>
      <c r="C93" s="8"/>
      <c r="D93" s="5"/>
      <c r="E93" s="6"/>
      <c r="F93" s="6"/>
      <c r="G93" s="6"/>
      <c r="H93" s="4"/>
      <c r="I93" s="4"/>
      <c r="J93" s="4"/>
      <c r="K93" s="4"/>
      <c r="L93" s="7"/>
      <c r="M93" s="7"/>
      <c r="N93" s="7"/>
      <c r="O93" s="4"/>
      <c r="P93" s="7"/>
      <c r="Q93" s="4"/>
      <c r="R93" s="7"/>
      <c r="S93" s="7"/>
      <c r="T93" s="7"/>
      <c r="U93" s="7"/>
      <c r="V93" s="7"/>
      <c r="W93" s="7"/>
      <c r="X93" s="7"/>
      <c r="Y93" s="7"/>
    </row>
    <row r="94">
      <c r="A94" s="4"/>
      <c r="B94" s="4"/>
      <c r="C94" s="8"/>
      <c r="D94" s="5"/>
      <c r="E94" s="6"/>
      <c r="F94" s="6"/>
      <c r="G94" s="6"/>
      <c r="H94" s="4"/>
      <c r="I94" s="4"/>
      <c r="J94" s="4"/>
      <c r="K94" s="4"/>
      <c r="L94" s="7"/>
      <c r="M94" s="7"/>
      <c r="N94" s="7"/>
      <c r="O94" s="4"/>
      <c r="P94" s="4"/>
      <c r="Q94" s="4"/>
      <c r="R94" s="7"/>
      <c r="S94" s="7"/>
      <c r="T94" s="4"/>
      <c r="U94" s="4"/>
      <c r="V94" s="7"/>
      <c r="W94" s="4"/>
      <c r="X94" s="7"/>
      <c r="Y94" s="7"/>
    </row>
    <row r="95">
      <c r="A95" s="4"/>
      <c r="B95" s="4"/>
      <c r="C95" s="8"/>
      <c r="D95" s="5"/>
      <c r="E95" s="6"/>
      <c r="F95" s="6"/>
      <c r="G95" s="6"/>
      <c r="H95" s="4"/>
      <c r="I95" s="4"/>
      <c r="J95" s="4"/>
      <c r="K95" s="4"/>
      <c r="L95" s="7"/>
      <c r="M95" s="7"/>
      <c r="N95" s="4"/>
      <c r="O95" s="4"/>
      <c r="P95" s="7"/>
      <c r="Q95" s="4"/>
      <c r="R95" s="7"/>
      <c r="S95" s="7"/>
      <c r="T95" s="7"/>
      <c r="U95" s="7"/>
      <c r="V95" s="7"/>
      <c r="W95" s="7"/>
      <c r="X95" s="7"/>
      <c r="Y95" s="7"/>
    </row>
    <row r="96">
      <c r="A96" s="4"/>
      <c r="B96" s="4"/>
      <c r="C96" s="8"/>
      <c r="D96" s="5"/>
      <c r="E96" s="6"/>
      <c r="F96" s="6"/>
      <c r="G96" s="6"/>
      <c r="H96" s="4"/>
      <c r="I96" s="4"/>
      <c r="J96" s="4"/>
      <c r="K96" s="4"/>
      <c r="L96" s="7"/>
      <c r="M96" s="7"/>
      <c r="N96" s="7"/>
      <c r="O96" s="7"/>
      <c r="P96" s="7"/>
      <c r="Q96" s="4"/>
      <c r="R96" s="7"/>
      <c r="S96" s="7"/>
      <c r="T96" s="7"/>
      <c r="U96" s="7"/>
      <c r="V96" s="7"/>
      <c r="W96" s="7"/>
      <c r="X96" s="7"/>
      <c r="Y96" s="7"/>
    </row>
    <row r="97">
      <c r="A97" s="4"/>
      <c r="B97" s="4"/>
      <c r="C97" s="8"/>
      <c r="D97" s="5"/>
      <c r="E97" s="6"/>
      <c r="F97" s="6"/>
      <c r="G97" s="6"/>
      <c r="H97" s="4"/>
      <c r="I97" s="4"/>
      <c r="J97" s="4"/>
      <c r="K97" s="4"/>
      <c r="L97" s="4"/>
      <c r="M97" s="7"/>
      <c r="N97" s="7"/>
      <c r="O97" s="7"/>
      <c r="P97" s="7"/>
      <c r="Q97" s="4"/>
      <c r="R97" s="7"/>
      <c r="S97" s="7"/>
      <c r="T97" s="7"/>
      <c r="U97" s="7"/>
      <c r="V97" s="7"/>
      <c r="W97" s="4"/>
      <c r="X97" s="7"/>
      <c r="Y97" s="7"/>
    </row>
    <row r="98">
      <c r="A98" s="4"/>
      <c r="B98" s="4"/>
      <c r="C98" s="8"/>
      <c r="D98" s="5"/>
      <c r="E98" s="6"/>
      <c r="F98" s="6"/>
      <c r="G98" s="6"/>
      <c r="H98" s="4"/>
      <c r="I98" s="4"/>
      <c r="J98" s="4"/>
      <c r="K98" s="4"/>
      <c r="L98" s="7"/>
      <c r="M98" s="7"/>
      <c r="N98" s="7"/>
      <c r="O98" s="7"/>
      <c r="P98" s="7"/>
      <c r="Q98" s="4"/>
      <c r="R98" s="7"/>
      <c r="S98" s="7"/>
      <c r="T98" s="7"/>
      <c r="U98" s="7"/>
      <c r="V98" s="7"/>
      <c r="W98" s="7"/>
      <c r="X98" s="7"/>
      <c r="Y98" s="7"/>
    </row>
    <row r="99">
      <c r="A99" s="4"/>
      <c r="B99" s="4"/>
      <c r="C99" s="8"/>
      <c r="D99" s="5"/>
      <c r="E99" s="6"/>
      <c r="F99" s="6"/>
      <c r="G99" s="6"/>
      <c r="H99" s="4"/>
      <c r="I99" s="4"/>
      <c r="J99" s="4"/>
      <c r="K99" s="4"/>
      <c r="L99" s="4"/>
      <c r="M99" s="7"/>
      <c r="N99" s="7"/>
      <c r="O99" s="7"/>
      <c r="P99" s="7"/>
      <c r="Q99" s="4"/>
      <c r="R99" s="7"/>
      <c r="S99" s="7"/>
      <c r="T99" s="7"/>
      <c r="U99" s="7"/>
      <c r="V99" s="7"/>
      <c r="W99" s="7"/>
      <c r="X99" s="7"/>
      <c r="Y99" s="7"/>
    </row>
    <row r="100">
      <c r="A100" s="4"/>
      <c r="B100" s="4"/>
      <c r="C100" s="8"/>
      <c r="D100" s="5"/>
      <c r="E100" s="6"/>
      <c r="F100" s="6"/>
      <c r="G100" s="6"/>
      <c r="H100" s="4"/>
      <c r="I100" s="4"/>
      <c r="J100" s="4"/>
      <c r="K100" s="4"/>
      <c r="L100" s="4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4"/>
      <c r="B101" s="4"/>
      <c r="C101" s="8"/>
      <c r="D101" s="5"/>
      <c r="E101" s="6"/>
      <c r="F101" s="6"/>
      <c r="G101" s="6"/>
      <c r="H101" s="4"/>
      <c r="I101" s="4"/>
      <c r="J101" s="4"/>
      <c r="K101" s="4"/>
      <c r="L101" s="4"/>
      <c r="M101" s="7"/>
      <c r="N101" s="7"/>
      <c r="O101" s="7"/>
      <c r="P101" s="7"/>
      <c r="Q101" s="4"/>
      <c r="R101" s="7"/>
      <c r="S101" s="7"/>
      <c r="T101" s="7"/>
      <c r="U101" s="7"/>
      <c r="V101" s="7"/>
      <c r="W101" s="7"/>
      <c r="X101" s="7"/>
      <c r="Y101" s="7"/>
    </row>
    <row r="102">
      <c r="A102" s="4"/>
      <c r="B102" s="4"/>
      <c r="C102" s="8"/>
      <c r="D102" s="5"/>
      <c r="E102" s="6"/>
      <c r="F102" s="6"/>
      <c r="G102" s="6"/>
      <c r="H102" s="4"/>
      <c r="I102" s="4"/>
      <c r="J102" s="4"/>
      <c r="K102" s="4"/>
      <c r="L102" s="4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4"/>
      <c r="B103" s="4"/>
      <c r="C103" s="8"/>
      <c r="D103" s="5"/>
      <c r="E103" s="6"/>
      <c r="F103" s="6"/>
      <c r="G103" s="6"/>
      <c r="H103" s="4"/>
      <c r="I103" s="4"/>
      <c r="J103" s="4"/>
      <c r="K103" s="4"/>
      <c r="L103" s="7"/>
      <c r="M103" s="7"/>
      <c r="N103" s="7"/>
      <c r="O103" s="7"/>
      <c r="P103" s="7"/>
      <c r="Q103" s="4"/>
      <c r="R103" s="7"/>
      <c r="S103" s="7"/>
      <c r="T103" s="7"/>
      <c r="U103" s="4"/>
      <c r="V103" s="7"/>
      <c r="W103" s="7"/>
      <c r="X103" s="7"/>
      <c r="Y103" s="7"/>
    </row>
    <row r="104">
      <c r="A104" s="4"/>
      <c r="B104" s="4"/>
      <c r="C104" s="8"/>
      <c r="D104" s="5"/>
      <c r="E104" s="6"/>
      <c r="F104" s="6"/>
      <c r="G104" s="6"/>
      <c r="H104" s="4"/>
      <c r="I104" s="4"/>
      <c r="J104" s="4"/>
      <c r="K104" s="4"/>
      <c r="L104" s="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4"/>
      <c r="B105" s="4"/>
      <c r="C105" s="8"/>
      <c r="D105" s="5"/>
      <c r="E105" s="6"/>
      <c r="F105" s="6"/>
      <c r="G105" s="6"/>
      <c r="H105" s="4"/>
      <c r="I105" s="4"/>
      <c r="J105" s="4"/>
      <c r="K105" s="4"/>
      <c r="L105" s="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4"/>
      <c r="B106" s="4"/>
      <c r="C106" s="8"/>
      <c r="D106" s="5"/>
      <c r="E106" s="6"/>
      <c r="F106" s="6"/>
      <c r="G106" s="6"/>
      <c r="H106" s="4"/>
      <c r="I106" s="4"/>
      <c r="J106" s="4"/>
      <c r="K106" s="4"/>
      <c r="L106" s="4"/>
      <c r="M106" s="7"/>
      <c r="N106" s="7"/>
      <c r="O106" s="7"/>
      <c r="P106" s="7"/>
      <c r="Q106" s="4"/>
      <c r="R106" s="7"/>
      <c r="S106" s="7"/>
      <c r="T106" s="7"/>
      <c r="U106" s="7"/>
      <c r="V106" s="7"/>
      <c r="W106" s="4"/>
      <c r="X106" s="7"/>
      <c r="Y106" s="7"/>
    </row>
    <row r="107">
      <c r="A107" s="4"/>
      <c r="B107" s="4"/>
      <c r="C107" s="8"/>
      <c r="D107" s="5"/>
      <c r="E107" s="6"/>
      <c r="F107" s="6"/>
      <c r="G107" s="6"/>
      <c r="H107" s="4"/>
      <c r="I107" s="4"/>
      <c r="J107" s="4"/>
      <c r="K107" s="4"/>
      <c r="L107" s="7"/>
      <c r="M107" s="4"/>
      <c r="N107" s="7"/>
      <c r="O107" s="7"/>
      <c r="P107" s="7"/>
      <c r="Q107" s="4"/>
      <c r="R107" s="7"/>
      <c r="S107" s="7"/>
      <c r="T107" s="7"/>
      <c r="U107" s="7"/>
      <c r="V107" s="7"/>
      <c r="W107" s="4"/>
      <c r="X107" s="7"/>
      <c r="Y107" s="7"/>
    </row>
    <row r="108">
      <c r="A108" s="4"/>
      <c r="B108" s="4"/>
      <c r="C108" s="8"/>
      <c r="D108" s="5"/>
      <c r="E108" s="6"/>
      <c r="F108" s="6"/>
      <c r="G108" s="6"/>
      <c r="H108" s="4"/>
      <c r="I108" s="4"/>
      <c r="J108" s="4"/>
      <c r="K108" s="4"/>
      <c r="L108" s="7"/>
      <c r="M108" s="4"/>
      <c r="N108" s="7"/>
      <c r="O108" s="7"/>
      <c r="P108" s="7"/>
      <c r="Q108" s="4"/>
      <c r="R108" s="7"/>
      <c r="S108" s="7"/>
      <c r="T108" s="7"/>
      <c r="U108" s="7"/>
      <c r="V108" s="7"/>
      <c r="W108" s="4"/>
      <c r="X108" s="7"/>
      <c r="Y108" s="7"/>
    </row>
    <row r="109">
      <c r="A109" s="4"/>
      <c r="B109" s="4"/>
      <c r="C109" s="8"/>
      <c r="D109" s="5"/>
      <c r="E109" s="6"/>
      <c r="F109" s="6"/>
      <c r="G109" s="6"/>
      <c r="H109" s="4"/>
      <c r="I109" s="4"/>
      <c r="J109" s="4"/>
      <c r="K109" s="4"/>
      <c r="L109" s="7"/>
      <c r="M109" s="7"/>
      <c r="N109" s="4"/>
      <c r="O109" s="7"/>
      <c r="P109" s="7"/>
      <c r="Q109" s="4"/>
      <c r="R109" s="7"/>
      <c r="S109" s="7"/>
      <c r="T109" s="7"/>
      <c r="U109" s="7"/>
      <c r="V109" s="7"/>
      <c r="W109" s="7"/>
      <c r="X109" s="7"/>
      <c r="Y109" s="7"/>
    </row>
    <row r="110">
      <c r="A110" s="4"/>
      <c r="B110" s="4"/>
      <c r="C110" s="8"/>
      <c r="D110" s="5"/>
      <c r="E110" s="6"/>
      <c r="F110" s="6"/>
      <c r="G110" s="6"/>
      <c r="H110" s="4"/>
      <c r="I110" s="4"/>
      <c r="J110" s="4"/>
      <c r="K110" s="4"/>
      <c r="L110" s="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4"/>
      <c r="B111" s="4"/>
      <c r="C111" s="8"/>
      <c r="D111" s="5"/>
      <c r="E111" s="6"/>
      <c r="F111" s="6"/>
      <c r="G111" s="6"/>
      <c r="H111" s="4"/>
      <c r="I111" s="4"/>
      <c r="J111" s="4"/>
      <c r="K111" s="4"/>
      <c r="L111" s="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4"/>
      <c r="B112" s="4"/>
      <c r="C112" s="8"/>
      <c r="D112" s="5"/>
      <c r="E112" s="6"/>
      <c r="F112" s="6"/>
      <c r="G112" s="6"/>
      <c r="H112" s="4"/>
      <c r="I112" s="4"/>
      <c r="J112" s="4"/>
      <c r="K112" s="4"/>
      <c r="L112" s="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4"/>
      <c r="B113" s="4"/>
      <c r="C113" s="8"/>
      <c r="D113" s="5"/>
      <c r="E113" s="6"/>
      <c r="F113" s="6"/>
      <c r="G113" s="6"/>
      <c r="H113" s="4"/>
      <c r="I113" s="4"/>
      <c r="J113" s="4"/>
      <c r="K113" s="4"/>
      <c r="L113" s="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4"/>
      <c r="B114" s="4"/>
      <c r="C114" s="8"/>
      <c r="D114" s="5"/>
      <c r="E114" s="6"/>
      <c r="F114" s="6"/>
      <c r="G114" s="6"/>
      <c r="H114" s="4"/>
      <c r="I114" s="4"/>
      <c r="J114" s="4"/>
      <c r="K114" s="4"/>
      <c r="L114" s="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4"/>
      <c r="B115" s="4"/>
      <c r="C115" s="8"/>
      <c r="D115" s="5"/>
      <c r="E115" s="6"/>
      <c r="F115" s="6"/>
      <c r="G115" s="6"/>
      <c r="H115" s="4"/>
      <c r="I115" s="4"/>
      <c r="J115" s="4"/>
      <c r="K115" s="4"/>
      <c r="L115" s="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4"/>
      <c r="B116" s="4"/>
      <c r="C116" s="8"/>
      <c r="D116" s="5"/>
      <c r="E116" s="6"/>
      <c r="F116" s="6"/>
      <c r="G116" s="6"/>
      <c r="H116" s="4"/>
      <c r="I116" s="4"/>
      <c r="J116" s="4"/>
      <c r="K116" s="4"/>
      <c r="L116" s="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4"/>
      <c r="B117" s="4"/>
      <c r="C117" s="8"/>
      <c r="D117" s="5"/>
      <c r="E117" s="6"/>
      <c r="F117" s="6"/>
      <c r="G117" s="6"/>
      <c r="H117" s="4"/>
      <c r="I117" s="4"/>
      <c r="J117" s="4"/>
      <c r="K117" s="4"/>
      <c r="L117" s="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4"/>
      <c r="B118" s="4"/>
      <c r="C118" s="8"/>
      <c r="D118" s="5"/>
      <c r="E118" s="6"/>
      <c r="F118" s="6"/>
      <c r="G118" s="6"/>
      <c r="H118" s="4"/>
      <c r="I118" s="4"/>
      <c r="J118" s="4"/>
      <c r="K118" s="4"/>
      <c r="L118" s="4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4"/>
      <c r="B119" s="4"/>
      <c r="C119" s="8"/>
      <c r="D119" s="5"/>
      <c r="E119" s="6"/>
      <c r="F119" s="6"/>
      <c r="G119" s="6"/>
      <c r="H119" s="4"/>
      <c r="I119" s="4"/>
      <c r="J119" s="4"/>
      <c r="K119" s="4"/>
      <c r="L119" s="4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4"/>
      <c r="B120" s="4"/>
      <c r="C120" s="8"/>
      <c r="D120" s="5"/>
      <c r="E120" s="6"/>
      <c r="F120" s="6"/>
      <c r="G120" s="6"/>
      <c r="H120" s="4"/>
      <c r="I120" s="4"/>
      <c r="J120" s="4"/>
      <c r="K120" s="4"/>
      <c r="L120" s="4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4"/>
      <c r="B121" s="4"/>
      <c r="C121" s="8"/>
      <c r="D121" s="5"/>
      <c r="E121" s="6"/>
      <c r="F121" s="6"/>
      <c r="G121" s="6"/>
      <c r="H121" s="4"/>
      <c r="I121" s="4"/>
      <c r="J121" s="4"/>
      <c r="K121" s="4"/>
      <c r="L121" s="4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"/>
      <c r="X121" s="7"/>
      <c r="Y121" s="7"/>
    </row>
    <row r="122">
      <c r="A122" s="4"/>
      <c r="B122" s="4"/>
      <c r="C122" s="8"/>
      <c r="D122" s="5"/>
      <c r="E122" s="6"/>
      <c r="F122" s="6"/>
      <c r="G122" s="6"/>
      <c r="H122" s="4"/>
      <c r="I122" s="4"/>
      <c r="J122" s="4"/>
      <c r="K122" s="4"/>
      <c r="L122" s="4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4"/>
      <c r="B123" s="4"/>
      <c r="C123" s="8"/>
      <c r="D123" s="5"/>
      <c r="E123" s="6"/>
      <c r="F123" s="6"/>
      <c r="G123" s="6"/>
      <c r="H123" s="4"/>
      <c r="I123" s="4"/>
      <c r="J123" s="4"/>
      <c r="K123" s="4"/>
      <c r="L123" s="4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"/>
      <c r="X123" s="7"/>
      <c r="Y123" s="7"/>
    </row>
    <row r="124">
      <c r="A124" s="4"/>
      <c r="B124" s="4"/>
      <c r="C124" s="8"/>
      <c r="D124" s="5"/>
      <c r="E124" s="6"/>
      <c r="F124" s="6"/>
      <c r="G124" s="6"/>
      <c r="H124" s="4"/>
      <c r="I124" s="4"/>
      <c r="J124" s="4"/>
      <c r="K124" s="4"/>
      <c r="L124" s="4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4"/>
      <c r="B125" s="4"/>
      <c r="C125" s="8"/>
      <c r="D125" s="5"/>
      <c r="E125" s="6"/>
      <c r="F125" s="6"/>
      <c r="G125" s="6"/>
      <c r="H125" s="4"/>
      <c r="I125" s="4"/>
      <c r="J125" s="4"/>
      <c r="K125" s="4"/>
      <c r="L125" s="4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4"/>
      <c r="B126" s="4"/>
      <c r="C126" s="8"/>
      <c r="D126" s="5"/>
      <c r="E126" s="6"/>
      <c r="F126" s="6"/>
      <c r="G126" s="6"/>
      <c r="H126" s="4"/>
      <c r="I126" s="4"/>
      <c r="J126" s="4"/>
      <c r="K126" s="4"/>
      <c r="L126" s="4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4"/>
      <c r="B127" s="4"/>
      <c r="C127" s="8"/>
      <c r="D127" s="5"/>
      <c r="E127" s="6"/>
      <c r="F127" s="6"/>
      <c r="G127" s="6"/>
      <c r="H127" s="4"/>
      <c r="I127" s="4"/>
      <c r="J127" s="4"/>
      <c r="K127" s="4"/>
      <c r="L127" s="7"/>
      <c r="M127" s="7"/>
      <c r="N127" s="7"/>
      <c r="O127" s="7"/>
      <c r="P127" s="7"/>
      <c r="Q127" s="4"/>
      <c r="R127" s="7"/>
      <c r="S127" s="7"/>
      <c r="T127" s="7"/>
      <c r="U127" s="7"/>
      <c r="V127" s="7"/>
      <c r="W127" s="7"/>
      <c r="X127" s="7"/>
      <c r="Y127" s="7"/>
    </row>
    <row r="128">
      <c r="A128" s="4"/>
      <c r="B128" s="4"/>
      <c r="C128" s="8"/>
      <c r="D128" s="5"/>
      <c r="E128" s="6"/>
      <c r="F128" s="6"/>
      <c r="G128" s="6"/>
      <c r="H128" s="4"/>
      <c r="I128" s="4"/>
      <c r="J128" s="4"/>
      <c r="K128" s="4"/>
      <c r="L128" s="7"/>
      <c r="M128" s="7"/>
      <c r="N128" s="7"/>
      <c r="O128" s="7"/>
      <c r="P128" s="7"/>
      <c r="Q128" s="4"/>
      <c r="R128" s="7"/>
      <c r="S128" s="7"/>
      <c r="T128" s="7"/>
      <c r="U128" s="7"/>
      <c r="V128" s="7"/>
      <c r="W128" s="4"/>
      <c r="X128" s="7"/>
      <c r="Y128" s="7"/>
    </row>
    <row r="129">
      <c r="A129" s="4"/>
      <c r="B129" s="4"/>
      <c r="C129" s="8"/>
      <c r="D129" s="5"/>
      <c r="E129" s="6"/>
      <c r="F129" s="6"/>
      <c r="G129" s="6"/>
      <c r="H129" s="4"/>
      <c r="I129" s="4"/>
      <c r="J129" s="4"/>
      <c r="K129" s="4"/>
      <c r="L129" s="7"/>
      <c r="M129" s="4"/>
      <c r="N129" s="7"/>
      <c r="O129" s="7"/>
      <c r="P129" s="7"/>
      <c r="Q129" s="4"/>
      <c r="R129" s="7"/>
      <c r="S129" s="7"/>
      <c r="T129" s="7"/>
      <c r="U129" s="7"/>
      <c r="V129" s="7"/>
      <c r="W129" s="4"/>
      <c r="X129" s="7"/>
      <c r="Y129" s="7"/>
    </row>
    <row r="130">
      <c r="A130" s="4"/>
      <c r="B130" s="4"/>
      <c r="C130" s="8"/>
      <c r="D130" s="5"/>
      <c r="E130" s="6"/>
      <c r="F130" s="6"/>
      <c r="G130" s="6"/>
      <c r="H130" s="4"/>
      <c r="I130" s="4"/>
      <c r="J130" s="4"/>
      <c r="K130" s="4"/>
      <c r="L130" s="7"/>
      <c r="M130" s="4"/>
      <c r="N130" s="7"/>
      <c r="O130" s="7"/>
      <c r="P130" s="7"/>
      <c r="Q130" s="4"/>
      <c r="R130" s="7"/>
      <c r="S130" s="7"/>
      <c r="T130" s="7"/>
      <c r="U130" s="7"/>
      <c r="V130" s="7"/>
      <c r="W130" s="4"/>
      <c r="X130" s="7"/>
      <c r="Y130" s="7"/>
    </row>
    <row r="131">
      <c r="A131" s="4"/>
      <c r="B131" s="4"/>
      <c r="C131" s="8"/>
      <c r="D131" s="5"/>
      <c r="E131" s="6"/>
      <c r="F131" s="6"/>
      <c r="G131" s="6"/>
      <c r="H131" s="4"/>
      <c r="I131" s="4"/>
      <c r="J131" s="4"/>
      <c r="K131" s="4"/>
      <c r="L131" s="7"/>
      <c r="M131" s="4"/>
      <c r="N131" s="7"/>
      <c r="O131" s="7"/>
      <c r="P131" s="7"/>
      <c r="Q131" s="4"/>
      <c r="R131" s="7"/>
      <c r="S131" s="7"/>
      <c r="T131" s="7"/>
      <c r="U131" s="7"/>
      <c r="V131" s="7"/>
      <c r="W131" s="4"/>
      <c r="X131" s="7"/>
      <c r="Y131" s="7"/>
    </row>
    <row r="132">
      <c r="A132" s="4"/>
      <c r="B132" s="4"/>
      <c r="C132" s="8"/>
      <c r="D132" s="5"/>
      <c r="E132" s="6"/>
      <c r="F132" s="6"/>
      <c r="G132" s="6"/>
      <c r="H132" s="4"/>
      <c r="I132" s="4"/>
      <c r="J132" s="4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"/>
      <c r="X132" s="4"/>
      <c r="Y132" s="4"/>
    </row>
    <row r="133">
      <c r="A133" s="4"/>
      <c r="B133" s="4"/>
      <c r="C133" s="8"/>
      <c r="D133" s="5"/>
      <c r="E133" s="6"/>
      <c r="F133" s="6"/>
      <c r="G133" s="6"/>
      <c r="H133" s="4"/>
      <c r="I133" s="4"/>
      <c r="J133" s="4"/>
      <c r="K133" s="4"/>
      <c r="L133" s="7"/>
      <c r="M133" s="7"/>
      <c r="N133" s="7"/>
      <c r="O133" s="7"/>
      <c r="P133" s="7"/>
      <c r="Q133" s="4"/>
      <c r="R133" s="7"/>
      <c r="S133" s="7"/>
      <c r="T133" s="7"/>
      <c r="U133" s="7"/>
      <c r="V133" s="7"/>
      <c r="W133" s="4"/>
      <c r="X133" s="4"/>
      <c r="Y133" s="4"/>
    </row>
    <row r="134">
      <c r="A134" s="4"/>
      <c r="B134" s="4"/>
      <c r="C134" s="8"/>
      <c r="D134" s="5"/>
      <c r="E134" s="6"/>
      <c r="F134" s="6"/>
      <c r="G134" s="6"/>
      <c r="H134" s="4"/>
      <c r="I134" s="4"/>
      <c r="J134" s="4"/>
      <c r="K134" s="4"/>
      <c r="L134" s="7"/>
      <c r="M134" s="7"/>
      <c r="N134" s="7"/>
      <c r="O134" s="7"/>
      <c r="P134" s="7"/>
      <c r="Q134" s="4"/>
      <c r="R134" s="7"/>
      <c r="S134" s="7"/>
      <c r="T134" s="7"/>
      <c r="U134" s="7"/>
      <c r="V134" s="7"/>
      <c r="W134" s="4"/>
      <c r="X134" s="7"/>
      <c r="Y134" s="7"/>
    </row>
    <row r="135">
      <c r="A135" s="4"/>
      <c r="B135" s="4"/>
      <c r="C135" s="8"/>
      <c r="D135" s="5"/>
      <c r="E135" s="6"/>
      <c r="F135" s="6"/>
      <c r="G135" s="6"/>
      <c r="H135" s="4"/>
      <c r="I135" s="4"/>
      <c r="J135" s="4"/>
      <c r="K135" s="4"/>
      <c r="L135" s="7"/>
      <c r="M135" s="7"/>
      <c r="N135" s="4"/>
      <c r="O135" s="7"/>
      <c r="P135" s="7"/>
      <c r="Q135" s="4"/>
      <c r="R135" s="7"/>
      <c r="S135" s="7"/>
      <c r="T135" s="7"/>
      <c r="U135" s="7"/>
      <c r="V135" s="7"/>
      <c r="W135" s="4"/>
      <c r="X135" s="7"/>
      <c r="Y135" s="7"/>
    </row>
    <row r="136">
      <c r="A136" s="4"/>
      <c r="B136" s="4"/>
      <c r="C136" s="8"/>
      <c r="D136" s="5"/>
      <c r="E136" s="6"/>
      <c r="F136" s="6"/>
      <c r="G136" s="6"/>
      <c r="H136" s="4"/>
      <c r="I136" s="4"/>
      <c r="J136" s="4"/>
      <c r="K136" s="4"/>
      <c r="L136" s="7"/>
      <c r="M136" s="7"/>
      <c r="N136" s="4"/>
      <c r="O136" s="7"/>
      <c r="P136" s="7"/>
      <c r="Q136" s="4"/>
      <c r="R136" s="7"/>
      <c r="S136" s="7"/>
      <c r="T136" s="7"/>
      <c r="U136" s="7"/>
      <c r="V136" s="7"/>
      <c r="W136" s="4"/>
      <c r="X136" s="7"/>
      <c r="Y136" s="7"/>
    </row>
    <row r="137">
      <c r="A137" s="4"/>
      <c r="B137" s="4"/>
      <c r="C137" s="8"/>
      <c r="D137" s="5"/>
      <c r="E137" s="6"/>
      <c r="F137" s="6"/>
      <c r="G137" s="6"/>
      <c r="H137" s="4"/>
      <c r="I137" s="4"/>
      <c r="J137" s="4"/>
      <c r="K137" s="4"/>
      <c r="L137" s="7"/>
      <c r="M137" s="7"/>
      <c r="N137" s="4"/>
      <c r="O137" s="7"/>
      <c r="P137" s="7"/>
      <c r="Q137" s="4"/>
      <c r="R137" s="7"/>
      <c r="S137" s="7"/>
      <c r="T137" s="7"/>
      <c r="U137" s="7"/>
      <c r="V137" s="7"/>
      <c r="W137" s="7"/>
      <c r="X137" s="7"/>
      <c r="Y137" s="7"/>
    </row>
    <row r="138">
      <c r="A138" s="4"/>
      <c r="B138" s="4"/>
      <c r="C138" s="8"/>
      <c r="D138" s="5"/>
      <c r="E138" s="6"/>
      <c r="F138" s="6"/>
      <c r="G138" s="6"/>
      <c r="H138" s="4"/>
      <c r="I138" s="4"/>
      <c r="J138" s="4"/>
      <c r="K138" s="4"/>
      <c r="L138" s="4"/>
      <c r="M138" s="7"/>
      <c r="N138" s="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4"/>
      <c r="B139" s="4"/>
      <c r="C139" s="8"/>
      <c r="D139" s="5"/>
      <c r="E139" s="6"/>
      <c r="F139" s="6"/>
      <c r="G139" s="6"/>
      <c r="H139" s="4"/>
      <c r="I139" s="4"/>
      <c r="J139" s="4"/>
      <c r="K139" s="4"/>
      <c r="L139" s="4"/>
      <c r="M139" s="7"/>
      <c r="N139" s="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4"/>
      <c r="B140" s="4"/>
      <c r="C140" s="8"/>
      <c r="D140" s="5"/>
      <c r="E140" s="6"/>
      <c r="F140" s="6"/>
      <c r="G140" s="6"/>
      <c r="H140" s="4"/>
      <c r="I140" s="4"/>
      <c r="J140" s="4"/>
      <c r="K140" s="4"/>
      <c r="L140" s="4"/>
      <c r="M140" s="7"/>
      <c r="N140" s="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4"/>
      <c r="B141" s="4"/>
      <c r="C141" s="8"/>
      <c r="D141" s="5"/>
      <c r="E141" s="6"/>
      <c r="F141" s="6"/>
      <c r="G141" s="6"/>
      <c r="H141" s="4"/>
      <c r="I141" s="4"/>
      <c r="J141" s="4"/>
      <c r="K141" s="4"/>
      <c r="L141" s="4"/>
      <c r="M141" s="7"/>
      <c r="N141" s="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4"/>
      <c r="B142" s="4"/>
      <c r="C142" s="8"/>
      <c r="D142" s="5"/>
      <c r="E142" s="6"/>
      <c r="F142" s="6"/>
      <c r="G142" s="6"/>
      <c r="H142" s="4"/>
      <c r="I142" s="4"/>
      <c r="J142" s="4"/>
      <c r="K142" s="4"/>
      <c r="L142" s="4"/>
      <c r="M142" s="7"/>
      <c r="N142" s="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4"/>
      <c r="B143" s="4"/>
      <c r="C143" s="8"/>
      <c r="D143" s="5"/>
      <c r="E143" s="6"/>
      <c r="F143" s="6"/>
      <c r="G143" s="6"/>
      <c r="H143" s="4"/>
      <c r="I143" s="4"/>
      <c r="J143" s="4"/>
      <c r="K143" s="4"/>
      <c r="L143" s="4"/>
      <c r="M143" s="7"/>
      <c r="N143" s="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4"/>
      <c r="B144" s="4"/>
      <c r="C144" s="8"/>
      <c r="D144" s="5"/>
      <c r="E144" s="6"/>
      <c r="F144" s="6"/>
      <c r="G144" s="6"/>
      <c r="H144" s="4"/>
      <c r="I144" s="4"/>
      <c r="J144" s="4"/>
      <c r="K144" s="4"/>
      <c r="L144" s="4"/>
      <c r="M144" s="7"/>
      <c r="N144" s="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4"/>
      <c r="B145" s="4"/>
      <c r="C145" s="8"/>
      <c r="D145" s="5"/>
      <c r="E145" s="6"/>
      <c r="F145" s="6"/>
      <c r="G145" s="6"/>
      <c r="H145" s="4"/>
      <c r="I145" s="4"/>
      <c r="J145" s="4"/>
      <c r="K145" s="4"/>
      <c r="L145" s="4"/>
      <c r="M145" s="7"/>
      <c r="N145" s="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4"/>
      <c r="B146" s="4"/>
      <c r="C146" s="4"/>
      <c r="D146" s="5"/>
      <c r="E146" s="6"/>
      <c r="F146" s="6"/>
      <c r="G146" s="6"/>
      <c r="H146" s="4"/>
      <c r="I146" s="4"/>
      <c r="J146" s="4"/>
      <c r="K146" s="4"/>
      <c r="L146" s="7"/>
      <c r="M146" s="7"/>
      <c r="N146" s="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4"/>
      <c r="B147" s="4"/>
      <c r="C147" s="8"/>
      <c r="D147" s="5"/>
      <c r="E147" s="6"/>
      <c r="F147" s="6"/>
      <c r="G147" s="6"/>
      <c r="H147" s="4"/>
      <c r="I147" s="4"/>
      <c r="J147" s="4"/>
      <c r="K147" s="4"/>
      <c r="L147" s="7"/>
      <c r="M147" s="7"/>
      <c r="N147" s="7"/>
      <c r="O147" s="7"/>
      <c r="P147" s="7"/>
      <c r="Q147" s="7"/>
      <c r="R147" s="7"/>
      <c r="S147" s="7"/>
      <c r="T147" s="4"/>
      <c r="U147" s="4"/>
      <c r="V147" s="7"/>
      <c r="W147" s="7"/>
      <c r="X147" s="7"/>
      <c r="Y147" s="7"/>
    </row>
    <row r="148">
      <c r="A148" s="4"/>
      <c r="B148" s="4"/>
      <c r="C148" s="8"/>
      <c r="D148" s="5"/>
      <c r="E148" s="6"/>
      <c r="F148" s="6"/>
      <c r="G148" s="6"/>
      <c r="H148" s="4"/>
      <c r="I148" s="4"/>
      <c r="J148" s="4"/>
      <c r="K148" s="4"/>
      <c r="L148" s="7"/>
      <c r="M148" s="7"/>
      <c r="N148" s="7"/>
      <c r="O148" s="7"/>
      <c r="P148" s="7"/>
      <c r="Q148" s="7"/>
      <c r="R148" s="7"/>
      <c r="S148" s="7"/>
      <c r="T148" s="4"/>
      <c r="U148" s="7"/>
      <c r="V148" s="7"/>
      <c r="W148" s="7"/>
      <c r="X148" s="7"/>
      <c r="Y148" s="7"/>
    </row>
    <row r="149">
      <c r="A149" s="4"/>
      <c r="B149" s="4"/>
      <c r="C149" s="8"/>
      <c r="D149" s="5"/>
      <c r="E149" s="6"/>
      <c r="F149" s="6"/>
      <c r="G149" s="6"/>
      <c r="H149" s="4"/>
      <c r="I149" s="4"/>
      <c r="J149" s="4"/>
      <c r="K149" s="4"/>
      <c r="L149" s="7"/>
      <c r="M149" s="7"/>
      <c r="N149" s="7"/>
      <c r="O149" s="4"/>
      <c r="P149" s="7"/>
      <c r="Q149" s="7"/>
      <c r="R149" s="7"/>
      <c r="S149" s="7"/>
      <c r="T149" s="7"/>
      <c r="U149" s="4"/>
      <c r="V149" s="7"/>
      <c r="W149" s="7"/>
      <c r="X149" s="7"/>
      <c r="Y149" s="7"/>
    </row>
    <row r="150">
      <c r="A150" s="4"/>
      <c r="B150" s="4"/>
      <c r="C150" s="8"/>
      <c r="D150" s="5"/>
      <c r="E150" s="6"/>
      <c r="F150" s="6"/>
      <c r="G150" s="6"/>
      <c r="H150" s="4"/>
      <c r="I150" s="4"/>
      <c r="J150" s="4"/>
      <c r="K150" s="4"/>
      <c r="L150" s="4"/>
      <c r="M150" s="7"/>
      <c r="N150" s="7"/>
      <c r="O150" s="7"/>
      <c r="P150" s="4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4"/>
      <c r="B151" s="4"/>
      <c r="C151" s="8"/>
      <c r="D151" s="5"/>
      <c r="E151" s="6"/>
      <c r="F151" s="6"/>
      <c r="G151" s="6"/>
      <c r="H151" s="4"/>
      <c r="I151" s="4"/>
      <c r="J151" s="4"/>
      <c r="K151" s="4"/>
      <c r="L151" s="7"/>
      <c r="M151" s="7"/>
      <c r="N151" s="7"/>
      <c r="O151" s="7"/>
      <c r="P151" s="7"/>
      <c r="Q151" s="4"/>
      <c r="R151" s="7"/>
      <c r="S151" s="7"/>
      <c r="T151" s="7"/>
      <c r="U151" s="7"/>
      <c r="V151" s="7"/>
      <c r="W151" s="7"/>
      <c r="X151" s="7"/>
      <c r="Y151" s="7"/>
    </row>
    <row r="152">
      <c r="A152" s="4"/>
      <c r="B152" s="4"/>
      <c r="C152" s="8"/>
      <c r="D152" s="5"/>
      <c r="E152" s="6"/>
      <c r="F152" s="6"/>
      <c r="G152" s="6"/>
      <c r="H152" s="4"/>
      <c r="I152" s="4"/>
      <c r="J152" s="4"/>
      <c r="K152" s="4"/>
      <c r="L152" s="7"/>
      <c r="M152" s="7"/>
      <c r="N152" s="4"/>
      <c r="O152" s="7"/>
      <c r="P152" s="4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4"/>
      <c r="B153" s="4"/>
      <c r="C153" s="8"/>
      <c r="D153" s="5"/>
      <c r="E153" s="6"/>
      <c r="F153" s="6"/>
      <c r="G153" s="6"/>
      <c r="H153" s="4"/>
      <c r="I153" s="4"/>
      <c r="J153" s="4"/>
      <c r="K153" s="4"/>
      <c r="L153" s="7"/>
      <c r="M153" s="7"/>
      <c r="N153" s="7"/>
      <c r="O153" s="7"/>
      <c r="P153" s="4"/>
      <c r="Q153" s="7"/>
      <c r="R153" s="7"/>
      <c r="S153" s="7"/>
      <c r="T153" s="4"/>
      <c r="U153" s="7"/>
      <c r="V153" s="7"/>
      <c r="W153" s="7"/>
      <c r="X153" s="7"/>
      <c r="Y153" s="7"/>
    </row>
    <row r="154">
      <c r="A154" s="4"/>
      <c r="B154" s="4"/>
      <c r="C154" s="8"/>
      <c r="D154" s="5"/>
      <c r="E154" s="6"/>
      <c r="F154" s="6"/>
      <c r="G154" s="6"/>
      <c r="H154" s="4"/>
      <c r="I154" s="4"/>
      <c r="J154" s="4"/>
      <c r="K154" s="4"/>
      <c r="L154" s="7"/>
      <c r="M154" s="7"/>
      <c r="N154" s="7"/>
      <c r="O154" s="7"/>
      <c r="P154" s="4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4"/>
      <c r="B155" s="4"/>
      <c r="C155" s="8"/>
      <c r="D155" s="5"/>
      <c r="E155" s="6"/>
      <c r="F155" s="6"/>
      <c r="G155" s="6"/>
      <c r="H155" s="4"/>
      <c r="I155" s="4"/>
      <c r="J155" s="4"/>
      <c r="K155" s="4"/>
      <c r="L155" s="7"/>
      <c r="M155" s="7"/>
      <c r="N155" s="7"/>
      <c r="O155" s="7"/>
      <c r="P155" s="7"/>
      <c r="Q155" s="4"/>
      <c r="R155" s="7"/>
      <c r="S155" s="4"/>
      <c r="T155" s="7"/>
      <c r="U155" s="7"/>
      <c r="V155" s="7"/>
      <c r="W155" s="7"/>
      <c r="X155" s="7"/>
      <c r="Y155" s="7"/>
    </row>
    <row r="156">
      <c r="A156" s="4"/>
      <c r="B156" s="4"/>
      <c r="C156" s="8"/>
      <c r="D156" s="5"/>
      <c r="E156" s="6"/>
      <c r="F156" s="6"/>
      <c r="G156" s="6"/>
      <c r="H156" s="4"/>
      <c r="I156" s="4"/>
      <c r="J156" s="4"/>
      <c r="K156" s="4"/>
      <c r="L156" s="7"/>
      <c r="M156" s="7"/>
      <c r="N156" s="4"/>
      <c r="O156" s="7"/>
      <c r="P156" s="4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4"/>
      <c r="B157" s="4"/>
      <c r="C157" s="8"/>
      <c r="D157" s="5"/>
      <c r="E157" s="6"/>
      <c r="F157" s="6"/>
      <c r="G157" s="6"/>
      <c r="H157" s="4"/>
      <c r="I157" s="4"/>
      <c r="J157" s="4"/>
      <c r="K157" s="4"/>
      <c r="L157" s="4"/>
      <c r="M157" s="7"/>
      <c r="N157" s="7"/>
      <c r="O157" s="7"/>
      <c r="P157" s="4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4"/>
      <c r="B158" s="4"/>
      <c r="C158" s="8"/>
      <c r="D158" s="5"/>
      <c r="E158" s="6"/>
      <c r="F158" s="6"/>
      <c r="G158" s="6"/>
      <c r="H158" s="4"/>
      <c r="I158" s="4"/>
      <c r="J158" s="4"/>
      <c r="K158" s="4"/>
      <c r="L158" s="7"/>
      <c r="M158" s="7"/>
      <c r="N158" s="7"/>
      <c r="O158" s="7"/>
      <c r="P158" s="4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4"/>
      <c r="B159" s="4"/>
      <c r="C159" s="8"/>
      <c r="D159" s="5"/>
      <c r="E159" s="6"/>
      <c r="F159" s="6"/>
      <c r="G159" s="6"/>
      <c r="H159" s="4"/>
      <c r="I159" s="4"/>
      <c r="J159" s="4"/>
      <c r="K159" s="4"/>
      <c r="L159" s="7"/>
      <c r="M159" s="7"/>
      <c r="N159" s="7"/>
      <c r="O159" s="7"/>
      <c r="P159" s="4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4"/>
      <c r="B160" s="4"/>
      <c r="C160" s="8"/>
      <c r="D160" s="5"/>
      <c r="E160" s="6"/>
      <c r="F160" s="6"/>
      <c r="G160" s="6"/>
      <c r="H160" s="4"/>
      <c r="I160" s="4"/>
      <c r="J160" s="4"/>
      <c r="K160" s="4"/>
      <c r="L160" s="4"/>
      <c r="M160" s="7"/>
      <c r="N160" s="7"/>
      <c r="O160" s="7"/>
      <c r="P160" s="4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4"/>
      <c r="B161" s="4"/>
      <c r="C161" s="8"/>
      <c r="D161" s="5"/>
      <c r="E161" s="6"/>
      <c r="F161" s="6"/>
      <c r="G161" s="6"/>
      <c r="H161" s="4"/>
      <c r="I161" s="4"/>
      <c r="J161" s="4"/>
      <c r="K161" s="4"/>
      <c r="L161" s="4"/>
      <c r="M161" s="7"/>
      <c r="N161" s="7"/>
      <c r="O161" s="7"/>
      <c r="P161" s="7"/>
      <c r="Q161" s="4"/>
      <c r="R161" s="7"/>
      <c r="S161" s="7"/>
      <c r="T161" s="7"/>
      <c r="U161" s="7"/>
      <c r="V161" s="7"/>
      <c r="W161" s="7"/>
      <c r="X161" s="7"/>
      <c r="Y161" s="7"/>
    </row>
    <row r="162">
      <c r="A162" s="4"/>
      <c r="B162" s="4"/>
      <c r="C162" s="8"/>
      <c r="D162" s="5"/>
      <c r="E162" s="6"/>
      <c r="F162" s="6"/>
      <c r="G162" s="6"/>
      <c r="H162" s="4"/>
      <c r="I162" s="4"/>
      <c r="J162" s="4"/>
      <c r="K162" s="4"/>
      <c r="L162" s="7"/>
      <c r="M162" s="7"/>
      <c r="N162" s="7"/>
      <c r="O162" s="7"/>
      <c r="P162" s="4"/>
      <c r="Q162" s="7"/>
      <c r="R162" s="4"/>
      <c r="S162" s="7"/>
      <c r="T162" s="7"/>
      <c r="U162" s="7"/>
      <c r="V162" s="7"/>
      <c r="W162" s="7"/>
      <c r="X162" s="7"/>
      <c r="Y162" s="7"/>
    </row>
    <row r="163">
      <c r="A163" s="4"/>
      <c r="B163" s="4"/>
      <c r="C163" s="8"/>
      <c r="D163" s="5"/>
      <c r="E163" s="6"/>
      <c r="F163" s="6"/>
      <c r="G163" s="6"/>
      <c r="H163" s="4"/>
      <c r="I163" s="4"/>
      <c r="J163" s="4"/>
      <c r="K163" s="4"/>
      <c r="L163" s="7"/>
      <c r="M163" s="7"/>
      <c r="N163" s="7"/>
      <c r="O163" s="7"/>
      <c r="P163" s="4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4"/>
      <c r="B164" s="4"/>
      <c r="C164" s="8"/>
      <c r="D164" s="5"/>
      <c r="E164" s="6"/>
      <c r="F164" s="6"/>
      <c r="G164" s="6"/>
      <c r="H164" s="4"/>
      <c r="I164" s="4"/>
      <c r="J164" s="4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"/>
      <c r="X164" s="7"/>
      <c r="Y164" s="7"/>
    </row>
    <row r="165">
      <c r="A165" s="4"/>
      <c r="B165" s="4"/>
      <c r="C165" s="8"/>
      <c r="D165" s="5"/>
      <c r="E165" s="6"/>
      <c r="F165" s="6"/>
      <c r="G165" s="6"/>
      <c r="H165" s="4"/>
      <c r="I165" s="4"/>
      <c r="J165" s="4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"/>
      <c r="X165" s="7"/>
      <c r="Y165" s="7"/>
    </row>
    <row r="166">
      <c r="A166" s="4"/>
      <c r="B166" s="8"/>
      <c r="C166" s="4"/>
      <c r="D166" s="5"/>
      <c r="E166" s="6"/>
      <c r="F166" s="6"/>
      <c r="G166" s="6"/>
      <c r="H166" s="4"/>
      <c r="I166" s="4"/>
      <c r="J166" s="4"/>
      <c r="K166" s="4"/>
      <c r="L166" s="7"/>
      <c r="M166" s="7"/>
      <c r="N166" s="7"/>
      <c r="O166" s="7"/>
      <c r="P166" s="4"/>
      <c r="Q166" s="7"/>
      <c r="R166" s="7"/>
      <c r="S166" s="7"/>
      <c r="T166" s="7"/>
      <c r="U166" s="7"/>
      <c r="V166" s="7"/>
      <c r="W166" s="4"/>
      <c r="X166" s="7"/>
      <c r="Y166" s="7"/>
    </row>
    <row r="167">
      <c r="A167" s="4"/>
      <c r="B167" s="8"/>
      <c r="C167" s="8"/>
      <c r="D167" s="5"/>
      <c r="E167" s="6"/>
      <c r="F167" s="6"/>
      <c r="G167" s="6"/>
      <c r="H167" s="4"/>
      <c r="I167" s="4"/>
      <c r="J167" s="4"/>
      <c r="K167" s="4"/>
      <c r="L167" s="7"/>
      <c r="M167" s="7"/>
      <c r="N167" s="7"/>
      <c r="O167" s="7"/>
      <c r="P167" s="4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4"/>
      <c r="B168" s="8"/>
      <c r="C168" s="8"/>
      <c r="D168" s="5"/>
      <c r="E168" s="6"/>
      <c r="F168" s="6"/>
      <c r="G168" s="6"/>
      <c r="H168" s="4"/>
      <c r="I168" s="4"/>
      <c r="J168" s="4"/>
      <c r="K168" s="4"/>
      <c r="L168" s="7"/>
      <c r="M168" s="7"/>
      <c r="N168" s="7"/>
      <c r="O168" s="7"/>
      <c r="P168" s="4"/>
      <c r="Q168" s="7"/>
      <c r="R168" s="7"/>
      <c r="S168" s="7"/>
      <c r="T168" s="7"/>
      <c r="U168" s="7"/>
      <c r="V168" s="7"/>
      <c r="W168" s="4"/>
      <c r="X168" s="7"/>
      <c r="Y168" s="7"/>
    </row>
    <row r="169">
      <c r="A169" s="4"/>
      <c r="B169" s="8"/>
      <c r="C169" s="8"/>
      <c r="D169" s="5"/>
      <c r="E169" s="6"/>
      <c r="F169" s="6"/>
      <c r="G169" s="6"/>
      <c r="H169" s="4"/>
      <c r="I169" s="4"/>
      <c r="J169" s="4"/>
      <c r="K169" s="4"/>
      <c r="L169" s="7"/>
      <c r="M169" s="7"/>
      <c r="N169" s="7"/>
      <c r="O169" s="7"/>
      <c r="P169" s="4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4"/>
      <c r="B170" s="4"/>
      <c r="C170" s="8"/>
      <c r="D170" s="5"/>
      <c r="E170" s="6"/>
      <c r="F170" s="6"/>
      <c r="G170" s="6"/>
      <c r="H170" s="4"/>
      <c r="I170" s="4"/>
      <c r="J170" s="4"/>
      <c r="K170" s="4"/>
      <c r="L170" s="7"/>
      <c r="M170" s="7"/>
      <c r="N170" s="7"/>
      <c r="O170" s="4"/>
      <c r="P170" s="7"/>
      <c r="Q170" s="4"/>
      <c r="R170" s="7"/>
      <c r="S170" s="7"/>
      <c r="T170" s="7"/>
      <c r="U170" s="7"/>
      <c r="V170" s="7"/>
      <c r="W170" s="7"/>
      <c r="X170" s="7"/>
      <c r="Y170" s="7"/>
    </row>
    <row r="171">
      <c r="A171" s="4"/>
      <c r="B171" s="4"/>
      <c r="C171" s="8"/>
      <c r="D171" s="5"/>
      <c r="E171" s="6"/>
      <c r="F171" s="6"/>
      <c r="G171" s="6"/>
      <c r="H171" s="4"/>
      <c r="I171" s="4"/>
      <c r="J171" s="4"/>
      <c r="K171" s="4"/>
      <c r="L171" s="7"/>
      <c r="M171" s="7"/>
      <c r="N171" s="4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7"/>
    </row>
    <row r="172">
      <c r="A172" s="4"/>
      <c r="B172" s="4"/>
      <c r="C172" s="8"/>
      <c r="D172" s="5"/>
      <c r="E172" s="6"/>
      <c r="F172" s="6"/>
      <c r="G172" s="6"/>
      <c r="H172" s="4"/>
      <c r="I172" s="4"/>
      <c r="J172" s="4"/>
      <c r="K172" s="4"/>
      <c r="L172" s="7"/>
      <c r="M172" s="7"/>
      <c r="N172" s="4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7"/>
    </row>
    <row r="173">
      <c r="A173" s="4"/>
      <c r="B173" s="4"/>
      <c r="C173" s="8"/>
      <c r="D173" s="5"/>
      <c r="E173" s="6"/>
      <c r="F173" s="6"/>
      <c r="G173" s="6"/>
      <c r="H173" s="4"/>
      <c r="I173" s="4"/>
      <c r="J173" s="4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7"/>
    </row>
    <row r="174">
      <c r="A174" s="4"/>
      <c r="B174" s="4"/>
      <c r="C174" s="8"/>
      <c r="D174" s="5"/>
      <c r="E174" s="6"/>
      <c r="F174" s="6"/>
      <c r="G174" s="6"/>
      <c r="H174" s="4"/>
      <c r="I174" s="4"/>
      <c r="J174" s="4"/>
      <c r="K174" s="4"/>
      <c r="L174" s="7"/>
      <c r="M174" s="7"/>
      <c r="N174" s="7"/>
      <c r="O174" s="4"/>
      <c r="P174" s="7"/>
      <c r="Q174" s="7"/>
      <c r="R174" s="7"/>
      <c r="S174" s="7"/>
      <c r="T174" s="7"/>
      <c r="U174" s="7"/>
      <c r="V174" s="7"/>
      <c r="W174" s="7"/>
      <c r="X174" s="4"/>
      <c r="Y174" s="7"/>
    </row>
    <row r="175">
      <c r="A175" s="4"/>
      <c r="B175" s="4"/>
      <c r="C175" s="8"/>
      <c r="D175" s="5"/>
      <c r="E175" s="6"/>
      <c r="F175" s="6"/>
      <c r="G175" s="6"/>
      <c r="H175" s="4"/>
      <c r="I175" s="4"/>
      <c r="J175" s="4"/>
      <c r="K175" s="4"/>
      <c r="L175" s="7"/>
      <c r="M175" s="7"/>
      <c r="N175" s="7"/>
      <c r="O175" s="4"/>
      <c r="P175" s="7"/>
      <c r="Q175" s="7"/>
      <c r="R175" s="7"/>
      <c r="S175" s="7"/>
      <c r="T175" s="7"/>
      <c r="U175" s="7"/>
      <c r="V175" s="7"/>
      <c r="W175" s="7"/>
      <c r="X175" s="4"/>
      <c r="Y175" s="7"/>
    </row>
    <row r="176">
      <c r="A176" s="4"/>
      <c r="B176" s="4"/>
      <c r="C176" s="8"/>
      <c r="D176" s="5"/>
      <c r="E176" s="6"/>
      <c r="F176" s="6"/>
      <c r="G176" s="6"/>
      <c r="H176" s="4"/>
      <c r="I176" s="4"/>
      <c r="J176" s="4"/>
      <c r="K176" s="4"/>
      <c r="L176" s="7"/>
      <c r="M176" s="7"/>
      <c r="N176" s="7"/>
      <c r="O176" s="4"/>
      <c r="P176" s="7"/>
      <c r="Q176" s="7"/>
      <c r="R176" s="7"/>
      <c r="S176" s="7"/>
      <c r="T176" s="7"/>
      <c r="U176" s="7"/>
      <c r="V176" s="7"/>
      <c r="W176" s="7"/>
      <c r="X176" s="4"/>
      <c r="Y176" s="7"/>
    </row>
    <row r="177">
      <c r="A177" s="4"/>
      <c r="B177" s="4"/>
      <c r="C177" s="8"/>
      <c r="D177" s="5"/>
      <c r="E177" s="6"/>
      <c r="F177" s="6"/>
      <c r="G177" s="6"/>
      <c r="H177" s="4"/>
      <c r="I177" s="4"/>
      <c r="J177" s="4"/>
      <c r="K177" s="4"/>
      <c r="L177" s="7"/>
      <c r="M177" s="7"/>
      <c r="N177" s="7"/>
      <c r="O177" s="4"/>
      <c r="P177" s="7"/>
      <c r="Q177" s="7"/>
      <c r="R177" s="7"/>
      <c r="S177" s="7"/>
      <c r="T177" s="7"/>
      <c r="U177" s="7"/>
      <c r="V177" s="7"/>
      <c r="W177" s="7"/>
      <c r="X177" s="4"/>
      <c r="Y177" s="7"/>
    </row>
    <row r="178">
      <c r="A178" s="4"/>
      <c r="B178" s="4"/>
      <c r="C178" s="8"/>
      <c r="D178" s="5"/>
      <c r="E178" s="6"/>
      <c r="F178" s="6"/>
      <c r="G178" s="6"/>
      <c r="H178" s="4"/>
      <c r="I178" s="4"/>
      <c r="J178" s="4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7"/>
    </row>
    <row r="179">
      <c r="A179" s="4"/>
      <c r="B179" s="4"/>
      <c r="C179" s="8"/>
      <c r="D179" s="5"/>
      <c r="E179" s="6"/>
      <c r="F179" s="6"/>
      <c r="G179" s="6"/>
      <c r="H179" s="4"/>
      <c r="I179" s="4"/>
      <c r="J179" s="4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7"/>
    </row>
    <row r="180">
      <c r="A180" s="4"/>
      <c r="B180" s="4"/>
      <c r="C180" s="8"/>
      <c r="D180" s="5"/>
      <c r="E180" s="6"/>
      <c r="F180" s="6"/>
      <c r="G180" s="6"/>
      <c r="H180" s="4"/>
      <c r="I180" s="4"/>
      <c r="J180" s="4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7"/>
    </row>
    <row r="181">
      <c r="A181" s="4"/>
      <c r="B181" s="4"/>
      <c r="C181" s="8"/>
      <c r="D181" s="5"/>
      <c r="E181" s="6"/>
      <c r="F181" s="6"/>
      <c r="G181" s="6"/>
      <c r="H181" s="4"/>
      <c r="I181" s="4"/>
      <c r="J181" s="4"/>
      <c r="K181" s="4"/>
      <c r="L181" s="7"/>
      <c r="M181" s="7"/>
      <c r="N181" s="7"/>
      <c r="O181" s="7"/>
      <c r="P181" s="7"/>
      <c r="Q181" s="4"/>
      <c r="R181" s="7"/>
      <c r="S181" s="7"/>
      <c r="T181" s="7"/>
      <c r="U181" s="7"/>
      <c r="V181" s="7"/>
      <c r="W181" s="4"/>
      <c r="X181" s="7"/>
      <c r="Y181" s="7"/>
    </row>
    <row r="182">
      <c r="A182" s="4"/>
      <c r="B182" s="4"/>
      <c r="C182" s="8"/>
      <c r="D182" s="5"/>
      <c r="E182" s="6"/>
      <c r="F182" s="6"/>
      <c r="G182" s="6"/>
      <c r="H182" s="4"/>
      <c r="I182" s="4"/>
      <c r="J182" s="4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"/>
      <c r="X182" s="7"/>
      <c r="Y182" s="7"/>
    </row>
    <row r="183">
      <c r="A183" s="4"/>
      <c r="B183" s="4"/>
      <c r="C183" s="8"/>
      <c r="D183" s="5"/>
      <c r="E183" s="6"/>
      <c r="F183" s="6"/>
      <c r="G183" s="6"/>
      <c r="H183" s="4"/>
      <c r="I183" s="4"/>
      <c r="J183" s="4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"/>
      <c r="X183" s="7"/>
      <c r="Y183" s="7"/>
    </row>
    <row r="184">
      <c r="A184" s="4"/>
      <c r="B184" s="4"/>
      <c r="C184" s="8"/>
      <c r="D184" s="5"/>
      <c r="E184" s="6"/>
      <c r="F184" s="6"/>
      <c r="G184" s="6"/>
      <c r="H184" s="4"/>
      <c r="I184" s="4"/>
      <c r="J184" s="4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4"/>
      <c r="W184" s="7"/>
      <c r="X184" s="7"/>
      <c r="Y184" s="7"/>
    </row>
    <row r="185">
      <c r="A185" s="4"/>
      <c r="B185" s="4"/>
      <c r="C185" s="8"/>
      <c r="D185" s="5"/>
      <c r="E185" s="6"/>
      <c r="F185" s="6"/>
      <c r="G185" s="6"/>
      <c r="H185" s="4"/>
      <c r="I185" s="4"/>
      <c r="J185" s="4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4"/>
      <c r="W185" s="7"/>
      <c r="X185" s="7"/>
      <c r="Y185" s="7"/>
    </row>
    <row r="186">
      <c r="A186" s="4"/>
      <c r="B186" s="4"/>
      <c r="C186" s="8"/>
      <c r="D186" s="5"/>
      <c r="E186" s="6"/>
      <c r="F186" s="6"/>
      <c r="G186" s="6"/>
      <c r="H186" s="4"/>
      <c r="I186" s="4"/>
      <c r="J186" s="4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4"/>
      <c r="W186" s="7"/>
      <c r="X186" s="7"/>
      <c r="Y186" s="7"/>
    </row>
    <row r="187">
      <c r="A187" s="4"/>
      <c r="B187" s="4"/>
      <c r="C187" s="8"/>
      <c r="D187" s="5"/>
      <c r="E187" s="6"/>
      <c r="F187" s="6"/>
      <c r="G187" s="6"/>
      <c r="H187" s="4"/>
      <c r="I187" s="4"/>
      <c r="J187" s="4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4"/>
      <c r="W187" s="7"/>
      <c r="X187" s="7"/>
      <c r="Y187" s="7"/>
    </row>
    <row r="188">
      <c r="A188" s="4"/>
      <c r="B188" s="4"/>
      <c r="C188" s="8"/>
      <c r="D188" s="5"/>
      <c r="E188" s="6"/>
      <c r="F188" s="6"/>
      <c r="G188" s="6"/>
      <c r="H188" s="4"/>
      <c r="I188" s="4"/>
      <c r="J188" s="4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4"/>
      <c r="W188" s="7"/>
      <c r="X188" s="7"/>
      <c r="Y188" s="7"/>
    </row>
    <row r="189">
      <c r="A189" s="4"/>
      <c r="B189" s="4"/>
      <c r="C189" s="8"/>
      <c r="D189" s="5"/>
      <c r="E189" s="6"/>
      <c r="F189" s="6"/>
      <c r="G189" s="6"/>
      <c r="H189" s="4"/>
      <c r="I189" s="4"/>
      <c r="J189" s="4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4"/>
      <c r="W189" s="7"/>
      <c r="X189" s="7"/>
      <c r="Y189" s="7"/>
    </row>
    <row r="190">
      <c r="A190" s="4"/>
      <c r="B190" s="4"/>
      <c r="C190" s="8"/>
      <c r="D190" s="5"/>
      <c r="E190" s="6"/>
      <c r="F190" s="6"/>
      <c r="G190" s="6"/>
      <c r="H190" s="4"/>
      <c r="I190" s="4"/>
      <c r="J190" s="4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4"/>
      <c r="W190" s="7"/>
      <c r="X190" s="7"/>
      <c r="Y190" s="7"/>
    </row>
    <row r="191">
      <c r="A191" s="4"/>
      <c r="B191" s="4"/>
      <c r="C191" s="8"/>
      <c r="D191" s="5"/>
      <c r="E191" s="6"/>
      <c r="F191" s="6"/>
      <c r="G191" s="6"/>
      <c r="H191" s="4"/>
      <c r="I191" s="4"/>
      <c r="J191" s="4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4"/>
      <c r="W191" s="7"/>
      <c r="X191" s="7"/>
      <c r="Y191" s="7"/>
    </row>
    <row r="192">
      <c r="A192" s="4"/>
      <c r="B192" s="4"/>
      <c r="C192" s="8"/>
      <c r="D192" s="5"/>
      <c r="E192" s="6"/>
      <c r="F192" s="6"/>
      <c r="G192" s="6"/>
      <c r="H192" s="4"/>
      <c r="I192" s="4"/>
      <c r="J192" s="4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4"/>
      <c r="W192" s="7"/>
      <c r="X192" s="7"/>
      <c r="Y192" s="7"/>
    </row>
    <row r="193">
      <c r="A193" s="4"/>
      <c r="B193" s="4"/>
      <c r="C193" s="8"/>
      <c r="D193" s="5"/>
      <c r="E193" s="6"/>
      <c r="F193" s="6"/>
      <c r="G193" s="6"/>
      <c r="H193" s="4"/>
      <c r="I193" s="4"/>
      <c r="J193" s="4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4"/>
      <c r="W193" s="7"/>
      <c r="X193" s="7"/>
      <c r="Y193" s="7"/>
    </row>
    <row r="194">
      <c r="A194" s="4"/>
      <c r="B194" s="4"/>
      <c r="C194" s="8"/>
      <c r="D194" s="5"/>
      <c r="E194" s="6"/>
      <c r="F194" s="6"/>
      <c r="G194" s="6"/>
      <c r="H194" s="4"/>
      <c r="I194" s="4"/>
      <c r="J194" s="4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4"/>
      <c r="W194" s="7"/>
      <c r="X194" s="7"/>
      <c r="Y194" s="7"/>
    </row>
    <row r="195">
      <c r="A195" s="4"/>
      <c r="B195" s="4"/>
      <c r="C195" s="8"/>
      <c r="D195" s="5"/>
      <c r="E195" s="6"/>
      <c r="F195" s="6"/>
      <c r="G195" s="6"/>
      <c r="H195" s="4"/>
      <c r="I195" s="4"/>
      <c r="J195" s="4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4"/>
      <c r="W195" s="7"/>
      <c r="X195" s="7"/>
      <c r="Y195" s="7"/>
    </row>
    <row r="196">
      <c r="A196" s="4"/>
      <c r="B196" s="4"/>
      <c r="C196" s="8"/>
      <c r="D196" s="5"/>
      <c r="E196" s="6"/>
      <c r="F196" s="6"/>
      <c r="G196" s="6"/>
      <c r="H196" s="4"/>
      <c r="I196" s="4"/>
      <c r="J196" s="4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4"/>
      <c r="W196" s="7"/>
      <c r="X196" s="7"/>
      <c r="Y196" s="7"/>
    </row>
    <row r="197">
      <c r="A197" s="4"/>
      <c r="B197" s="4"/>
      <c r="C197" s="8"/>
      <c r="D197" s="5"/>
      <c r="E197" s="6"/>
      <c r="F197" s="6"/>
      <c r="G197" s="6"/>
      <c r="H197" s="4"/>
      <c r="I197" s="4"/>
      <c r="J197" s="4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4"/>
      <c r="W197" s="7"/>
      <c r="X197" s="7"/>
      <c r="Y197" s="7"/>
    </row>
    <row r="198">
      <c r="A198" s="4"/>
      <c r="B198" s="4"/>
      <c r="C198" s="8"/>
      <c r="D198" s="5"/>
      <c r="E198" s="6"/>
      <c r="F198" s="6"/>
      <c r="G198" s="6"/>
      <c r="H198" s="4"/>
      <c r="I198" s="4"/>
      <c r="J198" s="4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4"/>
      <c r="W198" s="7"/>
      <c r="X198" s="7"/>
      <c r="Y198" s="7"/>
    </row>
    <row r="199">
      <c r="A199" s="4"/>
      <c r="B199" s="4"/>
      <c r="C199" s="8"/>
      <c r="D199" s="5"/>
      <c r="E199" s="6"/>
      <c r="F199" s="6"/>
      <c r="G199" s="6"/>
      <c r="H199" s="4"/>
      <c r="I199" s="4"/>
      <c r="J199" s="4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4"/>
      <c r="W199" s="7"/>
      <c r="X199" s="7"/>
      <c r="Y199" s="7"/>
    </row>
    <row r="200">
      <c r="A200" s="4"/>
      <c r="B200" s="4"/>
      <c r="C200" s="8"/>
      <c r="D200" s="5"/>
      <c r="E200" s="6"/>
      <c r="F200" s="6"/>
      <c r="G200" s="6"/>
      <c r="H200" s="4"/>
      <c r="I200" s="4"/>
      <c r="J200" s="4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4"/>
      <c r="W200" s="7"/>
      <c r="X200" s="7"/>
      <c r="Y200" s="7"/>
    </row>
    <row r="201">
      <c r="A201" s="4"/>
      <c r="B201" s="4"/>
      <c r="C201" s="8"/>
      <c r="D201" s="5"/>
      <c r="E201" s="6"/>
      <c r="F201" s="6"/>
      <c r="G201" s="6"/>
      <c r="H201" s="4"/>
      <c r="I201" s="4"/>
      <c r="J201" s="4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4"/>
      <c r="B202" s="4"/>
      <c r="C202" s="8"/>
      <c r="D202" s="5"/>
      <c r="E202" s="6"/>
      <c r="F202" s="6"/>
      <c r="G202" s="6"/>
      <c r="H202" s="4"/>
      <c r="I202" s="4"/>
      <c r="J202" s="4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4"/>
      <c r="B203" s="4"/>
      <c r="C203" s="8"/>
      <c r="D203" s="5"/>
      <c r="E203" s="6"/>
      <c r="F203" s="6"/>
      <c r="G203" s="6"/>
      <c r="H203" s="4"/>
      <c r="I203" s="4"/>
      <c r="J203" s="4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4"/>
      <c r="B204" s="4"/>
      <c r="C204" s="8"/>
      <c r="D204" s="5"/>
      <c r="E204" s="6"/>
      <c r="F204" s="6"/>
      <c r="G204" s="6"/>
      <c r="H204" s="4"/>
      <c r="I204" s="4"/>
      <c r="J204" s="4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4"/>
      <c r="B205" s="4"/>
      <c r="C205" s="8"/>
      <c r="D205" s="5"/>
      <c r="E205" s="6"/>
      <c r="F205" s="6"/>
      <c r="G205" s="6"/>
      <c r="H205" s="4"/>
      <c r="I205" s="4"/>
      <c r="J205" s="4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4"/>
      <c r="B206" s="4"/>
      <c r="C206" s="8"/>
      <c r="D206" s="5"/>
      <c r="E206" s="6"/>
      <c r="F206" s="6"/>
      <c r="G206" s="6"/>
      <c r="H206" s="4"/>
      <c r="I206" s="4"/>
      <c r="J206" s="4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4"/>
      <c r="B207" s="4"/>
      <c r="C207" s="8"/>
      <c r="D207" s="5"/>
      <c r="E207" s="6"/>
      <c r="F207" s="6"/>
      <c r="G207" s="6"/>
      <c r="H207" s="4"/>
      <c r="I207" s="4"/>
      <c r="J207" s="4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4"/>
      <c r="B208" s="4"/>
      <c r="C208" s="8"/>
      <c r="D208" s="5"/>
      <c r="E208" s="6"/>
      <c r="F208" s="6"/>
      <c r="G208" s="6"/>
      <c r="H208" s="4"/>
      <c r="I208" s="4"/>
      <c r="J208" s="4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4"/>
      <c r="B209" s="4"/>
      <c r="C209" s="8"/>
      <c r="D209" s="5"/>
      <c r="E209" s="6"/>
      <c r="F209" s="6"/>
      <c r="G209" s="6"/>
      <c r="H209" s="4"/>
      <c r="I209" s="4"/>
      <c r="J209" s="4"/>
      <c r="K209" s="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4"/>
      <c r="B210" s="4"/>
      <c r="C210" s="8"/>
      <c r="D210" s="5"/>
      <c r="E210" s="6"/>
      <c r="F210" s="6"/>
      <c r="G210" s="6"/>
      <c r="H210" s="4"/>
      <c r="I210" s="4"/>
      <c r="J210" s="4"/>
      <c r="K210" s="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4"/>
      <c r="B211" s="4"/>
      <c r="C211" s="8"/>
      <c r="D211" s="5"/>
      <c r="E211" s="6"/>
      <c r="F211" s="6"/>
      <c r="G211" s="6"/>
      <c r="H211" s="4"/>
      <c r="I211" s="4"/>
      <c r="J211" s="4"/>
      <c r="K211" s="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4"/>
      <c r="B212" s="4"/>
      <c r="C212" s="8"/>
      <c r="D212" s="5"/>
      <c r="E212" s="6"/>
      <c r="F212" s="6"/>
      <c r="G212" s="6"/>
      <c r="H212" s="4"/>
      <c r="I212" s="4"/>
      <c r="J212" s="4"/>
      <c r="K212" s="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4"/>
      <c r="B213" s="4"/>
      <c r="C213" s="8"/>
      <c r="D213" s="5"/>
      <c r="E213" s="6"/>
      <c r="F213" s="6"/>
      <c r="G213" s="6"/>
      <c r="H213" s="4"/>
      <c r="I213" s="4"/>
      <c r="J213" s="4"/>
      <c r="K213" s="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4"/>
      <c r="B214" s="4"/>
      <c r="C214" s="8"/>
      <c r="D214" s="5"/>
      <c r="E214" s="6"/>
      <c r="F214" s="6"/>
      <c r="G214" s="6"/>
      <c r="H214" s="4"/>
      <c r="I214" s="4"/>
      <c r="J214" s="4"/>
      <c r="K214" s="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4"/>
      <c r="B215" s="4"/>
      <c r="C215" s="8"/>
      <c r="D215" s="5"/>
      <c r="E215" s="6"/>
      <c r="F215" s="6"/>
      <c r="G215" s="6"/>
      <c r="H215" s="4"/>
      <c r="I215" s="4"/>
      <c r="J215" s="4"/>
      <c r="K215" s="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4"/>
      <c r="B216" s="4"/>
      <c r="C216" s="8"/>
      <c r="D216" s="5"/>
      <c r="E216" s="6"/>
      <c r="F216" s="6"/>
      <c r="G216" s="6"/>
      <c r="H216" s="4"/>
      <c r="I216" s="4"/>
      <c r="J216" s="4"/>
      <c r="K216" s="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4"/>
      <c r="B217" s="4"/>
      <c r="C217" s="8"/>
      <c r="D217" s="5"/>
      <c r="E217" s="6"/>
      <c r="F217" s="6"/>
      <c r="G217" s="6"/>
      <c r="H217" s="4"/>
      <c r="I217" s="4"/>
      <c r="J217" s="4"/>
      <c r="K217" s="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4"/>
      <c r="B218" s="4"/>
      <c r="C218" s="8"/>
      <c r="D218" s="5"/>
      <c r="E218" s="6"/>
      <c r="F218" s="6"/>
      <c r="G218" s="6"/>
      <c r="H218" s="4"/>
      <c r="I218" s="4"/>
      <c r="J218" s="4"/>
      <c r="K218" s="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4"/>
      <c r="B219" s="4"/>
      <c r="C219" s="8"/>
      <c r="D219" s="5"/>
      <c r="E219" s="6"/>
      <c r="F219" s="6"/>
      <c r="G219" s="6"/>
      <c r="H219" s="4"/>
      <c r="I219" s="4"/>
      <c r="J219" s="4"/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4"/>
      <c r="B220" s="4"/>
      <c r="C220" s="8"/>
      <c r="D220" s="5"/>
      <c r="E220" s="6"/>
      <c r="F220" s="6"/>
      <c r="G220" s="6"/>
      <c r="H220" s="4"/>
      <c r="I220" s="4"/>
      <c r="J220" s="4"/>
      <c r="K220" s="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4"/>
      <c r="B221" s="4"/>
      <c r="C221" s="8"/>
      <c r="D221" s="5"/>
      <c r="E221" s="6"/>
      <c r="F221" s="6"/>
      <c r="G221" s="6"/>
      <c r="H221" s="4"/>
      <c r="I221" s="4"/>
      <c r="J221" s="4"/>
      <c r="K221" s="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4"/>
      <c r="B222" s="4"/>
      <c r="C222" s="8"/>
      <c r="D222" s="5"/>
      <c r="E222" s="6"/>
      <c r="F222" s="6"/>
      <c r="G222" s="6"/>
      <c r="H222" s="4"/>
      <c r="I222" s="4"/>
      <c r="J222" s="4"/>
      <c r="K222" s="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4"/>
      <c r="B223" s="4"/>
      <c r="C223" s="8"/>
      <c r="D223" s="5"/>
      <c r="E223" s="6"/>
      <c r="F223" s="6"/>
      <c r="G223" s="6"/>
      <c r="H223" s="4"/>
      <c r="I223" s="4"/>
      <c r="J223" s="4"/>
      <c r="K223" s="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4"/>
      <c r="B224" s="4"/>
      <c r="C224" s="8"/>
      <c r="D224" s="5"/>
      <c r="E224" s="6"/>
      <c r="F224" s="6"/>
      <c r="G224" s="6"/>
      <c r="H224" s="4"/>
      <c r="I224" s="4"/>
      <c r="J224" s="4"/>
      <c r="K224" s="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4"/>
      <c r="B225" s="4"/>
      <c r="C225" s="8"/>
      <c r="D225" s="5"/>
      <c r="E225" s="6"/>
      <c r="F225" s="6"/>
      <c r="G225" s="6"/>
      <c r="H225" s="4"/>
      <c r="I225" s="4"/>
      <c r="J225" s="4"/>
      <c r="K225" s="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4"/>
      <c r="B226" s="4"/>
      <c r="C226" s="8"/>
      <c r="D226" s="5"/>
      <c r="E226" s="6"/>
      <c r="F226" s="6"/>
      <c r="G226" s="6"/>
      <c r="H226" s="4"/>
      <c r="I226" s="4"/>
      <c r="J226" s="4"/>
      <c r="K226" s="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4"/>
      <c r="B227" s="4"/>
      <c r="C227" s="8"/>
      <c r="D227" s="5"/>
      <c r="E227" s="6"/>
      <c r="F227" s="6"/>
      <c r="G227" s="6"/>
      <c r="H227" s="4"/>
      <c r="I227" s="4"/>
      <c r="J227" s="4"/>
      <c r="K227" s="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4"/>
      <c r="B228" s="4"/>
      <c r="C228" s="8"/>
      <c r="D228" s="5"/>
      <c r="E228" s="6"/>
      <c r="F228" s="6"/>
      <c r="G228" s="6"/>
      <c r="H228" s="4"/>
      <c r="I228" s="4"/>
      <c r="J228" s="4"/>
      <c r="K228" s="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4"/>
      <c r="B229" s="4"/>
      <c r="C229" s="8"/>
      <c r="D229" s="5"/>
      <c r="E229" s="6"/>
      <c r="F229" s="6"/>
      <c r="G229" s="6"/>
      <c r="H229" s="4"/>
      <c r="I229" s="4"/>
      <c r="J229" s="4"/>
      <c r="K229" s="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4"/>
      <c r="B230" s="4"/>
      <c r="C230" s="4"/>
      <c r="D230" s="5"/>
      <c r="E230" s="6"/>
      <c r="F230" s="6"/>
      <c r="G230" s="6"/>
      <c r="H230" s="4"/>
      <c r="I230" s="4"/>
      <c r="J230" s="4"/>
      <c r="K230" s="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4"/>
      <c r="B231" s="4"/>
      <c r="C231" s="4"/>
      <c r="D231" s="5"/>
      <c r="E231" s="6"/>
      <c r="F231" s="6"/>
      <c r="G231" s="6"/>
      <c r="H231" s="4"/>
      <c r="I231" s="4"/>
      <c r="J231" s="4"/>
      <c r="K231" s="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4"/>
      <c r="B232" s="4"/>
      <c r="C232" s="4"/>
      <c r="D232" s="5"/>
      <c r="E232" s="6"/>
      <c r="F232" s="6"/>
      <c r="G232" s="6"/>
      <c r="H232" s="4"/>
      <c r="I232" s="4"/>
      <c r="J232" s="4"/>
      <c r="K232" s="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4"/>
      <c r="B233" s="4"/>
      <c r="C233" s="8"/>
      <c r="D233" s="5"/>
      <c r="E233" s="6"/>
      <c r="F233" s="6"/>
      <c r="G233" s="6"/>
      <c r="H233" s="4"/>
      <c r="I233" s="4"/>
      <c r="J233" s="4"/>
      <c r="K233" s="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4"/>
      <c r="B234" s="4"/>
      <c r="C234" s="8"/>
      <c r="D234" s="5"/>
      <c r="E234" s="6"/>
      <c r="F234" s="6"/>
      <c r="G234" s="6"/>
      <c r="H234" s="4"/>
      <c r="I234" s="4"/>
      <c r="J234" s="4"/>
      <c r="K234" s="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4"/>
      <c r="B235" s="4"/>
      <c r="C235" s="8"/>
      <c r="D235" s="5"/>
      <c r="E235" s="6"/>
      <c r="F235" s="6"/>
      <c r="G235" s="6"/>
      <c r="H235" s="4"/>
      <c r="I235" s="4"/>
      <c r="J235" s="4"/>
      <c r="K235" s="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4"/>
      <c r="B236" s="4"/>
      <c r="C236" s="8"/>
      <c r="D236" s="5"/>
      <c r="E236" s="6"/>
      <c r="F236" s="6"/>
      <c r="G236" s="6"/>
      <c r="H236" s="4"/>
      <c r="I236" s="4"/>
      <c r="J236" s="4"/>
      <c r="K236" s="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4"/>
      <c r="B237" s="4"/>
      <c r="C237" s="8"/>
      <c r="D237" s="5"/>
      <c r="E237" s="6"/>
      <c r="F237" s="6"/>
      <c r="G237" s="6"/>
      <c r="H237" s="4"/>
      <c r="I237" s="4"/>
      <c r="J237" s="4"/>
      <c r="K237" s="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4"/>
      <c r="B238" s="4"/>
      <c r="C238" s="8"/>
      <c r="D238" s="5"/>
      <c r="E238" s="6"/>
      <c r="F238" s="6"/>
      <c r="G238" s="6"/>
      <c r="H238" s="4"/>
      <c r="I238" s="4"/>
      <c r="J238" s="4"/>
      <c r="K238" s="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4"/>
      <c r="B239" s="4"/>
      <c r="C239" s="8"/>
      <c r="D239" s="5"/>
      <c r="E239" s="6"/>
      <c r="F239" s="6"/>
      <c r="G239" s="6"/>
      <c r="H239" s="4"/>
      <c r="I239" s="4"/>
      <c r="J239" s="4"/>
      <c r="K239" s="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4"/>
      <c r="B240" s="4"/>
      <c r="C240" s="8"/>
      <c r="D240" s="9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11"/>
      <c r="D241" s="9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11"/>
      <c r="D242" s="9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11"/>
      <c r="D243" s="9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11"/>
      <c r="D244" s="9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11"/>
      <c r="D245" s="9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11"/>
      <c r="D246" s="9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11"/>
      <c r="D247" s="9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11"/>
      <c r="D248" s="9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11"/>
      <c r="D249" s="9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11"/>
      <c r="D250" s="9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11"/>
      <c r="D251" s="9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11"/>
      <c r="D252" s="9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11"/>
      <c r="D253" s="9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11"/>
      <c r="D254" s="9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11"/>
      <c r="D255" s="9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11"/>
      <c r="D256" s="9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11"/>
      <c r="D257" s="9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11"/>
      <c r="D258" s="9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11"/>
      <c r="D259" s="9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11"/>
      <c r="D260" s="9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11"/>
      <c r="D261" s="9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11"/>
      <c r="D262" s="9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11"/>
      <c r="D263" s="9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11"/>
      <c r="D264" s="9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11"/>
      <c r="D265" s="9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11"/>
      <c r="D266" s="9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11"/>
      <c r="D267" s="9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11"/>
      <c r="D268" s="9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11"/>
      <c r="D269" s="9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11"/>
      <c r="D270" s="9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11"/>
      <c r="D271" s="9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11"/>
      <c r="D272" s="9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11"/>
      <c r="D273" s="9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11"/>
      <c r="D274" s="9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11"/>
      <c r="D275" s="9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11"/>
      <c r="D276" s="9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11"/>
      <c r="D277" s="9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11"/>
      <c r="D278" s="9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11"/>
      <c r="D279" s="9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11"/>
      <c r="D280" s="9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11"/>
      <c r="D281" s="9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11"/>
      <c r="D282" s="9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11"/>
      <c r="D283" s="9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11"/>
      <c r="D284" s="9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11"/>
      <c r="D285" s="9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11"/>
      <c r="D286" s="9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11"/>
      <c r="D287" s="9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11"/>
      <c r="D288" s="9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11"/>
      <c r="D289" s="9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11"/>
      <c r="D290" s="9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11"/>
      <c r="D291" s="9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11"/>
      <c r="D292" s="9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11"/>
      <c r="D293" s="9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11"/>
      <c r="D294" s="9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11"/>
      <c r="D295" s="9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11"/>
      <c r="D296" s="9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11"/>
      <c r="D297" s="9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11"/>
      <c r="D298" s="9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11"/>
      <c r="D299" s="9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11"/>
      <c r="D300" s="9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11"/>
      <c r="D301" s="9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11"/>
      <c r="D302" s="9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11"/>
      <c r="D303" s="9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11"/>
      <c r="D304" s="9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11"/>
      <c r="D305" s="9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11"/>
      <c r="D306" s="9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11"/>
      <c r="D307" s="9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11"/>
      <c r="D308" s="9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11"/>
      <c r="D309" s="9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11"/>
      <c r="D310" s="9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11"/>
      <c r="D311" s="9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11"/>
      <c r="D312" s="9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11"/>
      <c r="D313" s="9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11"/>
      <c r="D314" s="9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11"/>
      <c r="D315" s="9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11"/>
      <c r="D316" s="9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11"/>
      <c r="D317" s="9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11"/>
      <c r="D318" s="9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11"/>
      <c r="D319" s="9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11"/>
      <c r="D320" s="9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11"/>
      <c r="D321" s="9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11"/>
      <c r="D322" s="9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11"/>
      <c r="D323" s="9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11"/>
      <c r="D324" s="9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11"/>
      <c r="D325" s="9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11"/>
      <c r="D326" s="9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11"/>
      <c r="D327" s="9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11"/>
      <c r="D328" s="9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11"/>
      <c r="D329" s="9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11"/>
      <c r="D330" s="9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11"/>
      <c r="D331" s="9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11"/>
      <c r="D332" s="9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11"/>
      <c r="D333" s="9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11"/>
      <c r="D334" s="9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11"/>
      <c r="D335" s="9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11"/>
      <c r="D336" s="9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11"/>
      <c r="D337" s="9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11"/>
      <c r="D338" s="9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11"/>
      <c r="D339" s="9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11"/>
      <c r="D340" s="9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11"/>
      <c r="D341" s="9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11"/>
      <c r="D342" s="9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11"/>
      <c r="D343" s="9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11"/>
      <c r="D344" s="9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11"/>
      <c r="D345" s="9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11"/>
      <c r="D346" s="9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11"/>
      <c r="D347" s="9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11"/>
      <c r="D348" s="9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11"/>
      <c r="D349" s="9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11"/>
      <c r="D350" s="9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11"/>
      <c r="D351" s="9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11"/>
      <c r="D352" s="9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11"/>
      <c r="D353" s="9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11"/>
      <c r="D354" s="9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11"/>
      <c r="D355" s="9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11"/>
      <c r="D356" s="9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11"/>
      <c r="D357" s="9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11"/>
      <c r="D358" s="9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11"/>
      <c r="D359" s="9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11"/>
      <c r="D360" s="9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11"/>
      <c r="D361" s="9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11"/>
      <c r="D362" s="9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11"/>
      <c r="D363" s="9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11"/>
      <c r="D364" s="9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11"/>
      <c r="D365" s="9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11"/>
      <c r="D366" s="9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11"/>
      <c r="D367" s="9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11"/>
      <c r="D368" s="9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11"/>
      <c r="D369" s="9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11"/>
      <c r="D370" s="9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11"/>
      <c r="D371" s="9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11"/>
      <c r="D372" s="9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11"/>
      <c r="D373" s="9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11"/>
      <c r="D374" s="9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11"/>
      <c r="D375" s="9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11"/>
      <c r="D376" s="9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11"/>
      <c r="D377" s="9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11"/>
      <c r="D378" s="9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11"/>
      <c r="D379" s="9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11"/>
      <c r="D380" s="9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11"/>
      <c r="D381" s="9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11"/>
      <c r="D382" s="9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11"/>
      <c r="D383" s="9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11"/>
      <c r="D384" s="9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11"/>
      <c r="D385" s="9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11"/>
      <c r="D386" s="9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11"/>
      <c r="D387" s="9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11"/>
      <c r="D388" s="9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11"/>
      <c r="D389" s="9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11"/>
      <c r="D390" s="9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11"/>
      <c r="D391" s="9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11"/>
      <c r="D392" s="9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11"/>
      <c r="D393" s="9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11"/>
      <c r="D394" s="9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11"/>
      <c r="D395" s="9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11"/>
      <c r="D396" s="9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11"/>
      <c r="D397" s="9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11"/>
      <c r="D398" s="9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11"/>
      <c r="D399" s="9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11"/>
      <c r="D400" s="9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11"/>
      <c r="D401" s="9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11"/>
      <c r="D402" s="9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11"/>
      <c r="D403" s="9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11"/>
      <c r="D404" s="9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11"/>
      <c r="D405" s="9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11"/>
      <c r="D406" s="9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11"/>
      <c r="D407" s="9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11"/>
      <c r="D408" s="9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11"/>
      <c r="D409" s="9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11"/>
      <c r="D410" s="9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11"/>
      <c r="D411" s="9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11"/>
      <c r="D412" s="9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11"/>
      <c r="D413" s="9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11"/>
      <c r="D414" s="9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11"/>
      <c r="D415" s="9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11"/>
      <c r="D416" s="9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11"/>
      <c r="D417" s="9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11"/>
      <c r="D418" s="9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11"/>
      <c r="D419" s="9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11"/>
      <c r="D420" s="9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11"/>
      <c r="D421" s="9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11"/>
      <c r="D422" s="9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11"/>
      <c r="D423" s="9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11"/>
      <c r="D424" s="9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11"/>
      <c r="D425" s="9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11"/>
      <c r="D426" s="9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11"/>
      <c r="D427" s="9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11"/>
      <c r="D428" s="9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11"/>
      <c r="D429" s="9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11"/>
      <c r="D430" s="9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11"/>
      <c r="D431" s="9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11"/>
      <c r="D432" s="9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11"/>
      <c r="D433" s="9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11"/>
      <c r="D434" s="9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11"/>
      <c r="D435" s="9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11"/>
      <c r="D436" s="9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11"/>
      <c r="D437" s="9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11"/>
      <c r="D438" s="9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11"/>
      <c r="D439" s="9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11"/>
      <c r="D440" s="9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11"/>
      <c r="D441" s="9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11"/>
      <c r="D442" s="9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11"/>
      <c r="D443" s="9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11"/>
      <c r="D444" s="9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11"/>
      <c r="D445" s="9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11"/>
      <c r="D446" s="9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11"/>
      <c r="D447" s="9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11"/>
      <c r="D448" s="9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11"/>
      <c r="D449" s="9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11"/>
      <c r="D450" s="9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11"/>
      <c r="D451" s="9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11"/>
      <c r="D452" s="9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11"/>
      <c r="D453" s="9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11"/>
      <c r="D454" s="9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11"/>
      <c r="D455" s="9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11"/>
      <c r="D456" s="9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11"/>
      <c r="D457" s="9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11"/>
      <c r="D458" s="9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11"/>
      <c r="D459" s="9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11"/>
      <c r="D460" s="9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11"/>
      <c r="D461" s="9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11"/>
      <c r="D462" s="9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11"/>
      <c r="D463" s="9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11"/>
      <c r="D464" s="9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11"/>
      <c r="D465" s="9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11"/>
      <c r="D466" s="9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11"/>
      <c r="D467" s="9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11"/>
      <c r="D468" s="9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11"/>
      <c r="D469" s="9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11"/>
      <c r="D470" s="9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11"/>
      <c r="D471" s="9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11"/>
      <c r="D472" s="9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11"/>
      <c r="D473" s="9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11"/>
      <c r="D474" s="9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11"/>
      <c r="D475" s="9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11"/>
      <c r="D476" s="9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11"/>
      <c r="D477" s="9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11"/>
      <c r="D478" s="9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11"/>
      <c r="D479" s="9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11"/>
      <c r="D480" s="9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11"/>
      <c r="D481" s="9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11"/>
      <c r="D482" s="9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11"/>
      <c r="D483" s="9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11"/>
      <c r="D484" s="9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11"/>
      <c r="D485" s="9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11"/>
      <c r="D486" s="9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11"/>
      <c r="D487" s="9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11"/>
      <c r="D488" s="9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11"/>
      <c r="D489" s="9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11"/>
      <c r="D490" s="9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11"/>
      <c r="D491" s="9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11"/>
      <c r="D492" s="9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11"/>
      <c r="D493" s="9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11"/>
      <c r="D494" s="9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11"/>
      <c r="D495" s="9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11"/>
      <c r="D496" s="9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11"/>
      <c r="D497" s="9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11"/>
      <c r="D498" s="9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11"/>
      <c r="D499" s="9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11"/>
      <c r="D500" s="9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11"/>
      <c r="D501" s="9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11"/>
      <c r="D502" s="9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11"/>
      <c r="D503" s="9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11"/>
      <c r="D504" s="9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11"/>
      <c r="D505" s="9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11"/>
      <c r="D506" s="9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11"/>
      <c r="D507" s="9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11"/>
      <c r="D508" s="9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11"/>
      <c r="D509" s="9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11"/>
      <c r="D510" s="9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11"/>
      <c r="D511" s="9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11"/>
      <c r="D512" s="9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11"/>
      <c r="D513" s="9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11"/>
      <c r="D514" s="9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11"/>
      <c r="D515" s="9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11"/>
      <c r="D516" s="9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11"/>
      <c r="D517" s="9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11"/>
      <c r="D518" s="9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11"/>
      <c r="D519" s="9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11"/>
      <c r="D520" s="9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11"/>
      <c r="D521" s="9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11"/>
      <c r="D522" s="9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11"/>
      <c r="D523" s="9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11"/>
      <c r="D524" s="9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11"/>
      <c r="D525" s="9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11"/>
      <c r="D526" s="9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11"/>
      <c r="D527" s="9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11"/>
      <c r="D528" s="9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11"/>
      <c r="D529" s="9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11"/>
      <c r="D530" s="9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11"/>
      <c r="D531" s="9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11"/>
      <c r="D532" s="9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11"/>
      <c r="D533" s="9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11"/>
      <c r="D534" s="9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11"/>
      <c r="D535" s="9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11"/>
      <c r="D536" s="9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11"/>
      <c r="D537" s="9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11"/>
      <c r="D538" s="9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11"/>
      <c r="D539" s="9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11"/>
      <c r="D540" s="9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11"/>
      <c r="D541" s="9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11"/>
      <c r="D542" s="9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11"/>
      <c r="D543" s="9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11"/>
      <c r="D544" s="9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11"/>
      <c r="D545" s="9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11"/>
      <c r="D546" s="9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11"/>
      <c r="D547" s="9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11"/>
      <c r="D548" s="9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11"/>
      <c r="D549" s="9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11"/>
      <c r="D550" s="9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11"/>
      <c r="D551" s="9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11"/>
      <c r="D552" s="9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11"/>
      <c r="D553" s="9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11"/>
      <c r="D554" s="9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11"/>
      <c r="D555" s="9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11"/>
      <c r="D556" s="9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11"/>
      <c r="D557" s="9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11"/>
      <c r="D558" s="9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11"/>
      <c r="D559" s="9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11"/>
      <c r="D560" s="9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11"/>
      <c r="D561" s="9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11"/>
      <c r="D562" s="9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11"/>
      <c r="D563" s="9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11"/>
      <c r="D564" s="9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11"/>
      <c r="D565" s="9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11"/>
      <c r="D566" s="9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11"/>
      <c r="D567" s="9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11"/>
      <c r="D568" s="9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11"/>
      <c r="D569" s="9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11"/>
      <c r="D570" s="9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11"/>
      <c r="D571" s="9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11"/>
      <c r="D572" s="9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11"/>
      <c r="D573" s="9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11"/>
      <c r="D574" s="9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11"/>
      <c r="D575" s="9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11"/>
      <c r="D576" s="9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11"/>
      <c r="D577" s="9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11"/>
      <c r="D578" s="9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11"/>
      <c r="D579" s="9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11"/>
      <c r="D580" s="9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11"/>
      <c r="D581" s="9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11"/>
      <c r="D582" s="9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11"/>
      <c r="D583" s="9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11"/>
      <c r="D584" s="9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11"/>
      <c r="D585" s="9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11"/>
      <c r="D586" s="9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11"/>
      <c r="D587" s="9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11"/>
      <c r="D588" s="9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11"/>
      <c r="D589" s="9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11"/>
      <c r="D590" s="9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11"/>
      <c r="D591" s="9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11"/>
      <c r="D592" s="9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11"/>
      <c r="D593" s="9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11"/>
      <c r="D594" s="9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11"/>
      <c r="D595" s="9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11"/>
      <c r="D596" s="9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11"/>
      <c r="D597" s="9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11"/>
      <c r="D598" s="9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11"/>
      <c r="D599" s="9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11"/>
      <c r="D600" s="9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11"/>
      <c r="D601" s="9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11"/>
      <c r="D602" s="9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11"/>
      <c r="D603" s="9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11"/>
      <c r="D604" s="9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11"/>
      <c r="D605" s="9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11"/>
      <c r="D606" s="9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11"/>
      <c r="D607" s="9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11"/>
      <c r="D608" s="9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11"/>
      <c r="D609" s="9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11"/>
      <c r="D610" s="9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11"/>
      <c r="D611" s="9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11"/>
      <c r="D612" s="9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11"/>
      <c r="D613" s="9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11"/>
      <c r="D614" s="9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11"/>
      <c r="D615" s="9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11"/>
      <c r="D616" s="9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11"/>
      <c r="D617" s="9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11"/>
      <c r="D618" s="9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11"/>
      <c r="D619" s="9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11"/>
      <c r="D620" s="9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11"/>
      <c r="D621" s="9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11"/>
      <c r="D622" s="9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11"/>
      <c r="D623" s="9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11"/>
      <c r="D624" s="9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11"/>
      <c r="D625" s="9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11"/>
      <c r="D626" s="9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11"/>
      <c r="D627" s="9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11"/>
      <c r="D628" s="9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11"/>
      <c r="D629" s="9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11"/>
      <c r="D630" s="9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11"/>
      <c r="D631" s="9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11"/>
      <c r="D632" s="9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11"/>
      <c r="D633" s="9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11"/>
      <c r="D634" s="9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11"/>
      <c r="D635" s="9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11"/>
      <c r="D636" s="9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11"/>
      <c r="D637" s="9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11"/>
      <c r="D638" s="9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11"/>
      <c r="D639" s="9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11"/>
      <c r="D640" s="9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11"/>
      <c r="D641" s="9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11"/>
      <c r="D642" s="9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11"/>
      <c r="D643" s="9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11"/>
      <c r="D644" s="9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11"/>
      <c r="D645" s="9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11"/>
      <c r="D646" s="9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11"/>
      <c r="D647" s="9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11"/>
      <c r="D648" s="9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11"/>
      <c r="D649" s="9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11"/>
      <c r="D650" s="9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11"/>
      <c r="D651" s="9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11"/>
      <c r="D652" s="9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11"/>
      <c r="D653" s="9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11"/>
      <c r="D654" s="9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11"/>
      <c r="D655" s="9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11"/>
      <c r="D656" s="9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11"/>
      <c r="D657" s="9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11"/>
      <c r="D658" s="9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11"/>
      <c r="D659" s="9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11"/>
      <c r="D660" s="9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11"/>
      <c r="D661" s="9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11"/>
      <c r="D662" s="9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11"/>
      <c r="D663" s="9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11"/>
      <c r="D664" s="9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11"/>
      <c r="D665" s="9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11"/>
      <c r="D666" s="9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11"/>
      <c r="D667" s="9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11"/>
      <c r="D668" s="9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11"/>
      <c r="D669" s="9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11"/>
      <c r="D670" s="9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11"/>
      <c r="D671" s="9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11"/>
      <c r="D672" s="9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11"/>
      <c r="D673" s="9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11"/>
      <c r="D674" s="9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11"/>
      <c r="D675" s="9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11"/>
      <c r="D676" s="9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11"/>
      <c r="D677" s="9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11"/>
      <c r="D678" s="9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11"/>
      <c r="D679" s="9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11"/>
      <c r="D680" s="9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11"/>
      <c r="D681" s="9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11"/>
      <c r="D682" s="9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11"/>
      <c r="D683" s="9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11"/>
      <c r="D684" s="9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11"/>
      <c r="D685" s="9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11"/>
      <c r="D686" s="9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11"/>
      <c r="D687" s="9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11"/>
      <c r="D688" s="9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11"/>
      <c r="D689" s="9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11"/>
      <c r="D690" s="9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11"/>
      <c r="D691" s="9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11"/>
      <c r="D692" s="9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11"/>
      <c r="D693" s="9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11"/>
      <c r="D694" s="9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11"/>
      <c r="D695" s="9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11"/>
      <c r="D696" s="9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11"/>
      <c r="D697" s="9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11"/>
      <c r="D698" s="9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11"/>
      <c r="D699" s="9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11"/>
      <c r="D700" s="9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11"/>
      <c r="D701" s="9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11"/>
      <c r="D702" s="9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11"/>
      <c r="D703" s="9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11"/>
      <c r="D704" s="9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11"/>
      <c r="D705" s="9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11"/>
      <c r="D706" s="9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11"/>
      <c r="D707" s="9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11"/>
      <c r="D708" s="9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11"/>
      <c r="D709" s="9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11"/>
      <c r="D710" s="9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11"/>
      <c r="D711" s="9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11"/>
      <c r="D712" s="9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11"/>
      <c r="D713" s="9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11"/>
      <c r="D714" s="9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11"/>
      <c r="D715" s="9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11"/>
      <c r="D716" s="9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11"/>
      <c r="D717" s="9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11"/>
      <c r="D718" s="9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11"/>
      <c r="D719" s="9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11"/>
      <c r="D720" s="9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11"/>
      <c r="D721" s="9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11"/>
      <c r="D722" s="9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11"/>
      <c r="D723" s="9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11"/>
      <c r="D724" s="9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11"/>
      <c r="D725" s="9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11"/>
      <c r="D726" s="9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11"/>
      <c r="D727" s="9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11"/>
      <c r="D728" s="9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11"/>
      <c r="D729" s="9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11"/>
      <c r="D730" s="9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11"/>
      <c r="D731" s="9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11"/>
      <c r="D732" s="9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11"/>
      <c r="D733" s="9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11"/>
      <c r="D734" s="9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11"/>
      <c r="D735" s="9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11"/>
      <c r="D736" s="9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11"/>
      <c r="D737" s="9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11"/>
      <c r="D738" s="9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11"/>
      <c r="D739" s="9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11"/>
      <c r="D740" s="9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11"/>
      <c r="D741" s="9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11"/>
      <c r="D742" s="9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11"/>
      <c r="D743" s="9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11"/>
      <c r="D744" s="9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11"/>
      <c r="D745" s="9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11"/>
      <c r="D746" s="9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11"/>
      <c r="D747" s="9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11"/>
      <c r="D748" s="9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11"/>
      <c r="D749" s="9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11"/>
      <c r="D750" s="9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11"/>
      <c r="D751" s="9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11"/>
      <c r="D752" s="9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11"/>
      <c r="D753" s="9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11"/>
      <c r="D754" s="9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11"/>
      <c r="D755" s="9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11"/>
      <c r="D756" s="9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11"/>
      <c r="D757" s="9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11"/>
      <c r="D758" s="9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11"/>
      <c r="D759" s="9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11"/>
      <c r="D760" s="9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11"/>
      <c r="D761" s="9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11"/>
      <c r="D762" s="9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11"/>
      <c r="D763" s="9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11"/>
      <c r="D764" s="9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11"/>
      <c r="D765" s="9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11"/>
      <c r="D766" s="9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11"/>
      <c r="D767" s="9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11"/>
      <c r="D768" s="9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11"/>
      <c r="D769" s="9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11"/>
      <c r="D770" s="9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11"/>
      <c r="D771" s="9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11"/>
      <c r="D772" s="9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11"/>
      <c r="D773" s="9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11"/>
      <c r="D774" s="9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11"/>
      <c r="D775" s="9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11"/>
      <c r="D776" s="9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11"/>
      <c r="D777" s="9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11"/>
      <c r="D778" s="9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11"/>
      <c r="D779" s="9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11"/>
      <c r="D780" s="9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11"/>
      <c r="D781" s="9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11"/>
      <c r="D782" s="9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11"/>
      <c r="D783" s="9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11"/>
      <c r="D784" s="9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11"/>
      <c r="D785" s="9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11"/>
      <c r="D786" s="9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11"/>
      <c r="D787" s="9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11"/>
      <c r="D788" s="9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11"/>
      <c r="D789" s="9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11"/>
      <c r="D790" s="9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11"/>
      <c r="D791" s="9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11"/>
      <c r="D792" s="9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11"/>
      <c r="D793" s="9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11"/>
      <c r="D794" s="9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11"/>
      <c r="D795" s="9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11"/>
      <c r="D796" s="9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11"/>
      <c r="D797" s="9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11"/>
      <c r="D798" s="9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11"/>
      <c r="D799" s="9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11"/>
      <c r="D800" s="9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11"/>
      <c r="D801" s="9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11"/>
      <c r="D802" s="9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11"/>
      <c r="D803" s="9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11"/>
      <c r="D804" s="9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11"/>
      <c r="D805" s="9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11"/>
      <c r="D806" s="9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11"/>
      <c r="D807" s="9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11"/>
      <c r="D808" s="9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11"/>
      <c r="D809" s="9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11"/>
      <c r="D810" s="9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11"/>
      <c r="D811" s="9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11"/>
      <c r="D812" s="9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11"/>
      <c r="D813" s="9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11"/>
      <c r="D814" s="9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11"/>
      <c r="D815" s="9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11"/>
      <c r="D816" s="9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11"/>
      <c r="D817" s="9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11"/>
      <c r="D818" s="9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11"/>
      <c r="D819" s="9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11"/>
      <c r="D820" s="9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11"/>
      <c r="D821" s="9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11"/>
      <c r="D822" s="9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11"/>
      <c r="D823" s="9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11"/>
      <c r="D824" s="9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11"/>
      <c r="D825" s="9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11"/>
      <c r="D826" s="9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11"/>
      <c r="D827" s="9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11"/>
      <c r="D828" s="9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11"/>
      <c r="D829" s="9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11"/>
      <c r="D830" s="9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11"/>
      <c r="D831" s="9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11"/>
      <c r="D832" s="9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11"/>
      <c r="D833" s="9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11"/>
      <c r="D834" s="9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11"/>
      <c r="D835" s="9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11"/>
      <c r="D836" s="9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11"/>
      <c r="D837" s="9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11"/>
      <c r="D838" s="9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11"/>
      <c r="D839" s="9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11"/>
      <c r="D840" s="9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11"/>
      <c r="D841" s="9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11"/>
      <c r="D842" s="9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11"/>
      <c r="D843" s="9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11"/>
      <c r="D844" s="9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11"/>
      <c r="D845" s="9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11"/>
      <c r="D846" s="9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11"/>
      <c r="D847" s="9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11"/>
      <c r="D848" s="9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11"/>
      <c r="D849" s="9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11"/>
      <c r="D850" s="9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11"/>
      <c r="D851" s="9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11"/>
      <c r="D852" s="9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11"/>
      <c r="D853" s="9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11"/>
      <c r="D854" s="9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11"/>
      <c r="D855" s="9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11"/>
      <c r="D856" s="9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11"/>
      <c r="D857" s="9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11"/>
      <c r="D858" s="9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11"/>
      <c r="D859" s="9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11"/>
      <c r="D860" s="9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11"/>
      <c r="D861" s="9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11"/>
      <c r="D862" s="9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11"/>
      <c r="D863" s="9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11"/>
      <c r="D864" s="9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11"/>
      <c r="D865" s="9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11"/>
      <c r="D866" s="9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11"/>
      <c r="D867" s="9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11"/>
      <c r="D868" s="9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11"/>
      <c r="D869" s="9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11"/>
      <c r="D870" s="9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11"/>
      <c r="D871" s="9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11"/>
      <c r="D872" s="9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11"/>
      <c r="D873" s="9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11"/>
      <c r="D874" s="9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11"/>
      <c r="D875" s="9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11"/>
      <c r="D876" s="9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11"/>
      <c r="D877" s="9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11"/>
      <c r="D878" s="9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11"/>
      <c r="D879" s="9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11"/>
      <c r="D880" s="9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11"/>
      <c r="D881" s="9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11"/>
      <c r="D882" s="9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11"/>
      <c r="D883" s="9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11"/>
      <c r="D884" s="9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11"/>
      <c r="D885" s="9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11"/>
      <c r="D886" s="9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11"/>
      <c r="D887" s="9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11"/>
      <c r="D888" s="9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11"/>
      <c r="D889" s="9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11"/>
      <c r="D890" s="9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11"/>
      <c r="D891" s="9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11"/>
      <c r="D892" s="9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11"/>
      <c r="D893" s="9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11"/>
      <c r="D894" s="9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11"/>
      <c r="D895" s="9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11"/>
      <c r="D896" s="9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11"/>
      <c r="D897" s="9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11"/>
      <c r="D898" s="9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11"/>
      <c r="D899" s="9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11"/>
      <c r="D900" s="9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11"/>
      <c r="D901" s="9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11"/>
      <c r="D902" s="9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11"/>
      <c r="D903" s="9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11"/>
      <c r="D904" s="9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11"/>
      <c r="D905" s="9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11"/>
      <c r="D906" s="9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11"/>
      <c r="D907" s="9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11"/>
      <c r="D908" s="9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11"/>
      <c r="D909" s="9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11"/>
      <c r="D910" s="9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11"/>
      <c r="D911" s="9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11"/>
      <c r="D912" s="9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11"/>
      <c r="D913" s="9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11"/>
      <c r="D914" s="9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11"/>
      <c r="D915" s="9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11"/>
      <c r="D916" s="9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11"/>
      <c r="D917" s="9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11"/>
      <c r="D918" s="9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11"/>
      <c r="D919" s="9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11"/>
      <c r="D920" s="9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11"/>
      <c r="D921" s="9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11"/>
      <c r="D922" s="9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11"/>
      <c r="D923" s="9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11"/>
      <c r="D924" s="9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11"/>
      <c r="D925" s="9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11"/>
      <c r="D926" s="9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11"/>
      <c r="D927" s="9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11"/>
      <c r="D928" s="9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11"/>
      <c r="D929" s="9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11"/>
      <c r="D930" s="9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11"/>
      <c r="D931" s="9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11"/>
      <c r="D932" s="9"/>
      <c r="E932" s="10"/>
      <c r="F932" s="10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11"/>
      <c r="D933" s="9"/>
      <c r="E933" s="10"/>
      <c r="F933" s="10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11"/>
      <c r="D934" s="9"/>
      <c r="E934" s="10"/>
      <c r="F934" s="10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11"/>
      <c r="D935" s="9"/>
      <c r="E935" s="10"/>
      <c r="F935" s="10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11"/>
      <c r="D936" s="9"/>
      <c r="E936" s="10"/>
      <c r="F936" s="10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11"/>
      <c r="D937" s="9"/>
      <c r="E937" s="10"/>
      <c r="F937" s="10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11"/>
      <c r="D938" s="9"/>
      <c r="E938" s="10"/>
      <c r="F938" s="10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11"/>
      <c r="D939" s="9"/>
      <c r="E939" s="10"/>
      <c r="F939" s="10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11"/>
      <c r="D940" s="9"/>
      <c r="E940" s="10"/>
      <c r="F940" s="10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11"/>
      <c r="D941" s="9"/>
      <c r="E941" s="10"/>
      <c r="F941" s="10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11"/>
      <c r="D942" s="9"/>
      <c r="E942" s="10"/>
      <c r="F942" s="10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11"/>
      <c r="D943" s="9"/>
      <c r="E943" s="10"/>
      <c r="F943" s="10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11"/>
      <c r="D944" s="9"/>
      <c r="E944" s="10"/>
      <c r="F944" s="10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11"/>
      <c r="D945" s="9"/>
      <c r="E945" s="10"/>
      <c r="F945" s="10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11"/>
      <c r="D946" s="9"/>
      <c r="E946" s="10"/>
      <c r="F946" s="10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11"/>
      <c r="D947" s="9"/>
      <c r="E947" s="10"/>
      <c r="F947" s="10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11"/>
      <c r="D948" s="9"/>
      <c r="E948" s="10"/>
      <c r="F948" s="10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11"/>
      <c r="D949" s="9"/>
      <c r="E949" s="10"/>
      <c r="F949" s="10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11"/>
      <c r="D950" s="9"/>
      <c r="E950" s="10"/>
      <c r="F950" s="10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11"/>
      <c r="D951" s="9"/>
      <c r="E951" s="10"/>
      <c r="F951" s="10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11"/>
      <c r="D952" s="9"/>
      <c r="E952" s="10"/>
      <c r="F952" s="10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11"/>
      <c r="D953" s="9"/>
      <c r="E953" s="10"/>
      <c r="F953" s="10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11"/>
      <c r="D954" s="9"/>
      <c r="E954" s="10"/>
      <c r="F954" s="10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11"/>
      <c r="D955" s="9"/>
      <c r="E955" s="10"/>
      <c r="F955" s="10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11"/>
      <c r="D956" s="9"/>
      <c r="E956" s="10"/>
      <c r="F956" s="10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11"/>
      <c r="D957" s="9"/>
      <c r="E957" s="10"/>
      <c r="F957" s="10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11"/>
      <c r="D958" s="9"/>
      <c r="E958" s="10"/>
      <c r="F958" s="10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11"/>
      <c r="D959" s="9"/>
      <c r="E959" s="10"/>
      <c r="F959" s="10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11"/>
      <c r="D960" s="9"/>
      <c r="E960" s="10"/>
      <c r="F960" s="10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11"/>
      <c r="D961" s="9"/>
      <c r="E961" s="10"/>
      <c r="F961" s="10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11"/>
      <c r="D962" s="9"/>
      <c r="E962" s="10"/>
      <c r="F962" s="10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11"/>
      <c r="D963" s="9"/>
      <c r="E963" s="10"/>
      <c r="F963" s="10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11"/>
      <c r="D964" s="9"/>
      <c r="E964" s="10"/>
      <c r="F964" s="10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11"/>
      <c r="D965" s="9"/>
      <c r="E965" s="10"/>
      <c r="F965" s="10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11"/>
      <c r="D966" s="9"/>
      <c r="E966" s="10"/>
      <c r="F966" s="10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11"/>
      <c r="D967" s="9"/>
      <c r="E967" s="10"/>
      <c r="F967" s="10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11"/>
      <c r="D968" s="9"/>
      <c r="E968" s="10"/>
      <c r="F968" s="10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11"/>
      <c r="D969" s="9"/>
      <c r="E969" s="10"/>
      <c r="F969" s="10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11"/>
      <c r="D970" s="9"/>
      <c r="E970" s="10"/>
      <c r="F970" s="10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11"/>
      <c r="D971" s="9"/>
      <c r="E971" s="10"/>
      <c r="F971" s="10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11"/>
      <c r="D972" s="9"/>
      <c r="E972" s="10"/>
      <c r="F972" s="10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11"/>
      <c r="D973" s="9"/>
      <c r="E973" s="10"/>
      <c r="F973" s="10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11"/>
      <c r="D974" s="9"/>
      <c r="E974" s="10"/>
      <c r="F974" s="10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11"/>
      <c r="D975" s="9"/>
      <c r="E975" s="10"/>
      <c r="F975" s="10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11"/>
      <c r="D976" s="9"/>
      <c r="E976" s="10"/>
      <c r="F976" s="10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11"/>
      <c r="D977" s="9"/>
      <c r="E977" s="10"/>
      <c r="F977" s="10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11"/>
      <c r="D978" s="9"/>
      <c r="E978" s="10"/>
      <c r="F978" s="10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11"/>
      <c r="D979" s="9"/>
      <c r="E979" s="10"/>
      <c r="F979" s="10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11"/>
      <c r="D980" s="9"/>
      <c r="E980" s="10"/>
      <c r="F980" s="10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11"/>
      <c r="D981" s="9"/>
      <c r="E981" s="10"/>
      <c r="F981" s="10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11"/>
      <c r="D982" s="9"/>
      <c r="E982" s="10"/>
      <c r="F982" s="10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11"/>
      <c r="D983" s="9"/>
      <c r="E983" s="10"/>
      <c r="F983" s="10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11"/>
      <c r="D984" s="9"/>
      <c r="E984" s="10"/>
      <c r="F984" s="10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11"/>
      <c r="D985" s="9"/>
      <c r="E985" s="10"/>
      <c r="F985" s="10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11"/>
      <c r="D986" s="9"/>
      <c r="E986" s="10"/>
      <c r="F986" s="10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11"/>
      <c r="D987" s="9"/>
      <c r="E987" s="10"/>
      <c r="F987" s="10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11"/>
      <c r="D988" s="9"/>
      <c r="E988" s="10"/>
      <c r="F988" s="10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11"/>
      <c r="D989" s="9"/>
      <c r="E989" s="10"/>
      <c r="F989" s="10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11"/>
      <c r="D990" s="9"/>
      <c r="E990" s="10"/>
      <c r="F990" s="10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11"/>
      <c r="D991" s="9"/>
      <c r="E991" s="10"/>
      <c r="F991" s="10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11"/>
      <c r="D992" s="9"/>
      <c r="E992" s="10"/>
      <c r="F992" s="10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11"/>
      <c r="D993" s="9"/>
      <c r="E993" s="10"/>
      <c r="F993" s="10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11"/>
      <c r="D994" s="9"/>
      <c r="E994" s="10"/>
      <c r="F994" s="10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11"/>
      <c r="D995" s="9"/>
      <c r="E995" s="10"/>
      <c r="F995" s="10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11"/>
      <c r="D996" s="9"/>
      <c r="E996" s="10"/>
      <c r="F996" s="10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11"/>
      <c r="D997" s="9"/>
      <c r="E997" s="10"/>
      <c r="F997" s="10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11"/>
      <c r="D998" s="9"/>
      <c r="E998" s="10"/>
      <c r="F998" s="10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11"/>
      <c r="D999" s="9"/>
      <c r="E999" s="10"/>
      <c r="F999" s="10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11"/>
      <c r="D1000" s="9"/>
      <c r="E1000" s="10"/>
      <c r="F1000" s="10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11"/>
      <c r="D1001" s="9"/>
      <c r="E1001" s="10"/>
      <c r="F1001" s="10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8.25"/>
    <col customWidth="1" min="3" max="3" width="28.88"/>
    <col customWidth="1" hidden="1" min="4" max="4" width="7.75"/>
    <col customWidth="1" min="5" max="7" width="11.88"/>
    <col customWidth="1" hidden="1" min="8" max="8" width="8.38"/>
    <col customWidth="1" min="9" max="11" width="8.38"/>
    <col customWidth="1" hidden="1" min="12" max="12" width="9.63"/>
    <col customWidth="1" hidden="1" min="13" max="13" width="7.5"/>
    <col customWidth="1" hidden="1" min="14" max="14" width="12.63"/>
    <col customWidth="1" hidden="1" min="15" max="15" width="6.88"/>
    <col customWidth="1" hidden="1" min="16" max="16" width="12.13"/>
    <col customWidth="1" hidden="1" min="17" max="17" width="10.63"/>
    <col customWidth="1" hidden="1" min="18" max="18" width="5.5"/>
    <col customWidth="1" hidden="1" min="19" max="19" width="7.38"/>
    <col customWidth="1" hidden="1" min="20" max="20" width="6.13"/>
    <col customWidth="1" hidden="1" min="21" max="21" width="6.63"/>
    <col customWidth="1" hidden="1" min="22" max="22" width="3.5"/>
    <col customWidth="1" hidden="1" min="23" max="23" width="7.13"/>
    <col customWidth="1" hidden="1" min="24" max="24" width="7.0"/>
    <col customWidth="1" hidden="1" min="25" max="25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tr">
        <f>IFERROR(__xludf.DUMMYFUNCTION("FILTER(Master!A:Z, Master!V:V = ""X"")"),"Food, Drink, Lodging")</f>
        <v>Food, Drink, Lodging</v>
      </c>
      <c r="B2" s="4" t="str">
        <f>IFERROR(__xludf.DUMMYFUNCTION("""COMPUTED_VALUE"""),"Drink")</f>
        <v>Drink</v>
      </c>
      <c r="C2" s="8" t="str">
        <f>IFERROR(__xludf.DUMMYFUNCTION("""COMPUTED_VALUE"""),"Ale (mug)")</f>
        <v>Ale (mug)</v>
      </c>
      <c r="D2" s="5" t="str">
        <f>IFERROR(__xludf.DUMMYFUNCTION("""COMPUTED_VALUE"""),"-")</f>
        <v>-</v>
      </c>
      <c r="E2" s="6">
        <f>IFERROR(__xludf.DUMMYFUNCTION("""COMPUTED_VALUE"""),0.04)</f>
        <v>0.04</v>
      </c>
      <c r="F2" s="6">
        <f>IFERROR(__xludf.DUMMYFUNCTION("""COMPUTED_VALUE"""),0.03)</f>
        <v>0.03</v>
      </c>
      <c r="G2" s="6">
        <f>IFERROR(__xludf.DUMMYFUNCTION("""COMPUTED_VALUE"""),0.06)</f>
        <v>0.06</v>
      </c>
      <c r="H2" s="4" t="str">
        <f>IFERROR(__xludf.DUMMYFUNCTION("""COMPUTED_VALUE"""),"PHB 2024")</f>
        <v>PHB 2024</v>
      </c>
      <c r="I2" s="4" t="str">
        <f>IFERROR(__xludf.DUMMYFUNCTION("""COMPUTED_VALUE"""),"x")</f>
        <v>x</v>
      </c>
      <c r="J2" s="4" t="str">
        <f>IFERROR(__xludf.DUMMYFUNCTION("""COMPUTED_VALUE"""),"x")</f>
        <v>x</v>
      </c>
      <c r="K2" s="4" t="str">
        <f>IFERROR(__xludf.DUMMYFUNCTION("""COMPUTED_VALUE"""),"x")</f>
        <v>x</v>
      </c>
      <c r="L2" s="7"/>
      <c r="M2" s="7"/>
      <c r="N2" s="7"/>
      <c r="O2" s="7"/>
      <c r="P2" s="7"/>
      <c r="Q2" s="7"/>
      <c r="R2" s="7"/>
      <c r="S2" s="7"/>
      <c r="T2" s="4"/>
      <c r="U2" s="7"/>
      <c r="V2" s="7" t="str">
        <f>IFERROR(__xludf.DUMMYFUNCTION("""COMPUTED_VALUE"""),"x")</f>
        <v>x</v>
      </c>
      <c r="W2" s="7"/>
      <c r="X2" s="7"/>
      <c r="Y2" s="7"/>
    </row>
    <row r="3">
      <c r="A3" s="4" t="str">
        <f>IFERROR(__xludf.DUMMYFUNCTION("""COMPUTED_VALUE"""),"Food, Drink, Lodging")</f>
        <v>Food, Drink, Lodging</v>
      </c>
      <c r="B3" s="4" t="str">
        <f>IFERROR(__xludf.DUMMYFUNCTION("""COMPUTED_VALUE"""),"Food")</f>
        <v>Food</v>
      </c>
      <c r="C3" s="8" t="str">
        <f>IFERROR(__xludf.DUMMYFUNCTION("""COMPUTED_VALUE"""),"Bread (loaf)")</f>
        <v>Bread (loaf)</v>
      </c>
      <c r="D3" s="5" t="str">
        <f>IFERROR(__xludf.DUMMYFUNCTION("""COMPUTED_VALUE"""),"-")</f>
        <v>-</v>
      </c>
      <c r="E3" s="6">
        <f>IFERROR(__xludf.DUMMYFUNCTION("""COMPUTED_VALUE"""),0.02)</f>
        <v>0.02</v>
      </c>
      <c r="F3" s="6">
        <f>IFERROR(__xludf.DUMMYFUNCTION("""COMPUTED_VALUE"""),0.015)</f>
        <v>0.015</v>
      </c>
      <c r="G3" s="6">
        <f>IFERROR(__xludf.DUMMYFUNCTION("""COMPUTED_VALUE"""),0.03)</f>
        <v>0.03</v>
      </c>
      <c r="H3" s="4" t="str">
        <f>IFERROR(__xludf.DUMMYFUNCTION("""COMPUTED_VALUE"""),"PHB 2024")</f>
        <v>PHB 2024</v>
      </c>
      <c r="I3" s="4" t="str">
        <f>IFERROR(__xludf.DUMMYFUNCTION("""COMPUTED_VALUE"""),"x")</f>
        <v>x</v>
      </c>
      <c r="J3" s="4" t="str">
        <f>IFERROR(__xludf.DUMMYFUNCTION("""COMPUTED_VALUE"""),"x")</f>
        <v>x</v>
      </c>
      <c r="K3" s="4" t="str">
        <f>IFERROR(__xludf.DUMMYFUNCTION("""COMPUTED_VALUE"""),"x")</f>
        <v>x</v>
      </c>
      <c r="L3" s="7"/>
      <c r="M3" s="7"/>
      <c r="N3" s="7"/>
      <c r="O3" s="7"/>
      <c r="P3" s="7"/>
      <c r="Q3" s="7"/>
      <c r="R3" s="7"/>
      <c r="S3" s="7"/>
      <c r="T3" s="4"/>
      <c r="U3" s="7"/>
      <c r="V3" s="7" t="str">
        <f>IFERROR(__xludf.DUMMYFUNCTION("""COMPUTED_VALUE"""),"x")</f>
        <v>x</v>
      </c>
      <c r="W3" s="7"/>
      <c r="X3" s="7"/>
      <c r="Y3" s="7"/>
    </row>
    <row r="4">
      <c r="A4" s="4" t="str">
        <f>IFERROR(__xludf.DUMMYFUNCTION("""COMPUTED_VALUE"""),"Food, Drink, Lodging")</f>
        <v>Food, Drink, Lodging</v>
      </c>
      <c r="B4" s="4" t="str">
        <f>IFERROR(__xludf.DUMMYFUNCTION("""COMPUTED_VALUE"""),"Food")</f>
        <v>Food</v>
      </c>
      <c r="C4" s="8" t="str">
        <f>IFERROR(__xludf.DUMMYFUNCTION("""COMPUTED_VALUE"""),"Cheese (wedge)")</f>
        <v>Cheese (wedge)</v>
      </c>
      <c r="D4" s="5" t="str">
        <f>IFERROR(__xludf.DUMMYFUNCTION("""COMPUTED_VALUE"""),"-")</f>
        <v>-</v>
      </c>
      <c r="E4" s="6">
        <f>IFERROR(__xludf.DUMMYFUNCTION("""COMPUTED_VALUE"""),0.1)</f>
        <v>0.1</v>
      </c>
      <c r="F4" s="6">
        <f>IFERROR(__xludf.DUMMYFUNCTION("""COMPUTED_VALUE"""),0.07500000000000001)</f>
        <v>0.075</v>
      </c>
      <c r="G4" s="6">
        <f>IFERROR(__xludf.DUMMYFUNCTION("""COMPUTED_VALUE"""),0.15000000000000002)</f>
        <v>0.15</v>
      </c>
      <c r="H4" s="4" t="str">
        <f>IFERROR(__xludf.DUMMYFUNCTION("""COMPUTED_VALUE"""),"PHB 2024")</f>
        <v>PHB 2024</v>
      </c>
      <c r="I4" s="4" t="str">
        <f>IFERROR(__xludf.DUMMYFUNCTION("""COMPUTED_VALUE"""),"x")</f>
        <v>x</v>
      </c>
      <c r="J4" s="4" t="str">
        <f>IFERROR(__xludf.DUMMYFUNCTION("""COMPUTED_VALUE"""),"x")</f>
        <v>x</v>
      </c>
      <c r="K4" s="4" t="str">
        <f>IFERROR(__xludf.DUMMYFUNCTION("""COMPUTED_VALUE"""),"x")</f>
        <v>x</v>
      </c>
      <c r="L4" s="7"/>
      <c r="M4" s="4"/>
      <c r="N4" s="7"/>
      <c r="O4" s="7"/>
      <c r="P4" s="7"/>
      <c r="Q4" s="4"/>
      <c r="R4" s="7"/>
      <c r="S4" s="7"/>
      <c r="T4" s="7"/>
      <c r="U4" s="7"/>
      <c r="V4" s="7" t="str">
        <f>IFERROR(__xludf.DUMMYFUNCTION("""COMPUTED_VALUE"""),"x")</f>
        <v>x</v>
      </c>
      <c r="W4" s="7"/>
      <c r="X4" s="7"/>
      <c r="Y4" s="7"/>
    </row>
    <row r="5">
      <c r="A5" s="4" t="str">
        <f>IFERROR(__xludf.DUMMYFUNCTION("""COMPUTED_VALUE"""),"Food, Drink, Lodging")</f>
        <v>Food, Drink, Lodging</v>
      </c>
      <c r="B5" s="4" t="str">
        <f>IFERROR(__xludf.DUMMYFUNCTION("""COMPUTED_VALUE"""),"Lodging")</f>
        <v>Lodging</v>
      </c>
      <c r="C5" s="8" t="str">
        <f>IFERROR(__xludf.DUMMYFUNCTION("""COMPUTED_VALUE"""),"Inn Stay, Squalid")</f>
        <v>Inn Stay, Squalid</v>
      </c>
      <c r="D5" s="5" t="str">
        <f>IFERROR(__xludf.DUMMYFUNCTION("""COMPUTED_VALUE"""),"-")</f>
        <v>-</v>
      </c>
      <c r="E5" s="6">
        <f>IFERROR(__xludf.DUMMYFUNCTION("""COMPUTED_VALUE"""),0.07)</f>
        <v>0.07</v>
      </c>
      <c r="F5" s="6">
        <f>IFERROR(__xludf.DUMMYFUNCTION("""COMPUTED_VALUE"""),0.052500000000000005)</f>
        <v>0.0525</v>
      </c>
      <c r="G5" s="6">
        <f>IFERROR(__xludf.DUMMYFUNCTION("""COMPUTED_VALUE"""),0.10500000000000001)</f>
        <v>0.105</v>
      </c>
      <c r="H5" s="4" t="str">
        <f>IFERROR(__xludf.DUMMYFUNCTION("""COMPUTED_VALUE"""),"PHB 2024")</f>
        <v>PHB 2024</v>
      </c>
      <c r="I5" s="4" t="str">
        <f>IFERROR(__xludf.DUMMYFUNCTION("""COMPUTED_VALUE"""),"x")</f>
        <v>x</v>
      </c>
      <c r="J5" s="4" t="str">
        <f>IFERROR(__xludf.DUMMYFUNCTION("""COMPUTED_VALUE"""),"x")</f>
        <v>x</v>
      </c>
      <c r="K5" s="4" t="str">
        <f>IFERROR(__xludf.DUMMYFUNCTION("""COMPUTED_VALUE"""),"x")</f>
        <v>x</v>
      </c>
      <c r="L5" s="7"/>
      <c r="M5" s="4"/>
      <c r="N5" s="7"/>
      <c r="O5" s="7"/>
      <c r="P5" s="7"/>
      <c r="Q5" s="4"/>
      <c r="R5" s="7"/>
      <c r="S5" s="7"/>
      <c r="T5" s="7"/>
      <c r="U5" s="7"/>
      <c r="V5" s="7" t="str">
        <f>IFERROR(__xludf.DUMMYFUNCTION("""COMPUTED_VALUE"""),"x")</f>
        <v>x</v>
      </c>
      <c r="W5" s="7"/>
      <c r="X5" s="7"/>
      <c r="Y5" s="7"/>
    </row>
    <row r="6">
      <c r="A6" s="4" t="str">
        <f>IFERROR(__xludf.DUMMYFUNCTION("""COMPUTED_VALUE"""),"Food, Drink, Lodging")</f>
        <v>Food, Drink, Lodging</v>
      </c>
      <c r="B6" s="4" t="str">
        <f>IFERROR(__xludf.DUMMYFUNCTION("""COMPUTED_VALUE"""),"Lodging")</f>
        <v>Lodging</v>
      </c>
      <c r="C6" s="8" t="str">
        <f>IFERROR(__xludf.DUMMYFUNCTION("""COMPUTED_VALUE"""),"Inn Stay, Poor")</f>
        <v>Inn Stay, Poor</v>
      </c>
      <c r="D6" s="5" t="str">
        <f>IFERROR(__xludf.DUMMYFUNCTION("""COMPUTED_VALUE"""),"-")</f>
        <v>-</v>
      </c>
      <c r="E6" s="6">
        <f>IFERROR(__xludf.DUMMYFUNCTION("""COMPUTED_VALUE"""),0.1)</f>
        <v>0.1</v>
      </c>
      <c r="F6" s="6">
        <f>IFERROR(__xludf.DUMMYFUNCTION("""COMPUTED_VALUE"""),0.07500000000000001)</f>
        <v>0.075</v>
      </c>
      <c r="G6" s="6">
        <f>IFERROR(__xludf.DUMMYFUNCTION("""COMPUTED_VALUE"""),0.15000000000000002)</f>
        <v>0.15</v>
      </c>
      <c r="H6" s="4" t="str">
        <f>IFERROR(__xludf.DUMMYFUNCTION("""COMPUTED_VALUE"""),"PHB 2024")</f>
        <v>PHB 2024</v>
      </c>
      <c r="I6" s="4" t="str">
        <f>IFERROR(__xludf.DUMMYFUNCTION("""COMPUTED_VALUE"""),"x")</f>
        <v>x</v>
      </c>
      <c r="J6" s="4" t="str">
        <f>IFERROR(__xludf.DUMMYFUNCTION("""COMPUTED_VALUE"""),"x")</f>
        <v>x</v>
      </c>
      <c r="K6" s="4" t="str">
        <f>IFERROR(__xludf.DUMMYFUNCTION("""COMPUTED_VALUE"""),"x")</f>
        <v>x</v>
      </c>
      <c r="L6" s="7"/>
      <c r="M6" s="7"/>
      <c r="N6" s="7"/>
      <c r="O6" s="7"/>
      <c r="P6" s="7"/>
      <c r="Q6" s="7"/>
      <c r="R6" s="7"/>
      <c r="S6" s="7"/>
      <c r="T6" s="7"/>
      <c r="U6" s="7"/>
      <c r="V6" s="7" t="str">
        <f>IFERROR(__xludf.DUMMYFUNCTION("""COMPUTED_VALUE"""),"x")</f>
        <v>x</v>
      </c>
      <c r="W6" s="4"/>
      <c r="X6" s="4"/>
      <c r="Y6" s="4"/>
    </row>
    <row r="7">
      <c r="A7" s="4" t="str">
        <f>IFERROR(__xludf.DUMMYFUNCTION("""COMPUTED_VALUE"""),"Food, Drink, Lodging")</f>
        <v>Food, Drink, Lodging</v>
      </c>
      <c r="B7" s="4" t="str">
        <f>IFERROR(__xludf.DUMMYFUNCTION("""COMPUTED_VALUE"""),"Lodging")</f>
        <v>Lodging</v>
      </c>
      <c r="C7" s="8" t="str">
        <f>IFERROR(__xludf.DUMMYFUNCTION("""COMPUTED_VALUE"""),"Inn Stay, Modest")</f>
        <v>Inn Stay, Modest</v>
      </c>
      <c r="D7" s="5" t="str">
        <f>IFERROR(__xludf.DUMMYFUNCTION("""COMPUTED_VALUE"""),"-")</f>
        <v>-</v>
      </c>
      <c r="E7" s="6">
        <f>IFERROR(__xludf.DUMMYFUNCTION("""COMPUTED_VALUE"""),0.5)</f>
        <v>0.5</v>
      </c>
      <c r="F7" s="6">
        <f>IFERROR(__xludf.DUMMYFUNCTION("""COMPUTED_VALUE"""),0.375)</f>
        <v>0.375</v>
      </c>
      <c r="G7" s="6">
        <f>IFERROR(__xludf.DUMMYFUNCTION("""COMPUTED_VALUE"""),0.75)</f>
        <v>0.75</v>
      </c>
      <c r="H7" s="4" t="str">
        <f>IFERROR(__xludf.DUMMYFUNCTION("""COMPUTED_VALUE"""),"PHB 2024")</f>
        <v>PHB 2024</v>
      </c>
      <c r="I7" s="4" t="str">
        <f>IFERROR(__xludf.DUMMYFUNCTION("""COMPUTED_VALUE"""),"x")</f>
        <v>x</v>
      </c>
      <c r="J7" s="4" t="str">
        <f>IFERROR(__xludf.DUMMYFUNCTION("""COMPUTED_VALUE"""),"x")</f>
        <v>x</v>
      </c>
      <c r="K7" s="4" t="str">
        <f>IFERROR(__xludf.DUMMYFUNCTION("""COMPUTED_VALUE"""),"x")</f>
        <v>x</v>
      </c>
      <c r="L7" s="7"/>
      <c r="M7" s="7"/>
      <c r="N7" s="7"/>
      <c r="O7" s="7"/>
      <c r="P7" s="7"/>
      <c r="Q7" s="4"/>
      <c r="R7" s="7"/>
      <c r="S7" s="7"/>
      <c r="T7" s="7"/>
      <c r="U7" s="7"/>
      <c r="V7" s="7" t="str">
        <f>IFERROR(__xludf.DUMMYFUNCTION("""COMPUTED_VALUE"""),"x")</f>
        <v>x</v>
      </c>
      <c r="W7" s="7"/>
      <c r="X7" s="7"/>
      <c r="Y7" s="7"/>
    </row>
    <row r="8">
      <c r="A8" s="4" t="str">
        <f>IFERROR(__xludf.DUMMYFUNCTION("""COMPUTED_VALUE"""),"Food, Drink, Lodging")</f>
        <v>Food, Drink, Lodging</v>
      </c>
      <c r="B8" s="4" t="str">
        <f>IFERROR(__xludf.DUMMYFUNCTION("""COMPUTED_VALUE"""),"Lodging")</f>
        <v>Lodging</v>
      </c>
      <c r="C8" s="8" t="str">
        <f>IFERROR(__xludf.DUMMYFUNCTION("""COMPUTED_VALUE"""),"Inn Stay, Comfortable")</f>
        <v>Inn Stay, Comfortable</v>
      </c>
      <c r="D8" s="5" t="str">
        <f>IFERROR(__xludf.DUMMYFUNCTION("""COMPUTED_VALUE"""),"-")</f>
        <v>-</v>
      </c>
      <c r="E8" s="6">
        <f>IFERROR(__xludf.DUMMYFUNCTION("""COMPUTED_VALUE"""),0.8)</f>
        <v>0.8</v>
      </c>
      <c r="F8" s="6">
        <f>IFERROR(__xludf.DUMMYFUNCTION("""COMPUTED_VALUE"""),0.6000000000000001)</f>
        <v>0.6</v>
      </c>
      <c r="G8" s="6">
        <f>IFERROR(__xludf.DUMMYFUNCTION("""COMPUTED_VALUE"""),1.2000000000000002)</f>
        <v>1.2</v>
      </c>
      <c r="H8" s="4" t="str">
        <f>IFERROR(__xludf.DUMMYFUNCTION("""COMPUTED_VALUE"""),"PHB 2024")</f>
        <v>PHB 2024</v>
      </c>
      <c r="I8" s="4"/>
      <c r="J8" s="4" t="str">
        <f>IFERROR(__xludf.DUMMYFUNCTION("""COMPUTED_VALUE"""),"x")</f>
        <v>x</v>
      </c>
      <c r="K8" s="4" t="str">
        <f>IFERROR(__xludf.DUMMYFUNCTION("""COMPUTED_VALUE"""),"x")</f>
        <v>x</v>
      </c>
      <c r="L8" s="7"/>
      <c r="M8" s="7"/>
      <c r="N8" s="7"/>
      <c r="O8" s="7"/>
      <c r="P8" s="7"/>
      <c r="Q8" s="4"/>
      <c r="R8" s="7"/>
      <c r="S8" s="7"/>
      <c r="T8" s="7"/>
      <c r="U8" s="7"/>
      <c r="V8" s="7" t="str">
        <f>IFERROR(__xludf.DUMMYFUNCTION("""COMPUTED_VALUE"""),"x")</f>
        <v>x</v>
      </c>
      <c r="W8" s="7"/>
      <c r="X8" s="7"/>
      <c r="Y8" s="7"/>
    </row>
    <row r="9">
      <c r="A9" s="4" t="str">
        <f>IFERROR(__xludf.DUMMYFUNCTION("""COMPUTED_VALUE"""),"Food, Drink, Lodging")</f>
        <v>Food, Drink, Lodging</v>
      </c>
      <c r="B9" s="4" t="str">
        <f>IFERROR(__xludf.DUMMYFUNCTION("""COMPUTED_VALUE"""),"Lodging")</f>
        <v>Lodging</v>
      </c>
      <c r="C9" s="8" t="str">
        <f>IFERROR(__xludf.DUMMYFUNCTION("""COMPUTED_VALUE"""),"Inn Stay, Wealthy")</f>
        <v>Inn Stay, Wealthy</v>
      </c>
      <c r="D9" s="5" t="str">
        <f>IFERROR(__xludf.DUMMYFUNCTION("""COMPUTED_VALUE"""),"-")</f>
        <v>-</v>
      </c>
      <c r="E9" s="6">
        <f>IFERROR(__xludf.DUMMYFUNCTION("""COMPUTED_VALUE"""),2.0)</f>
        <v>2</v>
      </c>
      <c r="F9" s="6">
        <f>IFERROR(__xludf.DUMMYFUNCTION("""COMPUTED_VALUE"""),1.5)</f>
        <v>1.5</v>
      </c>
      <c r="G9" s="6">
        <f>IFERROR(__xludf.DUMMYFUNCTION("""COMPUTED_VALUE"""),3.0)</f>
        <v>3</v>
      </c>
      <c r="H9" s="4" t="str">
        <f>IFERROR(__xludf.DUMMYFUNCTION("""COMPUTED_VALUE"""),"PHB 2024")</f>
        <v>PHB 2024</v>
      </c>
      <c r="I9" s="4"/>
      <c r="J9" s="4" t="str">
        <f>IFERROR(__xludf.DUMMYFUNCTION("""COMPUTED_VALUE"""),"x")</f>
        <v>x</v>
      </c>
      <c r="K9" s="4" t="str">
        <f>IFERROR(__xludf.DUMMYFUNCTION("""COMPUTED_VALUE"""),"x")</f>
        <v>x</v>
      </c>
      <c r="L9" s="7"/>
      <c r="M9" s="7"/>
      <c r="N9" s="7"/>
      <c r="O9" s="7"/>
      <c r="P9" s="7"/>
      <c r="Q9" s="7"/>
      <c r="R9" s="7"/>
      <c r="S9" s="7"/>
      <c r="T9" s="4"/>
      <c r="U9" s="7"/>
      <c r="V9" s="7" t="str">
        <f>IFERROR(__xludf.DUMMYFUNCTION("""COMPUTED_VALUE"""),"x")</f>
        <v>x</v>
      </c>
      <c r="W9" s="7"/>
      <c r="X9" s="7"/>
      <c r="Y9" s="7"/>
    </row>
    <row r="10">
      <c r="A10" s="4" t="str">
        <f>IFERROR(__xludf.DUMMYFUNCTION("""COMPUTED_VALUE"""),"Food, Drink, Lodging")</f>
        <v>Food, Drink, Lodging</v>
      </c>
      <c r="B10" s="4" t="str">
        <f>IFERROR(__xludf.DUMMYFUNCTION("""COMPUTED_VALUE"""),"Lodging")</f>
        <v>Lodging</v>
      </c>
      <c r="C10" s="8" t="str">
        <f>IFERROR(__xludf.DUMMYFUNCTION("""COMPUTED_VALUE"""),"Inn Stay, Aristocratic")</f>
        <v>Inn Stay, Aristocratic</v>
      </c>
      <c r="D10" s="5" t="str">
        <f>IFERROR(__xludf.DUMMYFUNCTION("""COMPUTED_VALUE"""),"-")</f>
        <v>-</v>
      </c>
      <c r="E10" s="6">
        <f>IFERROR(__xludf.DUMMYFUNCTION("""COMPUTED_VALUE"""),4.0)</f>
        <v>4</v>
      </c>
      <c r="F10" s="6">
        <f>IFERROR(__xludf.DUMMYFUNCTION("""COMPUTED_VALUE"""),3.0)</f>
        <v>3</v>
      </c>
      <c r="G10" s="6">
        <f>IFERROR(__xludf.DUMMYFUNCTION("""COMPUTED_VALUE"""),6.0)</f>
        <v>6</v>
      </c>
      <c r="H10" s="4" t="str">
        <f>IFERROR(__xludf.DUMMYFUNCTION("""COMPUTED_VALUE"""),"PHB 2024")</f>
        <v>PHB 2024</v>
      </c>
      <c r="I10" s="4"/>
      <c r="J10" s="4"/>
      <c r="K10" s="4" t="str">
        <f>IFERROR(__xludf.DUMMYFUNCTION("""COMPUTED_VALUE"""),"x")</f>
        <v>x</v>
      </c>
      <c r="L10" s="7"/>
      <c r="M10" s="7"/>
      <c r="N10" s="7"/>
      <c r="O10" s="7"/>
      <c r="P10" s="7"/>
      <c r="Q10" s="7"/>
      <c r="R10" s="7"/>
      <c r="S10" s="4"/>
      <c r="T10" s="7"/>
      <c r="U10" s="4"/>
      <c r="V10" s="7" t="str">
        <f>IFERROR(__xludf.DUMMYFUNCTION("""COMPUTED_VALUE"""),"x")</f>
        <v>x</v>
      </c>
      <c r="W10" s="7"/>
      <c r="X10" s="7"/>
      <c r="Y10" s="7"/>
    </row>
    <row r="11">
      <c r="A11" s="4" t="str">
        <f>IFERROR(__xludf.DUMMYFUNCTION("""COMPUTED_VALUE"""),"Food, Drink, Lodging")</f>
        <v>Food, Drink, Lodging</v>
      </c>
      <c r="B11" s="4" t="str">
        <f>IFERROR(__xludf.DUMMYFUNCTION("""COMPUTED_VALUE"""),"Food")</f>
        <v>Food</v>
      </c>
      <c r="C11" s="8" t="str">
        <f>IFERROR(__xludf.DUMMYFUNCTION("""COMPUTED_VALUE"""),"Meal, Squalid")</f>
        <v>Meal, Squalid</v>
      </c>
      <c r="D11" s="5" t="str">
        <f>IFERROR(__xludf.DUMMYFUNCTION("""COMPUTED_VALUE"""),"-")</f>
        <v>-</v>
      </c>
      <c r="E11" s="6">
        <f>IFERROR(__xludf.DUMMYFUNCTION("""COMPUTED_VALUE"""),0.01)</f>
        <v>0.01</v>
      </c>
      <c r="F11" s="6">
        <f>IFERROR(__xludf.DUMMYFUNCTION("""COMPUTED_VALUE"""),0.0075)</f>
        <v>0.0075</v>
      </c>
      <c r="G11" s="6">
        <f>IFERROR(__xludf.DUMMYFUNCTION("""COMPUTED_VALUE"""),0.015)</f>
        <v>0.015</v>
      </c>
      <c r="H11" s="4" t="str">
        <f>IFERROR(__xludf.DUMMYFUNCTION("""COMPUTED_VALUE"""),"PHB 2024")</f>
        <v>PHB 2024</v>
      </c>
      <c r="I11" s="4" t="str">
        <f>IFERROR(__xludf.DUMMYFUNCTION("""COMPUTED_VALUE"""),"x")</f>
        <v>x</v>
      </c>
      <c r="J11" s="4" t="str">
        <f>IFERROR(__xludf.DUMMYFUNCTION("""COMPUTED_VALUE"""),"x")</f>
        <v>x</v>
      </c>
      <c r="K11" s="4" t="str">
        <f>IFERROR(__xludf.DUMMYFUNCTION("""COMPUTED_VALUE"""),"x")</f>
        <v>x</v>
      </c>
      <c r="L11" s="7"/>
      <c r="M11" s="7"/>
      <c r="N11" s="7"/>
      <c r="O11" s="7"/>
      <c r="P11" s="7"/>
      <c r="Q11" s="7"/>
      <c r="R11" s="7"/>
      <c r="S11" s="4"/>
      <c r="T11" s="7"/>
      <c r="U11" s="4"/>
      <c r="V11" s="7" t="str">
        <f>IFERROR(__xludf.DUMMYFUNCTION("""COMPUTED_VALUE"""),"x")</f>
        <v>x</v>
      </c>
      <c r="W11" s="7"/>
      <c r="X11" s="7"/>
      <c r="Y11" s="7"/>
    </row>
    <row r="12">
      <c r="A12" s="4" t="str">
        <f>IFERROR(__xludf.DUMMYFUNCTION("""COMPUTED_VALUE"""),"Food, Drink, Lodging")</f>
        <v>Food, Drink, Lodging</v>
      </c>
      <c r="B12" s="4" t="str">
        <f>IFERROR(__xludf.DUMMYFUNCTION("""COMPUTED_VALUE"""),"Food")</f>
        <v>Food</v>
      </c>
      <c r="C12" s="8" t="str">
        <f>IFERROR(__xludf.DUMMYFUNCTION("""COMPUTED_VALUE"""),"Meal, Poor")</f>
        <v>Meal, Poor</v>
      </c>
      <c r="D12" s="5" t="str">
        <f>IFERROR(__xludf.DUMMYFUNCTION("""COMPUTED_VALUE"""),"-")</f>
        <v>-</v>
      </c>
      <c r="E12" s="6">
        <f>IFERROR(__xludf.DUMMYFUNCTION("""COMPUTED_VALUE"""),0.02)</f>
        <v>0.02</v>
      </c>
      <c r="F12" s="6">
        <f>IFERROR(__xludf.DUMMYFUNCTION("""COMPUTED_VALUE"""),0.015)</f>
        <v>0.015</v>
      </c>
      <c r="G12" s="6">
        <f>IFERROR(__xludf.DUMMYFUNCTION("""COMPUTED_VALUE"""),0.03)</f>
        <v>0.03</v>
      </c>
      <c r="H12" s="4" t="str">
        <f>IFERROR(__xludf.DUMMYFUNCTION("""COMPUTED_VALUE"""),"PHB 2024")</f>
        <v>PHB 2024</v>
      </c>
      <c r="I12" s="4" t="str">
        <f>IFERROR(__xludf.DUMMYFUNCTION("""COMPUTED_VALUE"""),"x")</f>
        <v>x</v>
      </c>
      <c r="J12" s="4" t="str">
        <f>IFERROR(__xludf.DUMMYFUNCTION("""COMPUTED_VALUE"""),"x")</f>
        <v>x</v>
      </c>
      <c r="K12" s="4" t="str">
        <f>IFERROR(__xludf.DUMMYFUNCTION("""COMPUTED_VALUE"""),"x")</f>
        <v>x</v>
      </c>
      <c r="L12" s="7"/>
      <c r="M12" s="7"/>
      <c r="N12" s="7"/>
      <c r="O12" s="7"/>
      <c r="P12" s="7"/>
      <c r="Q12" s="7"/>
      <c r="R12" s="7"/>
      <c r="S12" s="7"/>
      <c r="T12" s="7"/>
      <c r="U12" s="4"/>
      <c r="V12" s="7" t="str">
        <f>IFERROR(__xludf.DUMMYFUNCTION("""COMPUTED_VALUE"""),"x")</f>
        <v>x</v>
      </c>
      <c r="W12" s="7"/>
      <c r="X12" s="7"/>
      <c r="Y12" s="7"/>
    </row>
    <row r="13">
      <c r="A13" s="4" t="str">
        <f>IFERROR(__xludf.DUMMYFUNCTION("""COMPUTED_VALUE"""),"Food, Drink, Lodging")</f>
        <v>Food, Drink, Lodging</v>
      </c>
      <c r="B13" s="4" t="str">
        <f>IFERROR(__xludf.DUMMYFUNCTION("""COMPUTED_VALUE"""),"Food")</f>
        <v>Food</v>
      </c>
      <c r="C13" s="8" t="str">
        <f>IFERROR(__xludf.DUMMYFUNCTION("""COMPUTED_VALUE"""),"Meal, Modest")</f>
        <v>Meal, Modest</v>
      </c>
      <c r="D13" s="5" t="str">
        <f>IFERROR(__xludf.DUMMYFUNCTION("""COMPUTED_VALUE"""),"-")</f>
        <v>-</v>
      </c>
      <c r="E13" s="6">
        <f>IFERROR(__xludf.DUMMYFUNCTION("""COMPUTED_VALUE"""),0.1)</f>
        <v>0.1</v>
      </c>
      <c r="F13" s="6">
        <f>IFERROR(__xludf.DUMMYFUNCTION("""COMPUTED_VALUE"""),0.07500000000000001)</f>
        <v>0.075</v>
      </c>
      <c r="G13" s="6">
        <f>IFERROR(__xludf.DUMMYFUNCTION("""COMPUTED_VALUE"""),0.15000000000000002)</f>
        <v>0.15</v>
      </c>
      <c r="H13" s="4" t="str">
        <f>IFERROR(__xludf.DUMMYFUNCTION("""COMPUTED_VALUE"""),"PHB 2024")</f>
        <v>PHB 2024</v>
      </c>
      <c r="I13" s="4" t="str">
        <f>IFERROR(__xludf.DUMMYFUNCTION("""COMPUTED_VALUE"""),"x")</f>
        <v>x</v>
      </c>
      <c r="J13" s="4" t="str">
        <f>IFERROR(__xludf.DUMMYFUNCTION("""COMPUTED_VALUE"""),"x")</f>
        <v>x</v>
      </c>
      <c r="K13" s="4" t="str">
        <f>IFERROR(__xludf.DUMMYFUNCTION("""COMPUTED_VALUE"""),"x")</f>
        <v>x</v>
      </c>
      <c r="L13" s="7"/>
      <c r="M13" s="7"/>
      <c r="N13" s="7"/>
      <c r="O13" s="7"/>
      <c r="P13" s="7"/>
      <c r="Q13" s="7"/>
      <c r="R13" s="7"/>
      <c r="S13" s="7"/>
      <c r="T13" s="7"/>
      <c r="U13" s="4"/>
      <c r="V13" s="7" t="str">
        <f>IFERROR(__xludf.DUMMYFUNCTION("""COMPUTED_VALUE"""),"x")</f>
        <v>x</v>
      </c>
      <c r="W13" s="7"/>
      <c r="X13" s="7"/>
      <c r="Y13" s="7"/>
    </row>
    <row r="14">
      <c r="A14" s="4" t="str">
        <f>IFERROR(__xludf.DUMMYFUNCTION("""COMPUTED_VALUE"""),"Food, Drink, Lodging")</f>
        <v>Food, Drink, Lodging</v>
      </c>
      <c r="B14" s="4" t="str">
        <f>IFERROR(__xludf.DUMMYFUNCTION("""COMPUTED_VALUE"""),"Food")</f>
        <v>Food</v>
      </c>
      <c r="C14" s="8" t="str">
        <f>IFERROR(__xludf.DUMMYFUNCTION("""COMPUTED_VALUE"""),"Meal, Comfortable")</f>
        <v>Meal, Comfortable</v>
      </c>
      <c r="D14" s="5" t="str">
        <f>IFERROR(__xludf.DUMMYFUNCTION("""COMPUTED_VALUE"""),"-")</f>
        <v>-</v>
      </c>
      <c r="E14" s="6">
        <f>IFERROR(__xludf.DUMMYFUNCTION("""COMPUTED_VALUE"""),0.2)</f>
        <v>0.2</v>
      </c>
      <c r="F14" s="6">
        <f>IFERROR(__xludf.DUMMYFUNCTION("""COMPUTED_VALUE"""),0.15000000000000002)</f>
        <v>0.15</v>
      </c>
      <c r="G14" s="6">
        <f>IFERROR(__xludf.DUMMYFUNCTION("""COMPUTED_VALUE"""),0.30000000000000004)</f>
        <v>0.3</v>
      </c>
      <c r="H14" s="4" t="str">
        <f>IFERROR(__xludf.DUMMYFUNCTION("""COMPUTED_VALUE"""),"PHB 2024")</f>
        <v>PHB 2024</v>
      </c>
      <c r="I14" s="4"/>
      <c r="J14" s="4" t="str">
        <f>IFERROR(__xludf.DUMMYFUNCTION("""COMPUTED_VALUE"""),"x")</f>
        <v>x</v>
      </c>
      <c r="K14" s="4" t="str">
        <f>IFERROR(__xludf.DUMMYFUNCTION("""COMPUTED_VALUE"""),"x")</f>
        <v>x</v>
      </c>
      <c r="L14" s="7"/>
      <c r="M14" s="7"/>
      <c r="N14" s="7"/>
      <c r="O14" s="7"/>
      <c r="P14" s="7"/>
      <c r="Q14" s="7"/>
      <c r="R14" s="7"/>
      <c r="S14" s="7"/>
      <c r="T14" s="7"/>
      <c r="U14" s="4"/>
      <c r="V14" s="7" t="str">
        <f>IFERROR(__xludf.DUMMYFUNCTION("""COMPUTED_VALUE"""),"x")</f>
        <v>x</v>
      </c>
      <c r="W14" s="7"/>
      <c r="X14" s="7"/>
      <c r="Y14" s="7"/>
    </row>
    <row r="15">
      <c r="A15" s="4" t="str">
        <f>IFERROR(__xludf.DUMMYFUNCTION("""COMPUTED_VALUE"""),"Food, Drink, Lodging")</f>
        <v>Food, Drink, Lodging</v>
      </c>
      <c r="B15" s="4" t="str">
        <f>IFERROR(__xludf.DUMMYFUNCTION("""COMPUTED_VALUE"""),"Food")</f>
        <v>Food</v>
      </c>
      <c r="C15" s="8" t="str">
        <f>IFERROR(__xludf.DUMMYFUNCTION("""COMPUTED_VALUE"""),"Meal, Wealthy")</f>
        <v>Meal, Wealthy</v>
      </c>
      <c r="D15" s="5" t="str">
        <f>IFERROR(__xludf.DUMMYFUNCTION("""COMPUTED_VALUE"""),"-")</f>
        <v>-</v>
      </c>
      <c r="E15" s="6">
        <f>IFERROR(__xludf.DUMMYFUNCTION("""COMPUTED_VALUE"""),0.3)</f>
        <v>0.3</v>
      </c>
      <c r="F15" s="6">
        <f>IFERROR(__xludf.DUMMYFUNCTION("""COMPUTED_VALUE"""),0.22499999999999998)</f>
        <v>0.225</v>
      </c>
      <c r="G15" s="6">
        <f>IFERROR(__xludf.DUMMYFUNCTION("""COMPUTED_VALUE"""),0.44999999999999996)</f>
        <v>0.45</v>
      </c>
      <c r="H15" s="4" t="str">
        <f>IFERROR(__xludf.DUMMYFUNCTION("""COMPUTED_VALUE"""),"PHB 2024")</f>
        <v>PHB 2024</v>
      </c>
      <c r="I15" s="4"/>
      <c r="J15" s="4" t="str">
        <f>IFERROR(__xludf.DUMMYFUNCTION("""COMPUTED_VALUE"""),"x")</f>
        <v>x</v>
      </c>
      <c r="K15" s="4" t="str">
        <f>IFERROR(__xludf.DUMMYFUNCTION("""COMPUTED_VALUE"""),"x")</f>
        <v>x</v>
      </c>
      <c r="L15" s="7"/>
      <c r="M15" s="7"/>
      <c r="N15" s="7"/>
      <c r="O15" s="7"/>
      <c r="P15" s="7"/>
      <c r="Q15" s="4"/>
      <c r="R15" s="7"/>
      <c r="S15" s="7"/>
      <c r="T15" s="7"/>
      <c r="U15" s="7"/>
      <c r="V15" s="7" t="str">
        <f>IFERROR(__xludf.DUMMYFUNCTION("""COMPUTED_VALUE"""),"x")</f>
        <v>x</v>
      </c>
      <c r="W15" s="7"/>
      <c r="X15" s="7"/>
      <c r="Y15" s="7"/>
    </row>
    <row r="16">
      <c r="A16" s="4" t="str">
        <f>IFERROR(__xludf.DUMMYFUNCTION("""COMPUTED_VALUE"""),"Food, Drink, Lodging")</f>
        <v>Food, Drink, Lodging</v>
      </c>
      <c r="B16" s="4" t="str">
        <f>IFERROR(__xludf.DUMMYFUNCTION("""COMPUTED_VALUE"""),"Food")</f>
        <v>Food</v>
      </c>
      <c r="C16" s="8" t="str">
        <f>IFERROR(__xludf.DUMMYFUNCTION("""COMPUTED_VALUE"""),"Meal, Aristocratic")</f>
        <v>Meal, Aristocratic</v>
      </c>
      <c r="D16" s="5" t="str">
        <f>IFERROR(__xludf.DUMMYFUNCTION("""COMPUTED_VALUE"""),"-")</f>
        <v>-</v>
      </c>
      <c r="E16" s="6">
        <f>IFERROR(__xludf.DUMMYFUNCTION("""COMPUTED_VALUE"""),0.6)</f>
        <v>0.6</v>
      </c>
      <c r="F16" s="6">
        <f>IFERROR(__xludf.DUMMYFUNCTION("""COMPUTED_VALUE"""),0.44999999999999996)</f>
        <v>0.45</v>
      </c>
      <c r="G16" s="6">
        <f>IFERROR(__xludf.DUMMYFUNCTION("""COMPUTED_VALUE"""),0.8999999999999999)</f>
        <v>0.9</v>
      </c>
      <c r="H16" s="4" t="str">
        <f>IFERROR(__xludf.DUMMYFUNCTION("""COMPUTED_VALUE"""),"PHB 2024")</f>
        <v>PHB 2024</v>
      </c>
      <c r="I16" s="4"/>
      <c r="J16" s="4"/>
      <c r="K16" s="4" t="str">
        <f>IFERROR(__xludf.DUMMYFUNCTION("""COMPUTED_VALUE"""),"x")</f>
        <v>x</v>
      </c>
      <c r="L16" s="4"/>
      <c r="M16" s="7"/>
      <c r="N16" s="7"/>
      <c r="O16" s="7"/>
      <c r="P16" s="7"/>
      <c r="Q16" s="7"/>
      <c r="R16" s="7"/>
      <c r="S16" s="7"/>
      <c r="T16" s="7"/>
      <c r="U16" s="7"/>
      <c r="V16" s="7" t="str">
        <f>IFERROR(__xludf.DUMMYFUNCTION("""COMPUTED_VALUE"""),"x")</f>
        <v>x</v>
      </c>
      <c r="W16" s="7"/>
      <c r="X16" s="7"/>
      <c r="Y16" s="7"/>
    </row>
    <row r="17">
      <c r="A17" s="4" t="str">
        <f>IFERROR(__xludf.DUMMYFUNCTION("""COMPUTED_VALUE"""),"Food, Drink, Lodging")</f>
        <v>Food, Drink, Lodging</v>
      </c>
      <c r="B17" s="4" t="str">
        <f>IFERROR(__xludf.DUMMYFUNCTION("""COMPUTED_VALUE"""),"Drink")</f>
        <v>Drink</v>
      </c>
      <c r="C17" s="8" t="str">
        <f>IFERROR(__xludf.DUMMYFUNCTION("""COMPUTED_VALUE"""),"Wine, Common (bottle)")</f>
        <v>Wine, Common (bottle)</v>
      </c>
      <c r="D17" s="5" t="str">
        <f>IFERROR(__xludf.DUMMYFUNCTION("""COMPUTED_VALUE"""),"-")</f>
        <v>-</v>
      </c>
      <c r="E17" s="6">
        <f>IFERROR(__xludf.DUMMYFUNCTION("""COMPUTED_VALUE"""),0.2)</f>
        <v>0.2</v>
      </c>
      <c r="F17" s="6">
        <f>IFERROR(__xludf.DUMMYFUNCTION("""COMPUTED_VALUE"""),0.15000000000000002)</f>
        <v>0.15</v>
      </c>
      <c r="G17" s="6">
        <f>IFERROR(__xludf.DUMMYFUNCTION("""COMPUTED_VALUE"""),0.30000000000000004)</f>
        <v>0.3</v>
      </c>
      <c r="H17" s="4" t="str">
        <f>IFERROR(__xludf.DUMMYFUNCTION("""COMPUTED_VALUE"""),"PHB 2024")</f>
        <v>PHB 2024</v>
      </c>
      <c r="I17" s="4" t="str">
        <f>IFERROR(__xludf.DUMMYFUNCTION("""COMPUTED_VALUE"""),"x")</f>
        <v>x</v>
      </c>
      <c r="J17" s="4" t="str">
        <f>IFERROR(__xludf.DUMMYFUNCTION("""COMPUTED_VALUE"""),"x")</f>
        <v>x</v>
      </c>
      <c r="K17" s="4" t="str">
        <f>IFERROR(__xludf.DUMMYFUNCTION("""COMPUTED_VALUE"""),"x")</f>
        <v>x</v>
      </c>
      <c r="L17" s="7"/>
      <c r="M17" s="7"/>
      <c r="N17" s="7"/>
      <c r="O17" s="7"/>
      <c r="P17" s="4"/>
      <c r="Q17" s="7"/>
      <c r="R17" s="7"/>
      <c r="S17" s="7"/>
      <c r="T17" s="7"/>
      <c r="U17" s="7"/>
      <c r="V17" s="7" t="str">
        <f>IFERROR(__xludf.DUMMYFUNCTION("""COMPUTED_VALUE"""),"x")</f>
        <v>x</v>
      </c>
      <c r="W17" s="7"/>
      <c r="X17" s="7"/>
      <c r="Y17" s="7"/>
    </row>
    <row r="18">
      <c r="A18" s="4" t="str">
        <f>IFERROR(__xludf.DUMMYFUNCTION("""COMPUTED_VALUE"""),"Food, Drink, Lodging")</f>
        <v>Food, Drink, Lodging</v>
      </c>
      <c r="B18" s="4" t="str">
        <f>IFERROR(__xludf.DUMMYFUNCTION("""COMPUTED_VALUE"""),"Drink")</f>
        <v>Drink</v>
      </c>
      <c r="C18" s="8" t="str">
        <f>IFERROR(__xludf.DUMMYFUNCTION("""COMPUTED_VALUE"""),"Wine, Fine (bottle)")</f>
        <v>Wine, Fine (bottle)</v>
      </c>
      <c r="D18" s="5" t="str">
        <f>IFERROR(__xludf.DUMMYFUNCTION("""COMPUTED_VALUE"""),"-")</f>
        <v>-</v>
      </c>
      <c r="E18" s="6">
        <f>IFERROR(__xludf.DUMMYFUNCTION("""COMPUTED_VALUE"""),10.0)</f>
        <v>10</v>
      </c>
      <c r="F18" s="6">
        <f>IFERROR(__xludf.DUMMYFUNCTION("""COMPUTED_VALUE"""),7.5)</f>
        <v>7.5</v>
      </c>
      <c r="G18" s="6">
        <f>IFERROR(__xludf.DUMMYFUNCTION("""COMPUTED_VALUE"""),15.0)</f>
        <v>15</v>
      </c>
      <c r="H18" s="4" t="str">
        <f>IFERROR(__xludf.DUMMYFUNCTION("""COMPUTED_VALUE"""),"PHB 2024")</f>
        <v>PHB 2024</v>
      </c>
      <c r="I18" s="4"/>
      <c r="J18" s="4" t="str">
        <f>IFERROR(__xludf.DUMMYFUNCTION("""COMPUTED_VALUE"""),"x")</f>
        <v>x</v>
      </c>
      <c r="K18" s="4" t="str">
        <f>IFERROR(__xludf.DUMMYFUNCTION("""COMPUTED_VALUE"""),"x")</f>
        <v>x</v>
      </c>
      <c r="L18" s="7"/>
      <c r="M18" s="7"/>
      <c r="N18" s="7"/>
      <c r="O18" s="7"/>
      <c r="P18" s="7"/>
      <c r="Q18" s="7"/>
      <c r="R18" s="4"/>
      <c r="S18" s="7"/>
      <c r="T18" s="7"/>
      <c r="U18" s="7"/>
      <c r="V18" s="7" t="str">
        <f>IFERROR(__xludf.DUMMYFUNCTION("""COMPUTED_VALUE"""),"x")</f>
        <v>x</v>
      </c>
      <c r="W18" s="7"/>
      <c r="X18" s="7"/>
      <c r="Y18" s="7"/>
    </row>
    <row r="19">
      <c r="A19" s="4"/>
      <c r="B19" s="4"/>
      <c r="C19" s="4"/>
      <c r="D19" s="5"/>
      <c r="E19" s="6"/>
      <c r="F19" s="6"/>
      <c r="G19" s="6"/>
      <c r="H19" s="4"/>
      <c r="I19" s="4"/>
      <c r="J19" s="4"/>
      <c r="K19" s="4"/>
      <c r="L19" s="7"/>
      <c r="M19" s="7"/>
      <c r="N19" s="7"/>
      <c r="O19" s="7"/>
      <c r="P19" s="7"/>
      <c r="Q19" s="4"/>
      <c r="R19" s="7"/>
      <c r="S19" s="7"/>
      <c r="T19" s="7"/>
      <c r="U19" s="7"/>
      <c r="V19" s="7"/>
      <c r="W19" s="7"/>
      <c r="X19" s="7"/>
      <c r="Y19" s="7"/>
    </row>
    <row r="20">
      <c r="A20" s="4"/>
      <c r="B20" s="4"/>
      <c r="C20" s="4"/>
      <c r="D20" s="5"/>
      <c r="E20" s="6"/>
      <c r="F20" s="6"/>
      <c r="G20" s="6"/>
      <c r="H20" s="4"/>
      <c r="I20" s="4"/>
      <c r="J20" s="4"/>
      <c r="K20" s="4"/>
      <c r="L20" s="4"/>
      <c r="M20" s="7"/>
      <c r="N20" s="7"/>
      <c r="O20" s="4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4"/>
      <c r="B21" s="4"/>
      <c r="C21" s="4"/>
      <c r="D21" s="5"/>
      <c r="E21" s="6"/>
      <c r="F21" s="6"/>
      <c r="G21" s="6"/>
      <c r="H21" s="4"/>
      <c r="I21" s="4"/>
      <c r="J21" s="4"/>
      <c r="K21" s="4"/>
      <c r="L21" s="7"/>
      <c r="M21" s="7"/>
      <c r="N21" s="7"/>
      <c r="O21" s="4"/>
      <c r="P21" s="4"/>
      <c r="Q21" s="4"/>
      <c r="R21" s="7"/>
      <c r="S21" s="7"/>
      <c r="T21" s="7"/>
      <c r="U21" s="7"/>
      <c r="V21" s="7"/>
      <c r="W21" s="7"/>
      <c r="X21" s="7"/>
      <c r="Y21" s="7"/>
    </row>
    <row r="22">
      <c r="A22" s="4"/>
      <c r="B22" s="4"/>
      <c r="C22" s="4"/>
      <c r="D22" s="5"/>
      <c r="E22" s="6"/>
      <c r="F22" s="6"/>
      <c r="G22" s="6"/>
      <c r="H22" s="4"/>
      <c r="I22" s="4"/>
      <c r="J22" s="4"/>
      <c r="K22" s="4"/>
      <c r="L22" s="4"/>
      <c r="M22" s="7"/>
      <c r="N22" s="7"/>
      <c r="O22" s="7"/>
      <c r="P22" s="7"/>
      <c r="Q22" s="4"/>
      <c r="R22" s="7"/>
      <c r="S22" s="7"/>
      <c r="T22" s="7"/>
      <c r="U22" s="7"/>
      <c r="V22" s="7"/>
      <c r="W22" s="7"/>
      <c r="X22" s="7"/>
      <c r="Y22" s="7"/>
    </row>
    <row r="23">
      <c r="A23" s="4"/>
      <c r="B23" s="4"/>
      <c r="C23" s="4"/>
      <c r="D23" s="5"/>
      <c r="E23" s="6"/>
      <c r="F23" s="6"/>
      <c r="G23" s="6"/>
      <c r="H23" s="4"/>
      <c r="I23" s="4"/>
      <c r="J23" s="4"/>
      <c r="K23" s="4"/>
      <c r="L23" s="7"/>
      <c r="M23" s="7"/>
      <c r="N23" s="7"/>
      <c r="O23" s="4"/>
      <c r="P23" s="7"/>
      <c r="Q23" s="7"/>
      <c r="R23" s="7"/>
      <c r="S23" s="7"/>
      <c r="T23" s="7"/>
      <c r="U23" s="4"/>
      <c r="V23" s="7"/>
      <c r="W23" s="7"/>
      <c r="X23" s="7"/>
      <c r="Y23" s="7"/>
    </row>
    <row r="24">
      <c r="A24" s="4"/>
      <c r="B24" s="4"/>
      <c r="C24" s="4"/>
      <c r="D24" s="5"/>
      <c r="E24" s="6"/>
      <c r="F24" s="6"/>
      <c r="G24" s="6"/>
      <c r="H24" s="4"/>
      <c r="I24" s="4"/>
      <c r="J24" s="4"/>
      <c r="K24" s="4"/>
      <c r="L24" s="7"/>
      <c r="M24" s="7"/>
      <c r="N24" s="7"/>
      <c r="O24" s="7"/>
      <c r="P24" s="4"/>
      <c r="Q24" s="4"/>
      <c r="R24" s="7"/>
      <c r="S24" s="7"/>
      <c r="T24" s="7"/>
      <c r="U24" s="4"/>
      <c r="V24" s="7"/>
      <c r="W24" s="7"/>
      <c r="X24" s="7"/>
      <c r="Y24" s="7"/>
    </row>
    <row r="25">
      <c r="A25" s="4"/>
      <c r="B25" s="4"/>
      <c r="C25" s="4"/>
      <c r="D25" s="5"/>
      <c r="E25" s="6"/>
      <c r="F25" s="6"/>
      <c r="G25" s="6"/>
      <c r="H25" s="4"/>
      <c r="I25" s="4"/>
      <c r="J25" s="4"/>
      <c r="K25" s="4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</row>
    <row r="26">
      <c r="A26" s="4"/>
      <c r="B26" s="4"/>
      <c r="C26" s="4"/>
      <c r="D26" s="5"/>
      <c r="E26" s="6"/>
      <c r="F26" s="6"/>
      <c r="G26" s="6"/>
      <c r="H26" s="4"/>
      <c r="I26" s="4"/>
      <c r="J26" s="4"/>
      <c r="K26" s="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4"/>
      <c r="X26" s="7"/>
      <c r="Y26" s="7"/>
    </row>
    <row r="27">
      <c r="A27" s="4"/>
      <c r="B27" s="4"/>
      <c r="C27" s="4"/>
      <c r="D27" s="5"/>
      <c r="E27" s="6"/>
      <c r="F27" s="6"/>
      <c r="G27" s="6"/>
      <c r="H27" s="4"/>
      <c r="I27" s="4"/>
      <c r="J27" s="4"/>
      <c r="K27" s="4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4"/>
      <c r="X27" s="7"/>
      <c r="Y27" s="7"/>
    </row>
    <row r="28">
      <c r="A28" s="4"/>
      <c r="B28" s="4"/>
      <c r="C28" s="4"/>
      <c r="D28" s="5"/>
      <c r="E28" s="6"/>
      <c r="F28" s="6"/>
      <c r="G28" s="6"/>
      <c r="H28" s="4"/>
      <c r="I28" s="4"/>
      <c r="J28" s="4"/>
      <c r="K28" s="4"/>
      <c r="L28" s="7"/>
      <c r="M28" s="7"/>
      <c r="N28" s="7"/>
      <c r="O28" s="4"/>
      <c r="P28" s="4"/>
      <c r="Q28" s="4"/>
      <c r="R28" s="7"/>
      <c r="S28" s="7"/>
      <c r="T28" s="7"/>
      <c r="U28" s="4"/>
      <c r="V28" s="7"/>
      <c r="W28" s="7"/>
      <c r="X28" s="7"/>
      <c r="Y28" s="7"/>
    </row>
    <row r="29">
      <c r="A29" s="4"/>
      <c r="B29" s="4"/>
      <c r="C29" s="4"/>
      <c r="D29" s="5"/>
      <c r="E29" s="6"/>
      <c r="F29" s="6"/>
      <c r="G29" s="6"/>
      <c r="H29" s="4"/>
      <c r="I29" s="4"/>
      <c r="J29" s="4"/>
      <c r="K29" s="4"/>
      <c r="L29" s="7"/>
      <c r="M29" s="4"/>
      <c r="N29" s="7"/>
      <c r="O29" s="7"/>
      <c r="P29" s="7"/>
      <c r="Q29" s="4"/>
      <c r="R29" s="7"/>
      <c r="S29" s="7"/>
      <c r="T29" s="7"/>
      <c r="U29" s="7"/>
      <c r="V29" s="7"/>
      <c r="W29" s="7"/>
      <c r="X29" s="7"/>
      <c r="Y29" s="7"/>
    </row>
    <row r="30">
      <c r="A30" s="4"/>
      <c r="B30" s="4"/>
      <c r="C30" s="8"/>
      <c r="D30" s="5"/>
      <c r="E30" s="6"/>
      <c r="F30" s="6"/>
      <c r="G30" s="6"/>
      <c r="H30" s="4"/>
      <c r="I30" s="4"/>
      <c r="J30" s="4"/>
      <c r="K30" s="4"/>
      <c r="L30" s="7"/>
      <c r="M30" s="7"/>
      <c r="N30" s="7"/>
      <c r="O30" s="4"/>
      <c r="P30" s="7"/>
      <c r="Q30" s="4"/>
      <c r="R30" s="7"/>
      <c r="S30" s="7"/>
      <c r="T30" s="7"/>
      <c r="U30" s="4"/>
      <c r="V30" s="7"/>
      <c r="W30" s="7"/>
      <c r="X30" s="7"/>
      <c r="Y30" s="7"/>
    </row>
    <row r="31">
      <c r="A31" s="4"/>
      <c r="B31" s="4"/>
      <c r="C31" s="8"/>
      <c r="D31" s="5"/>
      <c r="E31" s="6"/>
      <c r="F31" s="6"/>
      <c r="G31" s="6"/>
      <c r="H31" s="4"/>
      <c r="I31" s="4"/>
      <c r="J31" s="4"/>
      <c r="K31" s="4"/>
      <c r="L31" s="4"/>
      <c r="M31" s="7"/>
      <c r="N31" s="7"/>
      <c r="O31" s="7"/>
      <c r="P31" s="7"/>
      <c r="Q31" s="4"/>
      <c r="R31" s="7"/>
      <c r="S31" s="7"/>
      <c r="T31" s="7"/>
      <c r="U31" s="7"/>
      <c r="V31" s="7"/>
      <c r="W31" s="7"/>
      <c r="X31" s="7"/>
      <c r="Y31" s="7"/>
    </row>
    <row r="32">
      <c r="A32" s="4"/>
      <c r="B32" s="4"/>
      <c r="C32" s="8"/>
      <c r="D32" s="5"/>
      <c r="E32" s="6"/>
      <c r="F32" s="6"/>
      <c r="G32" s="6"/>
      <c r="H32" s="4"/>
      <c r="I32" s="4"/>
      <c r="J32" s="4"/>
      <c r="K32" s="4"/>
      <c r="L32" s="7"/>
      <c r="M32" s="7"/>
      <c r="N32" s="7"/>
      <c r="O32" s="7"/>
      <c r="P32" s="4"/>
      <c r="Q32" s="4"/>
      <c r="R32" s="7"/>
      <c r="S32" s="7"/>
      <c r="T32" s="7"/>
      <c r="U32" s="7"/>
      <c r="V32" s="7"/>
      <c r="W32" s="7"/>
      <c r="X32" s="7"/>
      <c r="Y32" s="7"/>
    </row>
    <row r="33">
      <c r="A33" s="4"/>
      <c r="B33" s="4"/>
      <c r="C33" s="8"/>
      <c r="D33" s="5"/>
      <c r="E33" s="6"/>
      <c r="F33" s="6"/>
      <c r="G33" s="6"/>
      <c r="H33" s="4"/>
      <c r="I33" s="4"/>
      <c r="J33" s="4"/>
      <c r="K33" s="4"/>
      <c r="L33" s="7"/>
      <c r="M33" s="7"/>
      <c r="N33" s="7"/>
      <c r="O33" s="7"/>
      <c r="P33" s="7"/>
      <c r="Q33" s="4"/>
      <c r="R33" s="7"/>
      <c r="S33" s="7"/>
      <c r="T33" s="7"/>
      <c r="U33" s="7"/>
      <c r="V33" s="7"/>
      <c r="W33" s="7"/>
      <c r="X33" s="7"/>
      <c r="Y33" s="7"/>
    </row>
    <row r="34">
      <c r="A34" s="4"/>
      <c r="B34" s="4"/>
      <c r="C34" s="8"/>
      <c r="D34" s="5"/>
      <c r="E34" s="6"/>
      <c r="F34" s="6"/>
      <c r="G34" s="6"/>
      <c r="H34" s="4"/>
      <c r="I34" s="4"/>
      <c r="J34" s="4"/>
      <c r="K34" s="4"/>
      <c r="L34" s="7"/>
      <c r="M34" s="7"/>
      <c r="N34" s="7"/>
      <c r="O34" s="7"/>
      <c r="P34" s="4"/>
      <c r="Q34" s="7"/>
      <c r="R34" s="4"/>
      <c r="S34" s="7"/>
      <c r="T34" s="7"/>
      <c r="U34" s="7"/>
      <c r="V34" s="7"/>
      <c r="W34" s="7"/>
      <c r="X34" s="7"/>
      <c r="Y34" s="7"/>
    </row>
    <row r="35">
      <c r="A35" s="4"/>
      <c r="B35" s="4"/>
      <c r="C35" s="8"/>
      <c r="D35" s="5"/>
      <c r="E35" s="6"/>
      <c r="F35" s="6"/>
      <c r="G35" s="6"/>
      <c r="H35" s="4"/>
      <c r="I35" s="4"/>
      <c r="J35" s="4"/>
      <c r="K35" s="4"/>
      <c r="L35" s="7"/>
      <c r="M35" s="7"/>
      <c r="N35" s="7"/>
      <c r="O35" s="7"/>
      <c r="P35" s="7"/>
      <c r="Q35" s="4"/>
      <c r="R35" s="4"/>
      <c r="S35" s="7"/>
      <c r="T35" s="7"/>
      <c r="U35" s="7"/>
      <c r="V35" s="7"/>
      <c r="W35" s="7"/>
      <c r="X35" s="7"/>
      <c r="Y35" s="7"/>
    </row>
    <row r="36">
      <c r="A36" s="4"/>
      <c r="B36" s="4"/>
      <c r="C36" s="8"/>
      <c r="D36" s="5"/>
      <c r="E36" s="6"/>
      <c r="F36" s="6"/>
      <c r="G36" s="6"/>
      <c r="H36" s="4"/>
      <c r="I36" s="4"/>
      <c r="J36" s="4"/>
      <c r="K36" s="4"/>
      <c r="L36" s="7"/>
      <c r="M36" s="7"/>
      <c r="N36" s="7"/>
      <c r="O36" s="7"/>
      <c r="P36" s="7"/>
      <c r="Q36" s="7"/>
      <c r="R36" s="4"/>
      <c r="S36" s="7"/>
      <c r="T36" s="4"/>
      <c r="U36" s="4"/>
      <c r="V36" s="7"/>
      <c r="W36" s="7"/>
      <c r="X36" s="7"/>
      <c r="Y36" s="7"/>
    </row>
    <row r="37">
      <c r="A37" s="4"/>
      <c r="B37" s="4"/>
      <c r="C37" s="8"/>
      <c r="D37" s="5"/>
      <c r="E37" s="6"/>
      <c r="F37" s="6"/>
      <c r="G37" s="6"/>
      <c r="H37" s="4"/>
      <c r="I37" s="4"/>
      <c r="J37" s="4"/>
      <c r="K37" s="4"/>
      <c r="L37" s="7"/>
      <c r="M37" s="7"/>
      <c r="N37" s="7"/>
      <c r="O37" s="7"/>
      <c r="P37" s="7"/>
      <c r="Q37" s="7"/>
      <c r="R37" s="4"/>
      <c r="S37" s="7"/>
      <c r="T37" s="7"/>
      <c r="U37" s="7"/>
      <c r="V37" s="7"/>
      <c r="W37" s="4"/>
      <c r="X37" s="7"/>
      <c r="Y37" s="7"/>
    </row>
    <row r="38">
      <c r="A38" s="4"/>
      <c r="B38" s="4"/>
      <c r="C38" s="8"/>
      <c r="D38" s="5"/>
      <c r="E38" s="6"/>
      <c r="F38" s="6"/>
      <c r="G38" s="6"/>
      <c r="H38" s="4"/>
      <c r="I38" s="4"/>
      <c r="J38" s="4"/>
      <c r="K38" s="4"/>
      <c r="L38" s="4"/>
      <c r="M38" s="7"/>
      <c r="N38" s="7"/>
      <c r="O38" s="7"/>
      <c r="P38" s="7"/>
      <c r="Q38" s="4"/>
      <c r="R38" s="7"/>
      <c r="S38" s="7"/>
      <c r="T38" s="7"/>
      <c r="U38" s="7"/>
      <c r="V38" s="7"/>
      <c r="W38" s="4"/>
      <c r="X38" s="7"/>
      <c r="Y38" s="7"/>
    </row>
    <row r="39">
      <c r="A39" s="4"/>
      <c r="B39" s="4"/>
      <c r="C39" s="8"/>
      <c r="D39" s="5"/>
      <c r="E39" s="6"/>
      <c r="F39" s="6"/>
      <c r="G39" s="6"/>
      <c r="H39" s="4"/>
      <c r="I39" s="4"/>
      <c r="J39" s="4"/>
      <c r="K39" s="4"/>
      <c r="L39" s="7"/>
      <c r="M39" s="7"/>
      <c r="N39" s="7"/>
      <c r="O39" s="4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4"/>
      <c r="B40" s="8"/>
      <c r="C40" s="4"/>
      <c r="D40" s="5"/>
      <c r="E40" s="6"/>
      <c r="F40" s="6"/>
      <c r="G40" s="6"/>
      <c r="H40" s="4"/>
      <c r="I40" s="4"/>
      <c r="J40" s="4"/>
      <c r="K40" s="4"/>
      <c r="L40" s="7"/>
      <c r="M40" s="7"/>
      <c r="N40" s="7"/>
      <c r="O40" s="7"/>
      <c r="P40" s="7"/>
      <c r="Q40" s="7"/>
      <c r="R40" s="7"/>
      <c r="S40" s="7"/>
      <c r="T40" s="7"/>
      <c r="U40" s="4"/>
      <c r="V40" s="7"/>
      <c r="W40" s="7"/>
      <c r="X40" s="7"/>
      <c r="Y40" s="7"/>
    </row>
    <row r="41">
      <c r="A41" s="4"/>
      <c r="B41" s="8"/>
      <c r="C41" s="8"/>
      <c r="D41" s="5"/>
      <c r="E41" s="6"/>
      <c r="F41" s="6"/>
      <c r="G41" s="6"/>
      <c r="H41" s="4"/>
      <c r="I41" s="4"/>
      <c r="J41" s="4"/>
      <c r="K41" s="4"/>
      <c r="L41" s="7"/>
      <c r="M41" s="7"/>
      <c r="N41" s="7"/>
      <c r="O41" s="7"/>
      <c r="P41" s="7"/>
      <c r="Q41" s="7"/>
      <c r="R41" s="7"/>
      <c r="S41" s="7"/>
      <c r="T41" s="7"/>
      <c r="U41" s="4"/>
      <c r="V41" s="7"/>
      <c r="W41" s="7"/>
      <c r="X41" s="7"/>
      <c r="Y41" s="7"/>
    </row>
    <row r="42">
      <c r="A42" s="4"/>
      <c r="B42" s="8"/>
      <c r="C42" s="8"/>
      <c r="D42" s="5"/>
      <c r="E42" s="6"/>
      <c r="F42" s="6"/>
      <c r="G42" s="6"/>
      <c r="H42" s="4"/>
      <c r="I42" s="4"/>
      <c r="J42" s="4"/>
      <c r="K42" s="4"/>
      <c r="L42" s="7"/>
      <c r="M42" s="7"/>
      <c r="N42" s="7"/>
      <c r="O42" s="7"/>
      <c r="P42" s="7"/>
      <c r="Q42" s="7"/>
      <c r="R42" s="7"/>
      <c r="S42" s="7"/>
      <c r="T42" s="7"/>
      <c r="U42" s="4"/>
      <c r="V42" s="7"/>
      <c r="W42" s="7"/>
      <c r="X42" s="7"/>
      <c r="Y42" s="7"/>
    </row>
    <row r="43">
      <c r="A43" s="4"/>
      <c r="B43" s="4"/>
      <c r="C43" s="8"/>
      <c r="D43" s="5"/>
      <c r="E43" s="6"/>
      <c r="F43" s="6"/>
      <c r="G43" s="6"/>
      <c r="H43" s="4"/>
      <c r="I43" s="4"/>
      <c r="J43" s="4"/>
      <c r="K43" s="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4"/>
      <c r="B44" s="4"/>
      <c r="C44" s="8"/>
      <c r="D44" s="5"/>
      <c r="E44" s="6"/>
      <c r="F44" s="6"/>
      <c r="G44" s="6"/>
      <c r="H44" s="4"/>
      <c r="I44" s="4"/>
      <c r="J44" s="4"/>
      <c r="K44" s="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4"/>
      <c r="B45" s="4"/>
      <c r="C45" s="8"/>
      <c r="D45" s="5"/>
      <c r="E45" s="6"/>
      <c r="F45" s="6"/>
      <c r="G45" s="6"/>
      <c r="H45" s="4"/>
      <c r="I45" s="4"/>
      <c r="J45" s="4"/>
      <c r="K45" s="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4"/>
      <c r="B46" s="4"/>
      <c r="C46" s="8"/>
      <c r="D46" s="5"/>
      <c r="E46" s="6"/>
      <c r="F46" s="6"/>
      <c r="G46" s="6"/>
      <c r="H46" s="4"/>
      <c r="I46" s="4"/>
      <c r="J46" s="4"/>
      <c r="K46" s="4"/>
      <c r="L46" s="7"/>
      <c r="M46" s="7"/>
      <c r="N46" s="7"/>
      <c r="O46" s="4"/>
      <c r="P46" s="4"/>
      <c r="Q46" s="4"/>
      <c r="R46" s="7"/>
      <c r="S46" s="7"/>
      <c r="T46" s="4"/>
      <c r="U46" s="7"/>
      <c r="V46" s="7"/>
      <c r="W46" s="7"/>
      <c r="X46" s="7"/>
      <c r="Y46" s="7"/>
    </row>
    <row r="47">
      <c r="A47" s="4"/>
      <c r="B47" s="4"/>
      <c r="C47" s="8"/>
      <c r="D47" s="5"/>
      <c r="E47" s="6"/>
      <c r="F47" s="6"/>
      <c r="G47" s="6"/>
      <c r="H47" s="4"/>
      <c r="I47" s="4"/>
      <c r="J47" s="4"/>
      <c r="K47" s="4"/>
      <c r="L47" s="4"/>
      <c r="M47" s="7"/>
      <c r="N47" s="7"/>
      <c r="O47" s="7"/>
      <c r="P47" s="7"/>
      <c r="Q47" s="4"/>
      <c r="R47" s="7"/>
      <c r="S47" s="7"/>
      <c r="T47" s="7"/>
      <c r="U47" s="7"/>
      <c r="V47" s="7"/>
      <c r="W47" s="4"/>
      <c r="X47" s="7"/>
      <c r="Y47" s="7"/>
    </row>
    <row r="48">
      <c r="A48" s="4"/>
      <c r="B48" s="4"/>
      <c r="C48" s="8"/>
      <c r="D48" s="5"/>
      <c r="E48" s="6"/>
      <c r="F48" s="6"/>
      <c r="G48" s="6"/>
      <c r="H48" s="4"/>
      <c r="I48" s="4"/>
      <c r="J48" s="4"/>
      <c r="K48" s="4"/>
      <c r="L48" s="7"/>
      <c r="M48" s="7"/>
      <c r="N48" s="7"/>
      <c r="O48" s="4"/>
      <c r="P48" s="7"/>
      <c r="Q48" s="4"/>
      <c r="R48" s="7"/>
      <c r="S48" s="7"/>
      <c r="T48" s="7"/>
      <c r="U48" s="7"/>
      <c r="V48" s="7"/>
      <c r="W48" s="7"/>
      <c r="X48" s="7"/>
      <c r="Y48" s="7"/>
    </row>
    <row r="49">
      <c r="A49" s="4"/>
      <c r="B49" s="4"/>
      <c r="C49" s="8"/>
      <c r="D49" s="5"/>
      <c r="E49" s="6"/>
      <c r="F49" s="6"/>
      <c r="G49" s="6"/>
      <c r="H49" s="4"/>
      <c r="I49" s="4"/>
      <c r="J49" s="4"/>
      <c r="K49" s="4"/>
      <c r="L49" s="7"/>
      <c r="M49" s="7"/>
      <c r="N49" s="7"/>
      <c r="O49" s="4"/>
      <c r="P49" s="7"/>
      <c r="Q49" s="7"/>
      <c r="R49" s="7"/>
      <c r="S49" s="4"/>
      <c r="T49" s="7"/>
      <c r="U49" s="7"/>
      <c r="V49" s="7"/>
      <c r="W49" s="7"/>
      <c r="X49" s="7"/>
      <c r="Y49" s="7"/>
    </row>
    <row r="50">
      <c r="A50" s="4"/>
      <c r="B50" s="4"/>
      <c r="C50" s="8"/>
      <c r="D50" s="5"/>
      <c r="E50" s="6"/>
      <c r="F50" s="6"/>
      <c r="G50" s="6"/>
      <c r="H50" s="4"/>
      <c r="I50" s="4"/>
      <c r="J50" s="4"/>
      <c r="K50" s="4"/>
      <c r="L50" s="7"/>
      <c r="M50" s="7"/>
      <c r="N50" s="7"/>
      <c r="O50" s="4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4"/>
      <c r="B51" s="4"/>
      <c r="C51" s="8"/>
      <c r="D51" s="5"/>
      <c r="E51" s="6"/>
      <c r="F51" s="6"/>
      <c r="G51" s="6"/>
      <c r="H51" s="4"/>
      <c r="I51" s="4"/>
      <c r="J51" s="4"/>
      <c r="K51" s="4"/>
      <c r="L51" s="7"/>
      <c r="M51" s="7"/>
      <c r="N51" s="7"/>
      <c r="O51" s="4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4"/>
      <c r="B52" s="4"/>
      <c r="C52" s="8"/>
      <c r="D52" s="5"/>
      <c r="E52" s="6"/>
      <c r="F52" s="6"/>
      <c r="G52" s="6"/>
      <c r="H52" s="4"/>
      <c r="I52" s="4"/>
      <c r="J52" s="4"/>
      <c r="K52" s="4"/>
      <c r="L52" s="7"/>
      <c r="M52" s="7"/>
      <c r="N52" s="7"/>
      <c r="O52" s="4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4"/>
      <c r="B53" s="4"/>
      <c r="C53" s="8"/>
      <c r="D53" s="5"/>
      <c r="E53" s="6"/>
      <c r="F53" s="6"/>
      <c r="G53" s="6"/>
      <c r="H53" s="4"/>
      <c r="I53" s="4"/>
      <c r="J53" s="4"/>
      <c r="K53" s="4"/>
      <c r="L53" s="4"/>
      <c r="M53" s="7"/>
      <c r="N53" s="7"/>
      <c r="O53" s="7"/>
      <c r="P53" s="7"/>
      <c r="Q53" s="4"/>
      <c r="R53" s="7"/>
      <c r="S53" s="7"/>
      <c r="T53" s="7"/>
      <c r="U53" s="7"/>
      <c r="V53" s="7"/>
      <c r="W53" s="7"/>
      <c r="X53" s="7"/>
      <c r="Y53" s="7"/>
    </row>
    <row r="54">
      <c r="A54" s="4"/>
      <c r="B54" s="4"/>
      <c r="C54" s="8"/>
      <c r="D54" s="5"/>
      <c r="E54" s="6"/>
      <c r="F54" s="6"/>
      <c r="G54" s="6"/>
      <c r="H54" s="4"/>
      <c r="I54" s="4"/>
      <c r="J54" s="4"/>
      <c r="K54" s="4"/>
      <c r="L54" s="7"/>
      <c r="M54" s="7"/>
      <c r="N54" s="7"/>
      <c r="O54" s="4"/>
      <c r="P54" s="4"/>
      <c r="Q54" s="4"/>
      <c r="R54" s="7"/>
      <c r="S54" s="7"/>
      <c r="T54" s="7"/>
      <c r="U54" s="4"/>
      <c r="V54" s="7"/>
      <c r="W54" s="4"/>
      <c r="X54" s="7"/>
      <c r="Y54" s="7"/>
    </row>
    <row r="55">
      <c r="A55" s="4"/>
      <c r="B55" s="4"/>
      <c r="C55" s="8"/>
      <c r="D55" s="5"/>
      <c r="E55" s="6"/>
      <c r="F55" s="6"/>
      <c r="G55" s="6"/>
      <c r="H55" s="4"/>
      <c r="I55" s="4"/>
      <c r="J55" s="4"/>
      <c r="K55" s="4"/>
      <c r="L55" s="7"/>
      <c r="M55" s="7"/>
      <c r="N55" s="7"/>
      <c r="O55" s="4"/>
      <c r="P55" s="4"/>
      <c r="Q55" s="4"/>
      <c r="R55" s="7"/>
      <c r="S55" s="7"/>
      <c r="T55" s="7"/>
      <c r="U55" s="4"/>
      <c r="V55" s="7"/>
      <c r="W55" s="4"/>
      <c r="X55" s="7"/>
      <c r="Y55" s="7"/>
    </row>
    <row r="56">
      <c r="A56" s="4"/>
      <c r="B56" s="4"/>
      <c r="C56" s="8"/>
      <c r="D56" s="5"/>
      <c r="E56" s="6"/>
      <c r="F56" s="6"/>
      <c r="G56" s="6"/>
      <c r="H56" s="4"/>
      <c r="I56" s="4"/>
      <c r="J56" s="4"/>
      <c r="K56" s="4"/>
      <c r="L56" s="7"/>
      <c r="M56" s="7"/>
      <c r="N56" s="7"/>
      <c r="O56" s="7"/>
      <c r="P56" s="4"/>
      <c r="Q56" s="4"/>
      <c r="R56" s="7"/>
      <c r="S56" s="7"/>
      <c r="T56" s="7"/>
      <c r="U56" s="7"/>
      <c r="V56" s="7"/>
      <c r="W56" s="7"/>
      <c r="X56" s="7"/>
      <c r="Y56" s="7"/>
    </row>
    <row r="57">
      <c r="A57" s="4"/>
      <c r="B57" s="4"/>
      <c r="C57" s="8"/>
      <c r="D57" s="5"/>
      <c r="E57" s="6"/>
      <c r="F57" s="6"/>
      <c r="G57" s="6"/>
      <c r="H57" s="4"/>
      <c r="I57" s="4"/>
      <c r="J57" s="4"/>
      <c r="K57" s="4"/>
      <c r="L57" s="7"/>
      <c r="M57" s="7"/>
      <c r="N57" s="7"/>
      <c r="O57" s="7"/>
      <c r="P57" s="4"/>
      <c r="Q57" s="4"/>
      <c r="R57" s="7"/>
      <c r="S57" s="7"/>
      <c r="T57" s="7"/>
      <c r="U57" s="7"/>
      <c r="V57" s="7"/>
      <c r="W57" s="7"/>
      <c r="X57" s="7"/>
      <c r="Y57" s="7"/>
    </row>
    <row r="58">
      <c r="A58" s="4"/>
      <c r="B58" s="4"/>
      <c r="C58" s="8"/>
      <c r="D58" s="5"/>
      <c r="E58" s="6"/>
      <c r="F58" s="6"/>
      <c r="G58" s="6"/>
      <c r="H58" s="4"/>
      <c r="I58" s="4"/>
      <c r="J58" s="4"/>
      <c r="K58" s="4"/>
      <c r="L58" s="4"/>
      <c r="M58" s="7"/>
      <c r="N58" s="7"/>
      <c r="O58" s="4"/>
      <c r="P58" s="4"/>
      <c r="Q58" s="7"/>
      <c r="R58" s="7"/>
      <c r="S58" s="7"/>
      <c r="T58" s="7"/>
      <c r="U58" s="7"/>
      <c r="V58" s="7"/>
      <c r="W58" s="7"/>
      <c r="X58" s="7"/>
      <c r="Y58" s="7"/>
    </row>
    <row r="59">
      <c r="A59" s="4"/>
      <c r="B59" s="4"/>
      <c r="C59" s="8"/>
      <c r="D59" s="5"/>
      <c r="E59" s="6"/>
      <c r="F59" s="6"/>
      <c r="G59" s="6"/>
      <c r="H59" s="4"/>
      <c r="I59" s="4"/>
      <c r="J59" s="4"/>
      <c r="K59" s="4"/>
      <c r="L59" s="4"/>
      <c r="M59" s="7"/>
      <c r="N59" s="7"/>
      <c r="O59" s="7"/>
      <c r="P59" s="7"/>
      <c r="Q59" s="4"/>
      <c r="R59" s="7"/>
      <c r="S59" s="7"/>
      <c r="T59" s="7"/>
      <c r="U59" s="7"/>
      <c r="V59" s="7"/>
      <c r="W59" s="4"/>
      <c r="X59" s="7"/>
      <c r="Y59" s="7"/>
    </row>
    <row r="60">
      <c r="A60" s="4"/>
      <c r="B60" s="4"/>
      <c r="C60" s="8"/>
      <c r="D60" s="5"/>
      <c r="E60" s="6"/>
      <c r="F60" s="6"/>
      <c r="G60" s="6"/>
      <c r="H60" s="4"/>
      <c r="I60" s="4"/>
      <c r="J60" s="4"/>
      <c r="K60" s="4"/>
      <c r="L60" s="4"/>
      <c r="M60" s="7"/>
      <c r="N60" s="7"/>
      <c r="O60" s="4"/>
      <c r="P60" s="4"/>
      <c r="Q60" s="4"/>
      <c r="R60" s="7"/>
      <c r="S60" s="7"/>
      <c r="T60" s="7"/>
      <c r="U60" s="7"/>
      <c r="V60" s="7"/>
      <c r="W60" s="7"/>
      <c r="X60" s="7"/>
      <c r="Y60" s="7"/>
    </row>
    <row r="61">
      <c r="A61" s="4"/>
      <c r="B61" s="4"/>
      <c r="C61" s="8"/>
      <c r="D61" s="5"/>
      <c r="E61" s="6"/>
      <c r="F61" s="6"/>
      <c r="G61" s="6"/>
      <c r="H61" s="4"/>
      <c r="I61" s="4"/>
      <c r="J61" s="4"/>
      <c r="K61" s="4"/>
      <c r="L61" s="4"/>
      <c r="M61" s="7"/>
      <c r="N61" s="7"/>
      <c r="O61" s="7"/>
      <c r="P61" s="4"/>
      <c r="Q61" s="4"/>
      <c r="R61" s="7"/>
      <c r="S61" s="7"/>
      <c r="T61" s="7"/>
      <c r="U61" s="7"/>
      <c r="V61" s="7"/>
      <c r="W61" s="4"/>
      <c r="X61" s="7"/>
      <c r="Y61" s="7"/>
    </row>
    <row r="62">
      <c r="A62" s="4"/>
      <c r="B62" s="4"/>
      <c r="C62" s="8"/>
      <c r="D62" s="5"/>
      <c r="E62" s="6"/>
      <c r="F62" s="6"/>
      <c r="G62" s="6"/>
      <c r="H62" s="4"/>
      <c r="I62" s="4"/>
      <c r="J62" s="4"/>
      <c r="K62" s="4"/>
      <c r="L62" s="7"/>
      <c r="M62" s="7"/>
      <c r="N62" s="7"/>
      <c r="O62" s="4"/>
      <c r="P62" s="7"/>
      <c r="Q62" s="7"/>
      <c r="R62" s="7"/>
      <c r="S62" s="4"/>
      <c r="T62" s="7"/>
      <c r="U62" s="7"/>
      <c r="V62" s="7"/>
      <c r="W62" s="7"/>
      <c r="X62" s="7"/>
      <c r="Y62" s="7"/>
    </row>
    <row r="63">
      <c r="A63" s="4"/>
      <c r="B63" s="4"/>
      <c r="C63" s="8"/>
      <c r="D63" s="5"/>
      <c r="E63" s="6"/>
      <c r="F63" s="6"/>
      <c r="G63" s="6"/>
      <c r="H63" s="4"/>
      <c r="I63" s="4"/>
      <c r="J63" s="4"/>
      <c r="K63" s="4"/>
      <c r="L63" s="4"/>
      <c r="M63" s="7"/>
      <c r="N63" s="7"/>
      <c r="O63" s="7"/>
      <c r="P63" s="7"/>
      <c r="Q63" s="7"/>
      <c r="R63" s="7"/>
      <c r="S63" s="7"/>
      <c r="T63" s="7"/>
      <c r="U63" s="7"/>
      <c r="V63" s="7"/>
      <c r="W63" s="4"/>
      <c r="X63" s="7"/>
      <c r="Y63" s="7"/>
    </row>
    <row r="64">
      <c r="A64" s="4"/>
      <c r="B64" s="4"/>
      <c r="C64" s="8"/>
      <c r="D64" s="5"/>
      <c r="E64" s="6"/>
      <c r="F64" s="6"/>
      <c r="G64" s="6"/>
      <c r="H64" s="4"/>
      <c r="I64" s="4"/>
      <c r="J64" s="4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4"/>
      <c r="B65" s="4"/>
      <c r="C65" s="8"/>
      <c r="D65" s="5"/>
      <c r="E65" s="6"/>
      <c r="F65" s="6"/>
      <c r="G65" s="6"/>
      <c r="H65" s="4"/>
      <c r="I65" s="4"/>
      <c r="J65" s="4"/>
      <c r="K65" s="4"/>
      <c r="L65" s="4"/>
      <c r="M65" s="7"/>
      <c r="N65" s="7"/>
      <c r="O65" s="7"/>
      <c r="P65" s="4"/>
      <c r="Q65" s="4"/>
      <c r="R65" s="7"/>
      <c r="S65" s="7"/>
      <c r="T65" s="7"/>
      <c r="U65" s="7"/>
      <c r="V65" s="7"/>
      <c r="W65" s="7"/>
      <c r="X65" s="7"/>
      <c r="Y65" s="7"/>
    </row>
    <row r="66">
      <c r="A66" s="4"/>
      <c r="B66" s="4"/>
      <c r="C66" s="8"/>
      <c r="D66" s="5"/>
      <c r="E66" s="6"/>
      <c r="F66" s="6"/>
      <c r="G66" s="6"/>
      <c r="H66" s="4"/>
      <c r="I66" s="4"/>
      <c r="J66" s="4"/>
      <c r="K66" s="4"/>
      <c r="L66" s="7"/>
      <c r="M66" s="7"/>
      <c r="N66" s="7"/>
      <c r="O66" s="7"/>
      <c r="P66" s="4"/>
      <c r="Q66" s="7"/>
      <c r="R66" s="7"/>
      <c r="S66" s="7"/>
      <c r="T66" s="7"/>
      <c r="U66" s="7"/>
      <c r="V66" s="7"/>
      <c r="W66" s="7"/>
      <c r="X66" s="7"/>
      <c r="Y66" s="7"/>
    </row>
    <row r="67">
      <c r="A67" s="4"/>
      <c r="B67" s="4"/>
      <c r="C67" s="8"/>
      <c r="D67" s="5"/>
      <c r="E67" s="6"/>
      <c r="F67" s="6"/>
      <c r="G67" s="6"/>
      <c r="H67" s="4"/>
      <c r="I67" s="4"/>
      <c r="J67" s="4"/>
      <c r="K67" s="4"/>
      <c r="L67" s="7"/>
      <c r="M67" s="7"/>
      <c r="N67" s="7"/>
      <c r="O67" s="4"/>
      <c r="P67" s="7"/>
      <c r="Q67" s="7"/>
      <c r="R67" s="7"/>
      <c r="S67" s="7"/>
      <c r="T67" s="4"/>
      <c r="U67" s="7"/>
      <c r="V67" s="7"/>
      <c r="W67" s="4"/>
      <c r="X67" s="7"/>
      <c r="Y67" s="7"/>
    </row>
    <row r="68">
      <c r="A68" s="4"/>
      <c r="B68" s="4"/>
      <c r="C68" s="8"/>
      <c r="D68" s="5"/>
      <c r="E68" s="6"/>
      <c r="F68" s="6"/>
      <c r="G68" s="6"/>
      <c r="H68" s="4"/>
      <c r="I68" s="4"/>
      <c r="J68" s="4"/>
      <c r="K68" s="4"/>
      <c r="L68" s="7"/>
      <c r="M68" s="7"/>
      <c r="N68" s="7"/>
      <c r="O68" s="4"/>
      <c r="P68" s="4"/>
      <c r="Q68" s="4"/>
      <c r="R68" s="7"/>
      <c r="S68" s="7"/>
      <c r="T68" s="7"/>
      <c r="U68" s="4"/>
      <c r="V68" s="7"/>
      <c r="W68" s="7"/>
      <c r="X68" s="7"/>
      <c r="Y68" s="7"/>
    </row>
    <row r="69">
      <c r="A69" s="4"/>
      <c r="B69" s="4"/>
      <c r="C69" s="8"/>
      <c r="D69" s="5"/>
      <c r="E69" s="6"/>
      <c r="F69" s="6"/>
      <c r="G69" s="6"/>
      <c r="H69" s="4"/>
      <c r="I69" s="4"/>
      <c r="J69" s="4"/>
      <c r="K69" s="4"/>
      <c r="L69" s="7"/>
      <c r="M69" s="7"/>
      <c r="N69" s="7"/>
      <c r="O69" s="4"/>
      <c r="P69" s="4"/>
      <c r="Q69" s="4"/>
      <c r="R69" s="7"/>
      <c r="S69" s="7"/>
      <c r="T69" s="7"/>
      <c r="U69" s="4"/>
      <c r="V69" s="7"/>
      <c r="W69" s="7"/>
      <c r="X69" s="7"/>
      <c r="Y69" s="7"/>
    </row>
    <row r="70">
      <c r="A70" s="4"/>
      <c r="B70" s="4"/>
      <c r="C70" s="8"/>
      <c r="D70" s="5"/>
      <c r="E70" s="6"/>
      <c r="F70" s="6"/>
      <c r="G70" s="6"/>
      <c r="H70" s="4"/>
      <c r="I70" s="4"/>
      <c r="J70" s="4"/>
      <c r="K70" s="4"/>
      <c r="L70" s="7"/>
      <c r="M70" s="7"/>
      <c r="N70" s="7"/>
      <c r="O70" s="4"/>
      <c r="P70" s="7"/>
      <c r="Q70" s="7"/>
      <c r="R70" s="7"/>
      <c r="S70" s="7"/>
      <c r="T70" s="4"/>
      <c r="U70" s="7"/>
      <c r="V70" s="7"/>
      <c r="W70" s="7"/>
      <c r="X70" s="7"/>
      <c r="Y70" s="7"/>
    </row>
    <row r="71">
      <c r="A71" s="4"/>
      <c r="B71" s="4"/>
      <c r="C71" s="8"/>
      <c r="D71" s="5"/>
      <c r="E71" s="6"/>
      <c r="F71" s="6"/>
      <c r="G71" s="6"/>
      <c r="H71" s="4"/>
      <c r="I71" s="4"/>
      <c r="J71" s="4"/>
      <c r="K71" s="4"/>
      <c r="L71" s="7"/>
      <c r="M71" s="7"/>
      <c r="N71" s="7"/>
      <c r="O71" s="7"/>
      <c r="P71" s="7"/>
      <c r="Q71" s="7"/>
      <c r="R71" s="7"/>
      <c r="S71" s="7"/>
      <c r="T71" s="4"/>
      <c r="U71" s="7"/>
      <c r="V71" s="7"/>
      <c r="W71" s="4"/>
      <c r="X71" s="7"/>
      <c r="Y71" s="7"/>
    </row>
    <row r="72">
      <c r="A72" s="4"/>
      <c r="B72" s="4"/>
      <c r="C72" s="8"/>
      <c r="D72" s="5"/>
      <c r="E72" s="6"/>
      <c r="F72" s="6"/>
      <c r="G72" s="6"/>
      <c r="H72" s="4"/>
      <c r="I72" s="4"/>
      <c r="J72" s="4"/>
      <c r="K72" s="4"/>
      <c r="L72" s="7"/>
      <c r="M72" s="7"/>
      <c r="N72" s="7"/>
      <c r="O72" s="7"/>
      <c r="P72" s="7"/>
      <c r="Q72" s="4"/>
      <c r="R72" s="7"/>
      <c r="S72" s="7"/>
      <c r="T72" s="7"/>
      <c r="U72" s="7"/>
      <c r="V72" s="7"/>
      <c r="W72" s="7"/>
      <c r="X72" s="7"/>
      <c r="Y72" s="7"/>
    </row>
    <row r="73">
      <c r="A73" s="4"/>
      <c r="B73" s="4"/>
      <c r="C73" s="8"/>
      <c r="D73" s="5"/>
      <c r="E73" s="6"/>
      <c r="F73" s="6"/>
      <c r="G73" s="6"/>
      <c r="H73" s="4"/>
      <c r="I73" s="4"/>
      <c r="J73" s="4"/>
      <c r="K73" s="4"/>
      <c r="L73" s="4"/>
      <c r="M73" s="7"/>
      <c r="N73" s="7"/>
      <c r="O73" s="7"/>
      <c r="P73" s="4"/>
      <c r="Q73" s="4"/>
      <c r="R73" s="7"/>
      <c r="S73" s="7"/>
      <c r="T73" s="7"/>
      <c r="U73" s="7"/>
      <c r="V73" s="7"/>
      <c r="W73" s="7"/>
      <c r="X73" s="7"/>
      <c r="Y73" s="7"/>
    </row>
    <row r="74">
      <c r="A74" s="4"/>
      <c r="B74" s="4"/>
      <c r="C74" s="8"/>
      <c r="D74" s="5"/>
      <c r="E74" s="6"/>
      <c r="F74" s="6"/>
      <c r="G74" s="6"/>
      <c r="H74" s="4"/>
      <c r="I74" s="4"/>
      <c r="J74" s="4"/>
      <c r="K74" s="4"/>
      <c r="L74" s="7"/>
      <c r="M74" s="7"/>
      <c r="N74" s="7"/>
      <c r="O74" s="4"/>
      <c r="P74" s="7"/>
      <c r="Q74" s="7"/>
      <c r="R74" s="7"/>
      <c r="S74" s="7"/>
      <c r="T74" s="4"/>
      <c r="U74" s="7"/>
      <c r="V74" s="7"/>
      <c r="W74" s="7"/>
      <c r="X74" s="7"/>
      <c r="Y74" s="7"/>
    </row>
    <row r="75">
      <c r="A75" s="4"/>
      <c r="B75" s="4"/>
      <c r="C75" s="8"/>
      <c r="D75" s="5"/>
      <c r="E75" s="6"/>
      <c r="F75" s="6"/>
      <c r="G75" s="6"/>
      <c r="H75" s="4"/>
      <c r="I75" s="4"/>
      <c r="J75" s="4"/>
      <c r="K75" s="4"/>
      <c r="L75" s="7"/>
      <c r="M75" s="7"/>
      <c r="N75" s="7"/>
      <c r="O75" s="7"/>
      <c r="P75" s="4"/>
      <c r="Q75" s="4"/>
      <c r="R75" s="4"/>
      <c r="S75" s="7"/>
      <c r="T75" s="4"/>
      <c r="U75" s="4"/>
      <c r="V75" s="7"/>
      <c r="W75" s="4"/>
      <c r="X75" s="4"/>
      <c r="Y75" s="4"/>
    </row>
    <row r="76">
      <c r="A76" s="4"/>
      <c r="B76" s="4"/>
      <c r="C76" s="8"/>
      <c r="D76" s="5"/>
      <c r="E76" s="6"/>
      <c r="F76" s="6"/>
      <c r="G76" s="6"/>
      <c r="H76" s="4"/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4"/>
      <c r="B77" s="4"/>
      <c r="C77" s="8"/>
      <c r="D77" s="5"/>
      <c r="E77" s="6"/>
      <c r="F77" s="6"/>
      <c r="G77" s="6"/>
      <c r="H77" s="4"/>
      <c r="I77" s="4"/>
      <c r="J77" s="4"/>
      <c r="K77" s="4"/>
      <c r="L77" s="7"/>
      <c r="M77" s="4"/>
      <c r="N77" s="7"/>
      <c r="O77" s="7"/>
      <c r="P77" s="7"/>
      <c r="Q77" s="4"/>
      <c r="R77" s="7"/>
      <c r="S77" s="7"/>
      <c r="T77" s="7"/>
      <c r="U77" s="7"/>
      <c r="V77" s="7"/>
      <c r="W77" s="7"/>
      <c r="X77" s="7"/>
      <c r="Y77" s="7"/>
    </row>
    <row r="78">
      <c r="A78" s="4"/>
      <c r="B78" s="4"/>
      <c r="C78" s="8"/>
      <c r="D78" s="5"/>
      <c r="E78" s="6"/>
      <c r="F78" s="6"/>
      <c r="G78" s="6"/>
      <c r="H78" s="4"/>
      <c r="I78" s="4"/>
      <c r="J78" s="4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"/>
      <c r="X78" s="7"/>
      <c r="Y78" s="7"/>
    </row>
    <row r="79">
      <c r="A79" s="4"/>
      <c r="B79" s="4"/>
      <c r="C79" s="8"/>
      <c r="D79" s="5"/>
      <c r="E79" s="6"/>
      <c r="F79" s="6"/>
      <c r="G79" s="6"/>
      <c r="H79" s="4"/>
      <c r="I79" s="4"/>
      <c r="J79" s="4"/>
      <c r="K79" s="4"/>
      <c r="L79" s="7"/>
      <c r="M79" s="7"/>
      <c r="N79" s="7"/>
      <c r="O79" s="4"/>
      <c r="P79" s="7"/>
      <c r="Q79" s="4"/>
      <c r="R79" s="4"/>
      <c r="S79" s="7"/>
      <c r="T79" s="7"/>
      <c r="U79" s="4"/>
      <c r="V79" s="7"/>
      <c r="W79" s="7"/>
      <c r="X79" s="7"/>
      <c r="Y79" s="7"/>
    </row>
    <row r="80">
      <c r="A80" s="4"/>
      <c r="B80" s="4"/>
      <c r="C80" s="8"/>
      <c r="D80" s="5"/>
      <c r="E80" s="6"/>
      <c r="F80" s="6"/>
      <c r="G80" s="6"/>
      <c r="H80" s="4"/>
      <c r="I80" s="4"/>
      <c r="J80" s="4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4"/>
      <c r="B81" s="4"/>
      <c r="C81" s="8"/>
      <c r="D81" s="5"/>
      <c r="E81" s="6"/>
      <c r="F81" s="6"/>
      <c r="G81" s="6"/>
      <c r="H81" s="4"/>
      <c r="I81" s="4"/>
      <c r="J81" s="4"/>
      <c r="K81" s="4"/>
      <c r="L81" s="7"/>
      <c r="M81" s="7"/>
      <c r="N81" s="7"/>
      <c r="O81" s="7"/>
      <c r="P81" s="4"/>
      <c r="Q81" s="4"/>
      <c r="R81" s="7"/>
      <c r="S81" s="7"/>
      <c r="T81" s="7"/>
      <c r="U81" s="7"/>
      <c r="V81" s="7"/>
      <c r="W81" s="4"/>
      <c r="X81" s="7"/>
      <c r="Y81" s="7"/>
    </row>
    <row r="82">
      <c r="A82" s="4"/>
      <c r="B82" s="4"/>
      <c r="C82" s="8"/>
      <c r="D82" s="5"/>
      <c r="E82" s="6"/>
      <c r="F82" s="6"/>
      <c r="G82" s="6"/>
      <c r="H82" s="4"/>
      <c r="I82" s="4"/>
      <c r="J82" s="4"/>
      <c r="K82" s="4"/>
      <c r="L82" s="7"/>
      <c r="M82" s="7"/>
      <c r="N82" s="7"/>
      <c r="O82" s="7"/>
      <c r="P82" s="4"/>
      <c r="Q82" s="4"/>
      <c r="R82" s="4"/>
      <c r="S82" s="7"/>
      <c r="T82" s="7"/>
      <c r="U82" s="7"/>
      <c r="V82" s="7"/>
      <c r="W82" s="7"/>
      <c r="X82" s="7"/>
      <c r="Y82" s="7"/>
    </row>
    <row r="83">
      <c r="A83" s="4"/>
      <c r="B83" s="4"/>
      <c r="C83" s="8"/>
      <c r="D83" s="5"/>
      <c r="E83" s="6"/>
      <c r="F83" s="6"/>
      <c r="G83" s="6"/>
      <c r="H83" s="4"/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4"/>
      <c r="B84" s="4"/>
      <c r="C84" s="8"/>
      <c r="D84" s="5"/>
      <c r="E84" s="6"/>
      <c r="F84" s="6"/>
      <c r="G84" s="6"/>
      <c r="H84" s="4"/>
      <c r="I84" s="4"/>
      <c r="J84" s="4"/>
      <c r="K84" s="4"/>
      <c r="L84" s="7"/>
      <c r="M84" s="7"/>
      <c r="N84" s="7"/>
      <c r="O84" s="7"/>
      <c r="P84" s="4"/>
      <c r="Q84" s="4"/>
      <c r="R84" s="7"/>
      <c r="S84" s="7"/>
      <c r="T84" s="7"/>
      <c r="U84" s="7"/>
      <c r="V84" s="7"/>
      <c r="W84" s="7"/>
      <c r="X84" s="7"/>
      <c r="Y84" s="7"/>
    </row>
    <row r="85">
      <c r="A85" s="4"/>
      <c r="B85" s="4"/>
      <c r="C85" s="8"/>
      <c r="D85" s="5"/>
      <c r="E85" s="6"/>
      <c r="F85" s="6"/>
      <c r="G85" s="6"/>
      <c r="H85" s="4"/>
      <c r="I85" s="4"/>
      <c r="J85" s="4"/>
      <c r="K85" s="4"/>
      <c r="L85" s="7"/>
      <c r="M85" s="7"/>
      <c r="N85" s="7"/>
      <c r="O85" s="7"/>
      <c r="P85" s="7"/>
      <c r="Q85" s="4"/>
      <c r="R85" s="7"/>
      <c r="S85" s="7"/>
      <c r="T85" s="7"/>
      <c r="U85" s="7"/>
      <c r="V85" s="7"/>
      <c r="W85" s="7"/>
      <c r="X85" s="7"/>
      <c r="Y85" s="7"/>
    </row>
    <row r="86">
      <c r="A86" s="4"/>
      <c r="B86" s="4"/>
      <c r="C86" s="8"/>
      <c r="D86" s="5"/>
      <c r="E86" s="6"/>
      <c r="F86" s="6"/>
      <c r="G86" s="6"/>
      <c r="H86" s="4"/>
      <c r="I86" s="4"/>
      <c r="J86" s="4"/>
      <c r="K86" s="4"/>
      <c r="L86" s="7"/>
      <c r="M86" s="7"/>
      <c r="N86" s="7"/>
      <c r="O86" s="7"/>
      <c r="P86" s="7"/>
      <c r="Q86" s="7"/>
      <c r="R86" s="7"/>
      <c r="S86" s="7"/>
      <c r="T86" s="7"/>
      <c r="U86" s="4"/>
      <c r="V86" s="7"/>
      <c r="W86" s="7"/>
      <c r="X86" s="7"/>
      <c r="Y86" s="7"/>
    </row>
    <row r="87">
      <c r="A87" s="4"/>
      <c r="B87" s="4"/>
      <c r="C87" s="8"/>
      <c r="D87" s="5"/>
      <c r="E87" s="6"/>
      <c r="F87" s="6"/>
      <c r="G87" s="6"/>
      <c r="H87" s="4"/>
      <c r="I87" s="4"/>
      <c r="J87" s="4"/>
      <c r="K87" s="4"/>
      <c r="L87" s="7"/>
      <c r="M87" s="7"/>
      <c r="N87" s="7"/>
      <c r="O87" s="7"/>
      <c r="P87" s="7"/>
      <c r="Q87" s="7"/>
      <c r="R87" s="7"/>
      <c r="S87" s="7"/>
      <c r="T87" s="7"/>
      <c r="U87" s="4"/>
      <c r="V87" s="7"/>
      <c r="W87" s="7"/>
      <c r="X87" s="7"/>
      <c r="Y87" s="7"/>
    </row>
    <row r="88">
      <c r="A88" s="4"/>
      <c r="B88" s="4"/>
      <c r="C88" s="8"/>
      <c r="D88" s="5"/>
      <c r="E88" s="6"/>
      <c r="F88" s="6"/>
      <c r="G88" s="6"/>
      <c r="H88" s="4"/>
      <c r="I88" s="4"/>
      <c r="J88" s="4"/>
      <c r="K88" s="4"/>
      <c r="L88" s="4"/>
      <c r="M88" s="7"/>
      <c r="N88" s="7"/>
      <c r="O88" s="7"/>
      <c r="P88" s="7"/>
      <c r="Q88" s="7"/>
      <c r="R88" s="7"/>
      <c r="S88" s="7"/>
      <c r="T88" s="7"/>
      <c r="U88" s="7"/>
      <c r="V88" s="7"/>
      <c r="W88" s="4"/>
      <c r="X88" s="7"/>
      <c r="Y88" s="7"/>
    </row>
    <row r="89">
      <c r="A89" s="4"/>
      <c r="B89" s="4"/>
      <c r="C89" s="8"/>
      <c r="D89" s="5"/>
      <c r="E89" s="6"/>
      <c r="F89" s="6"/>
      <c r="G89" s="6"/>
      <c r="H89" s="4"/>
      <c r="I89" s="4"/>
      <c r="J89" s="4"/>
      <c r="K89" s="4"/>
      <c r="L89" s="7"/>
      <c r="M89" s="7"/>
      <c r="N89" s="7"/>
      <c r="O89" s="7"/>
      <c r="P89" s="7"/>
      <c r="Q89" s="4"/>
      <c r="R89" s="7"/>
      <c r="S89" s="7"/>
      <c r="T89" s="7"/>
      <c r="U89" s="7"/>
      <c r="V89" s="7"/>
      <c r="W89" s="7"/>
      <c r="X89" s="7"/>
      <c r="Y89" s="7"/>
    </row>
    <row r="90">
      <c r="A90" s="4"/>
      <c r="B90" s="4"/>
      <c r="C90" s="8"/>
      <c r="D90" s="5"/>
      <c r="E90" s="6"/>
      <c r="F90" s="6"/>
      <c r="G90" s="6"/>
      <c r="H90" s="4"/>
      <c r="I90" s="4"/>
      <c r="J90" s="4"/>
      <c r="K90" s="4"/>
      <c r="L90" s="7"/>
      <c r="M90" s="7"/>
      <c r="N90" s="7"/>
      <c r="O90" s="7"/>
      <c r="P90" s="4"/>
      <c r="Q90" s="7"/>
      <c r="R90" s="7"/>
      <c r="S90" s="7"/>
      <c r="T90" s="7"/>
      <c r="U90" s="7"/>
      <c r="V90" s="7"/>
      <c r="W90" s="7"/>
      <c r="X90" s="7"/>
      <c r="Y90" s="7"/>
    </row>
    <row r="91">
      <c r="A91" s="4"/>
      <c r="B91" s="4"/>
      <c r="C91" s="8"/>
      <c r="D91" s="5"/>
      <c r="E91" s="6"/>
      <c r="F91" s="6"/>
      <c r="G91" s="6"/>
      <c r="H91" s="4"/>
      <c r="I91" s="4"/>
      <c r="J91" s="4"/>
      <c r="K91" s="4"/>
      <c r="L91" s="7"/>
      <c r="M91" s="7"/>
      <c r="N91" s="7"/>
      <c r="O91" s="7"/>
      <c r="P91" s="7"/>
      <c r="Q91" s="4"/>
      <c r="R91" s="4"/>
      <c r="S91" s="7"/>
      <c r="T91" s="7"/>
      <c r="U91" s="7"/>
      <c r="V91" s="7"/>
      <c r="W91" s="7"/>
      <c r="X91" s="7"/>
      <c r="Y91" s="7"/>
    </row>
    <row r="92">
      <c r="A92" s="4"/>
      <c r="B92" s="4"/>
      <c r="C92" s="8"/>
      <c r="D92" s="5"/>
      <c r="E92" s="6"/>
      <c r="F92" s="6"/>
      <c r="G92" s="6"/>
      <c r="H92" s="4"/>
      <c r="I92" s="4"/>
      <c r="J92" s="4"/>
      <c r="K92" s="4"/>
      <c r="L92" s="7"/>
      <c r="M92" s="7"/>
      <c r="N92" s="7"/>
      <c r="O92" s="7"/>
      <c r="P92" s="7"/>
      <c r="Q92" s="4"/>
      <c r="R92" s="7"/>
      <c r="S92" s="7"/>
      <c r="T92" s="7"/>
      <c r="U92" s="7"/>
      <c r="V92" s="7"/>
      <c r="W92" s="7"/>
      <c r="X92" s="7"/>
      <c r="Y92" s="7"/>
    </row>
    <row r="93">
      <c r="A93" s="4"/>
      <c r="B93" s="4"/>
      <c r="C93" s="8"/>
      <c r="D93" s="5"/>
      <c r="E93" s="6"/>
      <c r="F93" s="6"/>
      <c r="G93" s="6"/>
      <c r="H93" s="4"/>
      <c r="I93" s="4"/>
      <c r="J93" s="4"/>
      <c r="K93" s="4"/>
      <c r="L93" s="7"/>
      <c r="M93" s="7"/>
      <c r="N93" s="7"/>
      <c r="O93" s="4"/>
      <c r="P93" s="7"/>
      <c r="Q93" s="4"/>
      <c r="R93" s="7"/>
      <c r="S93" s="7"/>
      <c r="T93" s="7"/>
      <c r="U93" s="7"/>
      <c r="V93" s="7"/>
      <c r="W93" s="7"/>
      <c r="X93" s="7"/>
      <c r="Y93" s="7"/>
    </row>
    <row r="94">
      <c r="A94" s="4"/>
      <c r="B94" s="4"/>
      <c r="C94" s="8"/>
      <c r="D94" s="5"/>
      <c r="E94" s="6"/>
      <c r="F94" s="6"/>
      <c r="G94" s="6"/>
      <c r="H94" s="4"/>
      <c r="I94" s="4"/>
      <c r="J94" s="4"/>
      <c r="K94" s="4"/>
      <c r="L94" s="7"/>
      <c r="M94" s="7"/>
      <c r="N94" s="7"/>
      <c r="O94" s="4"/>
      <c r="P94" s="4"/>
      <c r="Q94" s="4"/>
      <c r="R94" s="7"/>
      <c r="S94" s="7"/>
      <c r="T94" s="4"/>
      <c r="U94" s="4"/>
      <c r="V94" s="7"/>
      <c r="W94" s="4"/>
      <c r="X94" s="7"/>
      <c r="Y94" s="7"/>
    </row>
    <row r="95">
      <c r="A95" s="4"/>
      <c r="B95" s="4"/>
      <c r="C95" s="8"/>
      <c r="D95" s="5"/>
      <c r="E95" s="6"/>
      <c r="F95" s="6"/>
      <c r="G95" s="6"/>
      <c r="H95" s="4"/>
      <c r="I95" s="4"/>
      <c r="J95" s="4"/>
      <c r="K95" s="4"/>
      <c r="L95" s="7"/>
      <c r="M95" s="7"/>
      <c r="N95" s="4"/>
      <c r="O95" s="4"/>
      <c r="P95" s="7"/>
      <c r="Q95" s="4"/>
      <c r="R95" s="7"/>
      <c r="S95" s="7"/>
      <c r="T95" s="7"/>
      <c r="U95" s="7"/>
      <c r="V95" s="7"/>
      <c r="W95" s="7"/>
      <c r="X95" s="7"/>
      <c r="Y95" s="7"/>
    </row>
    <row r="96">
      <c r="A96" s="4"/>
      <c r="B96" s="4"/>
      <c r="C96" s="8"/>
      <c r="D96" s="5"/>
      <c r="E96" s="6"/>
      <c r="F96" s="6"/>
      <c r="G96" s="6"/>
      <c r="H96" s="4"/>
      <c r="I96" s="4"/>
      <c r="J96" s="4"/>
      <c r="K96" s="4"/>
      <c r="L96" s="7"/>
      <c r="M96" s="7"/>
      <c r="N96" s="7"/>
      <c r="O96" s="7"/>
      <c r="P96" s="7"/>
      <c r="Q96" s="4"/>
      <c r="R96" s="7"/>
      <c r="S96" s="7"/>
      <c r="T96" s="7"/>
      <c r="U96" s="7"/>
      <c r="V96" s="7"/>
      <c r="W96" s="7"/>
      <c r="X96" s="7"/>
      <c r="Y96" s="7"/>
    </row>
    <row r="97">
      <c r="A97" s="4"/>
      <c r="B97" s="4"/>
      <c r="C97" s="8"/>
      <c r="D97" s="5"/>
      <c r="E97" s="6"/>
      <c r="F97" s="6"/>
      <c r="G97" s="6"/>
      <c r="H97" s="4"/>
      <c r="I97" s="4"/>
      <c r="J97" s="4"/>
      <c r="K97" s="4"/>
      <c r="L97" s="4"/>
      <c r="M97" s="7"/>
      <c r="N97" s="7"/>
      <c r="O97" s="7"/>
      <c r="P97" s="7"/>
      <c r="Q97" s="4"/>
      <c r="R97" s="7"/>
      <c r="S97" s="7"/>
      <c r="T97" s="7"/>
      <c r="U97" s="7"/>
      <c r="V97" s="7"/>
      <c r="W97" s="4"/>
      <c r="X97" s="7"/>
      <c r="Y97" s="7"/>
    </row>
    <row r="98">
      <c r="A98" s="4"/>
      <c r="B98" s="4"/>
      <c r="C98" s="8"/>
      <c r="D98" s="5"/>
      <c r="E98" s="6"/>
      <c r="F98" s="6"/>
      <c r="G98" s="6"/>
      <c r="H98" s="4"/>
      <c r="I98" s="4"/>
      <c r="J98" s="4"/>
      <c r="K98" s="4"/>
      <c r="L98" s="7"/>
      <c r="M98" s="7"/>
      <c r="N98" s="7"/>
      <c r="O98" s="7"/>
      <c r="P98" s="7"/>
      <c r="Q98" s="4"/>
      <c r="R98" s="7"/>
      <c r="S98" s="7"/>
      <c r="T98" s="7"/>
      <c r="U98" s="7"/>
      <c r="V98" s="7"/>
      <c r="W98" s="7"/>
      <c r="X98" s="7"/>
      <c r="Y98" s="7"/>
    </row>
    <row r="99">
      <c r="A99" s="4"/>
      <c r="B99" s="4"/>
      <c r="C99" s="8"/>
      <c r="D99" s="5"/>
      <c r="E99" s="6"/>
      <c r="F99" s="6"/>
      <c r="G99" s="6"/>
      <c r="H99" s="4"/>
      <c r="I99" s="4"/>
      <c r="J99" s="4"/>
      <c r="K99" s="4"/>
      <c r="L99" s="4"/>
      <c r="M99" s="7"/>
      <c r="N99" s="7"/>
      <c r="O99" s="7"/>
      <c r="P99" s="7"/>
      <c r="Q99" s="4"/>
      <c r="R99" s="7"/>
      <c r="S99" s="7"/>
      <c r="T99" s="7"/>
      <c r="U99" s="7"/>
      <c r="V99" s="7"/>
      <c r="W99" s="7"/>
      <c r="X99" s="7"/>
      <c r="Y99" s="7"/>
    </row>
    <row r="100">
      <c r="A100" s="4"/>
      <c r="B100" s="4"/>
      <c r="C100" s="8"/>
      <c r="D100" s="5"/>
      <c r="E100" s="6"/>
      <c r="F100" s="6"/>
      <c r="G100" s="6"/>
      <c r="H100" s="4"/>
      <c r="I100" s="4"/>
      <c r="J100" s="4"/>
      <c r="K100" s="4"/>
      <c r="L100" s="4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4"/>
      <c r="B101" s="4"/>
      <c r="C101" s="8"/>
      <c r="D101" s="5"/>
      <c r="E101" s="6"/>
      <c r="F101" s="6"/>
      <c r="G101" s="6"/>
      <c r="H101" s="4"/>
      <c r="I101" s="4"/>
      <c r="J101" s="4"/>
      <c r="K101" s="4"/>
      <c r="L101" s="4"/>
      <c r="M101" s="7"/>
      <c r="N101" s="7"/>
      <c r="O101" s="7"/>
      <c r="P101" s="7"/>
      <c r="Q101" s="4"/>
      <c r="R101" s="7"/>
      <c r="S101" s="7"/>
      <c r="T101" s="7"/>
      <c r="U101" s="7"/>
      <c r="V101" s="7"/>
      <c r="W101" s="7"/>
      <c r="X101" s="7"/>
      <c r="Y101" s="7"/>
    </row>
    <row r="102">
      <c r="A102" s="4"/>
      <c r="B102" s="4"/>
      <c r="C102" s="8"/>
      <c r="D102" s="5"/>
      <c r="E102" s="6"/>
      <c r="F102" s="6"/>
      <c r="G102" s="6"/>
      <c r="H102" s="4"/>
      <c r="I102" s="4"/>
      <c r="J102" s="4"/>
      <c r="K102" s="4"/>
      <c r="L102" s="4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4"/>
      <c r="B103" s="4"/>
      <c r="C103" s="8"/>
      <c r="D103" s="5"/>
      <c r="E103" s="6"/>
      <c r="F103" s="6"/>
      <c r="G103" s="6"/>
      <c r="H103" s="4"/>
      <c r="I103" s="4"/>
      <c r="J103" s="4"/>
      <c r="K103" s="4"/>
      <c r="L103" s="7"/>
      <c r="M103" s="7"/>
      <c r="N103" s="7"/>
      <c r="O103" s="7"/>
      <c r="P103" s="7"/>
      <c r="Q103" s="4"/>
      <c r="R103" s="7"/>
      <c r="S103" s="7"/>
      <c r="T103" s="7"/>
      <c r="U103" s="4"/>
      <c r="V103" s="7"/>
      <c r="W103" s="7"/>
      <c r="X103" s="7"/>
      <c r="Y103" s="7"/>
    </row>
    <row r="104">
      <c r="A104" s="4"/>
      <c r="B104" s="4"/>
      <c r="C104" s="8"/>
      <c r="D104" s="5"/>
      <c r="E104" s="6"/>
      <c r="F104" s="6"/>
      <c r="G104" s="6"/>
      <c r="H104" s="4"/>
      <c r="I104" s="4"/>
      <c r="J104" s="4"/>
      <c r="K104" s="4"/>
      <c r="L104" s="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4"/>
      <c r="B105" s="4"/>
      <c r="C105" s="8"/>
      <c r="D105" s="5"/>
      <c r="E105" s="6"/>
      <c r="F105" s="6"/>
      <c r="G105" s="6"/>
      <c r="H105" s="4"/>
      <c r="I105" s="4"/>
      <c r="J105" s="4"/>
      <c r="K105" s="4"/>
      <c r="L105" s="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4"/>
      <c r="B106" s="4"/>
      <c r="C106" s="8"/>
      <c r="D106" s="5"/>
      <c r="E106" s="6"/>
      <c r="F106" s="6"/>
      <c r="G106" s="6"/>
      <c r="H106" s="4"/>
      <c r="I106" s="4"/>
      <c r="J106" s="4"/>
      <c r="K106" s="4"/>
      <c r="L106" s="4"/>
      <c r="M106" s="7"/>
      <c r="N106" s="7"/>
      <c r="O106" s="7"/>
      <c r="P106" s="7"/>
      <c r="Q106" s="4"/>
      <c r="R106" s="7"/>
      <c r="S106" s="7"/>
      <c r="T106" s="7"/>
      <c r="U106" s="7"/>
      <c r="V106" s="7"/>
      <c r="W106" s="4"/>
      <c r="X106" s="7"/>
      <c r="Y106" s="7"/>
    </row>
    <row r="107">
      <c r="A107" s="4"/>
      <c r="B107" s="4"/>
      <c r="C107" s="8"/>
      <c r="D107" s="5"/>
      <c r="E107" s="6"/>
      <c r="F107" s="6"/>
      <c r="G107" s="6"/>
      <c r="H107" s="4"/>
      <c r="I107" s="4"/>
      <c r="J107" s="4"/>
      <c r="K107" s="4"/>
      <c r="L107" s="7"/>
      <c r="M107" s="4"/>
      <c r="N107" s="7"/>
      <c r="O107" s="7"/>
      <c r="P107" s="7"/>
      <c r="Q107" s="4"/>
      <c r="R107" s="7"/>
      <c r="S107" s="7"/>
      <c r="T107" s="7"/>
      <c r="U107" s="7"/>
      <c r="V107" s="7"/>
      <c r="W107" s="4"/>
      <c r="X107" s="7"/>
      <c r="Y107" s="7"/>
    </row>
    <row r="108">
      <c r="A108" s="4"/>
      <c r="B108" s="4"/>
      <c r="C108" s="8"/>
      <c r="D108" s="5"/>
      <c r="E108" s="6"/>
      <c r="F108" s="6"/>
      <c r="G108" s="6"/>
      <c r="H108" s="4"/>
      <c r="I108" s="4"/>
      <c r="J108" s="4"/>
      <c r="K108" s="4"/>
      <c r="L108" s="7"/>
      <c r="M108" s="4"/>
      <c r="N108" s="7"/>
      <c r="O108" s="7"/>
      <c r="P108" s="7"/>
      <c r="Q108" s="4"/>
      <c r="R108" s="7"/>
      <c r="S108" s="7"/>
      <c r="T108" s="7"/>
      <c r="U108" s="7"/>
      <c r="V108" s="7"/>
      <c r="W108" s="4"/>
      <c r="X108" s="7"/>
      <c r="Y108" s="7"/>
    </row>
    <row r="109">
      <c r="A109" s="4"/>
      <c r="B109" s="4"/>
      <c r="C109" s="8"/>
      <c r="D109" s="5"/>
      <c r="E109" s="6"/>
      <c r="F109" s="6"/>
      <c r="G109" s="6"/>
      <c r="H109" s="4"/>
      <c r="I109" s="4"/>
      <c r="J109" s="4"/>
      <c r="K109" s="4"/>
      <c r="L109" s="7"/>
      <c r="M109" s="7"/>
      <c r="N109" s="4"/>
      <c r="O109" s="7"/>
      <c r="P109" s="7"/>
      <c r="Q109" s="4"/>
      <c r="R109" s="7"/>
      <c r="S109" s="7"/>
      <c r="T109" s="7"/>
      <c r="U109" s="7"/>
      <c r="V109" s="7"/>
      <c r="W109" s="7"/>
      <c r="X109" s="7"/>
      <c r="Y109" s="7"/>
    </row>
    <row r="110">
      <c r="A110" s="4"/>
      <c r="B110" s="4"/>
      <c r="C110" s="8"/>
      <c r="D110" s="5"/>
      <c r="E110" s="6"/>
      <c r="F110" s="6"/>
      <c r="G110" s="6"/>
      <c r="H110" s="4"/>
      <c r="I110" s="4"/>
      <c r="J110" s="4"/>
      <c r="K110" s="4"/>
      <c r="L110" s="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4"/>
      <c r="B111" s="4"/>
      <c r="C111" s="8"/>
      <c r="D111" s="5"/>
      <c r="E111" s="6"/>
      <c r="F111" s="6"/>
      <c r="G111" s="6"/>
      <c r="H111" s="4"/>
      <c r="I111" s="4"/>
      <c r="J111" s="4"/>
      <c r="K111" s="4"/>
      <c r="L111" s="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4"/>
      <c r="B112" s="4"/>
      <c r="C112" s="8"/>
      <c r="D112" s="5"/>
      <c r="E112" s="6"/>
      <c r="F112" s="6"/>
      <c r="G112" s="6"/>
      <c r="H112" s="4"/>
      <c r="I112" s="4"/>
      <c r="J112" s="4"/>
      <c r="K112" s="4"/>
      <c r="L112" s="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4"/>
      <c r="B113" s="4"/>
      <c r="C113" s="8"/>
      <c r="D113" s="5"/>
      <c r="E113" s="6"/>
      <c r="F113" s="6"/>
      <c r="G113" s="6"/>
      <c r="H113" s="4"/>
      <c r="I113" s="4"/>
      <c r="J113" s="4"/>
      <c r="K113" s="4"/>
      <c r="L113" s="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4"/>
      <c r="B114" s="4"/>
      <c r="C114" s="8"/>
      <c r="D114" s="5"/>
      <c r="E114" s="6"/>
      <c r="F114" s="6"/>
      <c r="G114" s="6"/>
      <c r="H114" s="4"/>
      <c r="I114" s="4"/>
      <c r="J114" s="4"/>
      <c r="K114" s="4"/>
      <c r="L114" s="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4"/>
      <c r="B115" s="4"/>
      <c r="C115" s="8"/>
      <c r="D115" s="5"/>
      <c r="E115" s="6"/>
      <c r="F115" s="6"/>
      <c r="G115" s="6"/>
      <c r="H115" s="4"/>
      <c r="I115" s="4"/>
      <c r="J115" s="4"/>
      <c r="K115" s="4"/>
      <c r="L115" s="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4"/>
      <c r="B116" s="4"/>
      <c r="C116" s="8"/>
      <c r="D116" s="5"/>
      <c r="E116" s="6"/>
      <c r="F116" s="6"/>
      <c r="G116" s="6"/>
      <c r="H116" s="4"/>
      <c r="I116" s="4"/>
      <c r="J116" s="4"/>
      <c r="K116" s="4"/>
      <c r="L116" s="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4"/>
      <c r="B117" s="4"/>
      <c r="C117" s="8"/>
      <c r="D117" s="5"/>
      <c r="E117" s="6"/>
      <c r="F117" s="6"/>
      <c r="G117" s="6"/>
      <c r="H117" s="4"/>
      <c r="I117" s="4"/>
      <c r="J117" s="4"/>
      <c r="K117" s="4"/>
      <c r="L117" s="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4"/>
      <c r="B118" s="4"/>
      <c r="C118" s="8"/>
      <c r="D118" s="5"/>
      <c r="E118" s="6"/>
      <c r="F118" s="6"/>
      <c r="G118" s="6"/>
      <c r="H118" s="4"/>
      <c r="I118" s="4"/>
      <c r="J118" s="4"/>
      <c r="K118" s="4"/>
      <c r="L118" s="4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4"/>
      <c r="B119" s="4"/>
      <c r="C119" s="8"/>
      <c r="D119" s="5"/>
      <c r="E119" s="6"/>
      <c r="F119" s="6"/>
      <c r="G119" s="6"/>
      <c r="H119" s="4"/>
      <c r="I119" s="4"/>
      <c r="J119" s="4"/>
      <c r="K119" s="4"/>
      <c r="L119" s="4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4"/>
      <c r="B120" s="4"/>
      <c r="C120" s="8"/>
      <c r="D120" s="5"/>
      <c r="E120" s="6"/>
      <c r="F120" s="6"/>
      <c r="G120" s="6"/>
      <c r="H120" s="4"/>
      <c r="I120" s="4"/>
      <c r="J120" s="4"/>
      <c r="K120" s="4"/>
      <c r="L120" s="4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4"/>
      <c r="B121" s="4"/>
      <c r="C121" s="8"/>
      <c r="D121" s="5"/>
      <c r="E121" s="6"/>
      <c r="F121" s="6"/>
      <c r="G121" s="6"/>
      <c r="H121" s="4"/>
      <c r="I121" s="4"/>
      <c r="J121" s="4"/>
      <c r="K121" s="4"/>
      <c r="L121" s="4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"/>
      <c r="X121" s="7"/>
      <c r="Y121" s="7"/>
    </row>
    <row r="122">
      <c r="A122" s="4"/>
      <c r="B122" s="4"/>
      <c r="C122" s="8"/>
      <c r="D122" s="5"/>
      <c r="E122" s="6"/>
      <c r="F122" s="6"/>
      <c r="G122" s="6"/>
      <c r="H122" s="4"/>
      <c r="I122" s="4"/>
      <c r="J122" s="4"/>
      <c r="K122" s="4"/>
      <c r="L122" s="4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4"/>
      <c r="B123" s="4"/>
      <c r="C123" s="8"/>
      <c r="D123" s="5"/>
      <c r="E123" s="6"/>
      <c r="F123" s="6"/>
      <c r="G123" s="6"/>
      <c r="H123" s="4"/>
      <c r="I123" s="4"/>
      <c r="J123" s="4"/>
      <c r="K123" s="4"/>
      <c r="L123" s="4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"/>
      <c r="X123" s="7"/>
      <c r="Y123" s="7"/>
    </row>
    <row r="124">
      <c r="A124" s="4"/>
      <c r="B124" s="4"/>
      <c r="C124" s="8"/>
      <c r="D124" s="5"/>
      <c r="E124" s="6"/>
      <c r="F124" s="6"/>
      <c r="G124" s="6"/>
      <c r="H124" s="4"/>
      <c r="I124" s="4"/>
      <c r="J124" s="4"/>
      <c r="K124" s="4"/>
      <c r="L124" s="4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4"/>
      <c r="B125" s="4"/>
      <c r="C125" s="8"/>
      <c r="D125" s="5"/>
      <c r="E125" s="6"/>
      <c r="F125" s="6"/>
      <c r="G125" s="6"/>
      <c r="H125" s="4"/>
      <c r="I125" s="4"/>
      <c r="J125" s="4"/>
      <c r="K125" s="4"/>
      <c r="L125" s="4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4"/>
      <c r="B126" s="4"/>
      <c r="C126" s="8"/>
      <c r="D126" s="5"/>
      <c r="E126" s="6"/>
      <c r="F126" s="6"/>
      <c r="G126" s="6"/>
      <c r="H126" s="4"/>
      <c r="I126" s="4"/>
      <c r="J126" s="4"/>
      <c r="K126" s="4"/>
      <c r="L126" s="4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4"/>
      <c r="B127" s="4"/>
      <c r="C127" s="8"/>
      <c r="D127" s="5"/>
      <c r="E127" s="6"/>
      <c r="F127" s="6"/>
      <c r="G127" s="6"/>
      <c r="H127" s="4"/>
      <c r="I127" s="4"/>
      <c r="J127" s="4"/>
      <c r="K127" s="4"/>
      <c r="L127" s="7"/>
      <c r="M127" s="7"/>
      <c r="N127" s="7"/>
      <c r="O127" s="7"/>
      <c r="P127" s="7"/>
      <c r="Q127" s="4"/>
      <c r="R127" s="7"/>
      <c r="S127" s="7"/>
      <c r="T127" s="7"/>
      <c r="U127" s="7"/>
      <c r="V127" s="7"/>
      <c r="W127" s="7"/>
      <c r="X127" s="7"/>
      <c r="Y127" s="7"/>
    </row>
    <row r="128">
      <c r="A128" s="4"/>
      <c r="B128" s="4"/>
      <c r="C128" s="8"/>
      <c r="D128" s="5"/>
      <c r="E128" s="6"/>
      <c r="F128" s="6"/>
      <c r="G128" s="6"/>
      <c r="H128" s="4"/>
      <c r="I128" s="4"/>
      <c r="J128" s="4"/>
      <c r="K128" s="4"/>
      <c r="L128" s="7"/>
      <c r="M128" s="7"/>
      <c r="N128" s="7"/>
      <c r="O128" s="7"/>
      <c r="P128" s="7"/>
      <c r="Q128" s="4"/>
      <c r="R128" s="7"/>
      <c r="S128" s="7"/>
      <c r="T128" s="7"/>
      <c r="U128" s="7"/>
      <c r="V128" s="7"/>
      <c r="W128" s="4"/>
      <c r="X128" s="7"/>
      <c r="Y128" s="7"/>
    </row>
    <row r="129">
      <c r="A129" s="4"/>
      <c r="B129" s="4"/>
      <c r="C129" s="8"/>
      <c r="D129" s="5"/>
      <c r="E129" s="6"/>
      <c r="F129" s="6"/>
      <c r="G129" s="6"/>
      <c r="H129" s="4"/>
      <c r="I129" s="4"/>
      <c r="J129" s="4"/>
      <c r="K129" s="4"/>
      <c r="L129" s="7"/>
      <c r="M129" s="4"/>
      <c r="N129" s="7"/>
      <c r="O129" s="7"/>
      <c r="P129" s="7"/>
      <c r="Q129" s="4"/>
      <c r="R129" s="7"/>
      <c r="S129" s="7"/>
      <c r="T129" s="7"/>
      <c r="U129" s="7"/>
      <c r="V129" s="7"/>
      <c r="W129" s="4"/>
      <c r="X129" s="7"/>
      <c r="Y129" s="7"/>
    </row>
    <row r="130">
      <c r="A130" s="4"/>
      <c r="B130" s="4"/>
      <c r="C130" s="8"/>
      <c r="D130" s="5"/>
      <c r="E130" s="6"/>
      <c r="F130" s="6"/>
      <c r="G130" s="6"/>
      <c r="H130" s="4"/>
      <c r="I130" s="4"/>
      <c r="J130" s="4"/>
      <c r="K130" s="4"/>
      <c r="L130" s="7"/>
      <c r="M130" s="4"/>
      <c r="N130" s="7"/>
      <c r="O130" s="7"/>
      <c r="P130" s="7"/>
      <c r="Q130" s="4"/>
      <c r="R130" s="7"/>
      <c r="S130" s="7"/>
      <c r="T130" s="7"/>
      <c r="U130" s="7"/>
      <c r="V130" s="7"/>
      <c r="W130" s="4"/>
      <c r="X130" s="7"/>
      <c r="Y130" s="7"/>
    </row>
    <row r="131">
      <c r="A131" s="4"/>
      <c r="B131" s="4"/>
      <c r="C131" s="8"/>
      <c r="D131" s="5"/>
      <c r="E131" s="6"/>
      <c r="F131" s="6"/>
      <c r="G131" s="6"/>
      <c r="H131" s="4"/>
      <c r="I131" s="4"/>
      <c r="J131" s="4"/>
      <c r="K131" s="4"/>
      <c r="L131" s="7"/>
      <c r="M131" s="4"/>
      <c r="N131" s="7"/>
      <c r="O131" s="7"/>
      <c r="P131" s="7"/>
      <c r="Q131" s="4"/>
      <c r="R131" s="7"/>
      <c r="S131" s="7"/>
      <c r="T131" s="7"/>
      <c r="U131" s="7"/>
      <c r="V131" s="7"/>
      <c r="W131" s="4"/>
      <c r="X131" s="7"/>
      <c r="Y131" s="7"/>
    </row>
    <row r="132">
      <c r="A132" s="4"/>
      <c r="B132" s="4"/>
      <c r="C132" s="8"/>
      <c r="D132" s="5"/>
      <c r="E132" s="6"/>
      <c r="F132" s="6"/>
      <c r="G132" s="6"/>
      <c r="H132" s="4"/>
      <c r="I132" s="4"/>
      <c r="J132" s="4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"/>
      <c r="X132" s="4"/>
      <c r="Y132" s="4"/>
    </row>
    <row r="133">
      <c r="A133" s="4"/>
      <c r="B133" s="4"/>
      <c r="C133" s="8"/>
      <c r="D133" s="5"/>
      <c r="E133" s="6"/>
      <c r="F133" s="6"/>
      <c r="G133" s="6"/>
      <c r="H133" s="4"/>
      <c r="I133" s="4"/>
      <c r="J133" s="4"/>
      <c r="K133" s="4"/>
      <c r="L133" s="7"/>
      <c r="M133" s="7"/>
      <c r="N133" s="7"/>
      <c r="O133" s="7"/>
      <c r="P133" s="7"/>
      <c r="Q133" s="4"/>
      <c r="R133" s="7"/>
      <c r="S133" s="7"/>
      <c r="T133" s="7"/>
      <c r="U133" s="7"/>
      <c r="V133" s="7"/>
      <c r="W133" s="4"/>
      <c r="X133" s="4"/>
      <c r="Y133" s="4"/>
    </row>
    <row r="134">
      <c r="A134" s="4"/>
      <c r="B134" s="4"/>
      <c r="C134" s="8"/>
      <c r="D134" s="5"/>
      <c r="E134" s="6"/>
      <c r="F134" s="6"/>
      <c r="G134" s="6"/>
      <c r="H134" s="4"/>
      <c r="I134" s="4"/>
      <c r="J134" s="4"/>
      <c r="K134" s="4"/>
      <c r="L134" s="7"/>
      <c r="M134" s="7"/>
      <c r="N134" s="7"/>
      <c r="O134" s="7"/>
      <c r="P134" s="7"/>
      <c r="Q134" s="4"/>
      <c r="R134" s="7"/>
      <c r="S134" s="7"/>
      <c r="T134" s="7"/>
      <c r="U134" s="7"/>
      <c r="V134" s="7"/>
      <c r="W134" s="4"/>
      <c r="X134" s="7"/>
      <c r="Y134" s="7"/>
    </row>
    <row r="135">
      <c r="A135" s="4"/>
      <c r="B135" s="4"/>
      <c r="C135" s="8"/>
      <c r="D135" s="5"/>
      <c r="E135" s="6"/>
      <c r="F135" s="6"/>
      <c r="G135" s="6"/>
      <c r="H135" s="4"/>
      <c r="I135" s="4"/>
      <c r="J135" s="4"/>
      <c r="K135" s="4"/>
      <c r="L135" s="7"/>
      <c r="M135" s="7"/>
      <c r="N135" s="4"/>
      <c r="O135" s="7"/>
      <c r="P135" s="7"/>
      <c r="Q135" s="4"/>
      <c r="R135" s="7"/>
      <c r="S135" s="7"/>
      <c r="T135" s="7"/>
      <c r="U135" s="7"/>
      <c r="V135" s="7"/>
      <c r="W135" s="4"/>
      <c r="X135" s="7"/>
      <c r="Y135" s="7"/>
    </row>
    <row r="136">
      <c r="A136" s="4"/>
      <c r="B136" s="4"/>
      <c r="C136" s="8"/>
      <c r="D136" s="5"/>
      <c r="E136" s="6"/>
      <c r="F136" s="6"/>
      <c r="G136" s="6"/>
      <c r="H136" s="4"/>
      <c r="I136" s="4"/>
      <c r="J136" s="4"/>
      <c r="K136" s="4"/>
      <c r="L136" s="7"/>
      <c r="M136" s="7"/>
      <c r="N136" s="4"/>
      <c r="O136" s="7"/>
      <c r="P136" s="7"/>
      <c r="Q136" s="4"/>
      <c r="R136" s="7"/>
      <c r="S136" s="7"/>
      <c r="T136" s="7"/>
      <c r="U136" s="7"/>
      <c r="V136" s="7"/>
      <c r="W136" s="4"/>
      <c r="X136" s="7"/>
      <c r="Y136" s="7"/>
    </row>
    <row r="137">
      <c r="A137" s="4"/>
      <c r="B137" s="4"/>
      <c r="C137" s="8"/>
      <c r="D137" s="5"/>
      <c r="E137" s="6"/>
      <c r="F137" s="6"/>
      <c r="G137" s="6"/>
      <c r="H137" s="4"/>
      <c r="I137" s="4"/>
      <c r="J137" s="4"/>
      <c r="K137" s="4"/>
      <c r="L137" s="7"/>
      <c r="M137" s="7"/>
      <c r="N137" s="4"/>
      <c r="O137" s="7"/>
      <c r="P137" s="7"/>
      <c r="Q137" s="4"/>
      <c r="R137" s="7"/>
      <c r="S137" s="7"/>
      <c r="T137" s="7"/>
      <c r="U137" s="7"/>
      <c r="V137" s="7"/>
      <c r="W137" s="7"/>
      <c r="X137" s="7"/>
      <c r="Y137" s="7"/>
    </row>
    <row r="138">
      <c r="A138" s="4"/>
      <c r="B138" s="4"/>
      <c r="C138" s="8"/>
      <c r="D138" s="5"/>
      <c r="E138" s="6"/>
      <c r="F138" s="6"/>
      <c r="G138" s="6"/>
      <c r="H138" s="4"/>
      <c r="I138" s="4"/>
      <c r="J138" s="4"/>
      <c r="K138" s="4"/>
      <c r="L138" s="4"/>
      <c r="M138" s="7"/>
      <c r="N138" s="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4"/>
      <c r="B139" s="4"/>
      <c r="C139" s="8"/>
      <c r="D139" s="5"/>
      <c r="E139" s="6"/>
      <c r="F139" s="6"/>
      <c r="G139" s="6"/>
      <c r="H139" s="4"/>
      <c r="I139" s="4"/>
      <c r="J139" s="4"/>
      <c r="K139" s="4"/>
      <c r="L139" s="4"/>
      <c r="M139" s="7"/>
      <c r="N139" s="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4"/>
      <c r="B140" s="4"/>
      <c r="C140" s="8"/>
      <c r="D140" s="5"/>
      <c r="E140" s="6"/>
      <c r="F140" s="6"/>
      <c r="G140" s="6"/>
      <c r="H140" s="4"/>
      <c r="I140" s="4"/>
      <c r="J140" s="4"/>
      <c r="K140" s="4"/>
      <c r="L140" s="4"/>
      <c r="M140" s="7"/>
      <c r="N140" s="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4"/>
      <c r="B141" s="4"/>
      <c r="C141" s="8"/>
      <c r="D141" s="5"/>
      <c r="E141" s="6"/>
      <c r="F141" s="6"/>
      <c r="G141" s="6"/>
      <c r="H141" s="4"/>
      <c r="I141" s="4"/>
      <c r="J141" s="4"/>
      <c r="K141" s="4"/>
      <c r="L141" s="4"/>
      <c r="M141" s="7"/>
      <c r="N141" s="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4"/>
      <c r="B142" s="4"/>
      <c r="C142" s="8"/>
      <c r="D142" s="5"/>
      <c r="E142" s="6"/>
      <c r="F142" s="6"/>
      <c r="G142" s="6"/>
      <c r="H142" s="4"/>
      <c r="I142" s="4"/>
      <c r="J142" s="4"/>
      <c r="K142" s="4"/>
      <c r="L142" s="4"/>
      <c r="M142" s="7"/>
      <c r="N142" s="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4"/>
      <c r="B143" s="4"/>
      <c r="C143" s="8"/>
      <c r="D143" s="5"/>
      <c r="E143" s="6"/>
      <c r="F143" s="6"/>
      <c r="G143" s="6"/>
      <c r="H143" s="4"/>
      <c r="I143" s="4"/>
      <c r="J143" s="4"/>
      <c r="K143" s="4"/>
      <c r="L143" s="4"/>
      <c r="M143" s="7"/>
      <c r="N143" s="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4"/>
      <c r="B144" s="4"/>
      <c r="C144" s="8"/>
      <c r="D144" s="5"/>
      <c r="E144" s="6"/>
      <c r="F144" s="6"/>
      <c r="G144" s="6"/>
      <c r="H144" s="4"/>
      <c r="I144" s="4"/>
      <c r="J144" s="4"/>
      <c r="K144" s="4"/>
      <c r="L144" s="4"/>
      <c r="M144" s="7"/>
      <c r="N144" s="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4"/>
      <c r="B145" s="4"/>
      <c r="C145" s="8"/>
      <c r="D145" s="5"/>
      <c r="E145" s="6"/>
      <c r="F145" s="6"/>
      <c r="G145" s="6"/>
      <c r="H145" s="4"/>
      <c r="I145" s="4"/>
      <c r="J145" s="4"/>
      <c r="K145" s="4"/>
      <c r="L145" s="4"/>
      <c r="M145" s="7"/>
      <c r="N145" s="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4"/>
      <c r="B146" s="4"/>
      <c r="C146" s="4"/>
      <c r="D146" s="5"/>
      <c r="E146" s="6"/>
      <c r="F146" s="6"/>
      <c r="G146" s="6"/>
      <c r="H146" s="4"/>
      <c r="I146" s="4"/>
      <c r="J146" s="4"/>
      <c r="K146" s="4"/>
      <c r="L146" s="7"/>
      <c r="M146" s="7"/>
      <c r="N146" s="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4"/>
      <c r="B147" s="4"/>
      <c r="C147" s="8"/>
      <c r="D147" s="5"/>
      <c r="E147" s="6"/>
      <c r="F147" s="6"/>
      <c r="G147" s="6"/>
      <c r="H147" s="4"/>
      <c r="I147" s="4"/>
      <c r="J147" s="4"/>
      <c r="K147" s="4"/>
      <c r="L147" s="7"/>
      <c r="M147" s="7"/>
      <c r="N147" s="7"/>
      <c r="O147" s="7"/>
      <c r="P147" s="7"/>
      <c r="Q147" s="7"/>
      <c r="R147" s="7"/>
      <c r="S147" s="7"/>
      <c r="T147" s="4"/>
      <c r="U147" s="4"/>
      <c r="V147" s="7"/>
      <c r="W147" s="7"/>
      <c r="X147" s="7"/>
      <c r="Y147" s="7"/>
    </row>
    <row r="148">
      <c r="A148" s="4"/>
      <c r="B148" s="4"/>
      <c r="C148" s="8"/>
      <c r="D148" s="5"/>
      <c r="E148" s="6"/>
      <c r="F148" s="6"/>
      <c r="G148" s="6"/>
      <c r="H148" s="4"/>
      <c r="I148" s="4"/>
      <c r="J148" s="4"/>
      <c r="K148" s="4"/>
      <c r="L148" s="7"/>
      <c r="M148" s="7"/>
      <c r="N148" s="7"/>
      <c r="O148" s="7"/>
      <c r="P148" s="7"/>
      <c r="Q148" s="7"/>
      <c r="R148" s="7"/>
      <c r="S148" s="7"/>
      <c r="T148" s="4"/>
      <c r="U148" s="7"/>
      <c r="V148" s="7"/>
      <c r="W148" s="7"/>
      <c r="X148" s="7"/>
      <c r="Y148" s="7"/>
    </row>
    <row r="149">
      <c r="A149" s="4"/>
      <c r="B149" s="4"/>
      <c r="C149" s="8"/>
      <c r="D149" s="5"/>
      <c r="E149" s="6"/>
      <c r="F149" s="6"/>
      <c r="G149" s="6"/>
      <c r="H149" s="4"/>
      <c r="I149" s="4"/>
      <c r="J149" s="4"/>
      <c r="K149" s="4"/>
      <c r="L149" s="7"/>
      <c r="M149" s="7"/>
      <c r="N149" s="7"/>
      <c r="O149" s="4"/>
      <c r="P149" s="7"/>
      <c r="Q149" s="7"/>
      <c r="R149" s="7"/>
      <c r="S149" s="7"/>
      <c r="T149" s="7"/>
      <c r="U149" s="4"/>
      <c r="V149" s="7"/>
      <c r="W149" s="7"/>
      <c r="X149" s="7"/>
      <c r="Y149" s="7"/>
    </row>
    <row r="150">
      <c r="A150" s="4"/>
      <c r="B150" s="4"/>
      <c r="C150" s="8"/>
      <c r="D150" s="5"/>
      <c r="E150" s="6"/>
      <c r="F150" s="6"/>
      <c r="G150" s="6"/>
      <c r="H150" s="4"/>
      <c r="I150" s="4"/>
      <c r="J150" s="4"/>
      <c r="K150" s="4"/>
      <c r="L150" s="4"/>
      <c r="M150" s="7"/>
      <c r="N150" s="7"/>
      <c r="O150" s="7"/>
      <c r="P150" s="4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4"/>
      <c r="B151" s="4"/>
      <c r="C151" s="8"/>
      <c r="D151" s="5"/>
      <c r="E151" s="6"/>
      <c r="F151" s="6"/>
      <c r="G151" s="6"/>
      <c r="H151" s="4"/>
      <c r="I151" s="4"/>
      <c r="J151" s="4"/>
      <c r="K151" s="4"/>
      <c r="L151" s="7"/>
      <c r="M151" s="7"/>
      <c r="N151" s="7"/>
      <c r="O151" s="7"/>
      <c r="P151" s="7"/>
      <c r="Q151" s="4"/>
      <c r="R151" s="7"/>
      <c r="S151" s="7"/>
      <c r="T151" s="7"/>
      <c r="U151" s="7"/>
      <c r="V151" s="7"/>
      <c r="W151" s="7"/>
      <c r="X151" s="7"/>
      <c r="Y151" s="7"/>
    </row>
    <row r="152">
      <c r="A152" s="4"/>
      <c r="B152" s="4"/>
      <c r="C152" s="8"/>
      <c r="D152" s="5"/>
      <c r="E152" s="6"/>
      <c r="F152" s="6"/>
      <c r="G152" s="6"/>
      <c r="H152" s="4"/>
      <c r="I152" s="4"/>
      <c r="J152" s="4"/>
      <c r="K152" s="4"/>
      <c r="L152" s="7"/>
      <c r="M152" s="7"/>
      <c r="N152" s="4"/>
      <c r="O152" s="7"/>
      <c r="P152" s="4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4"/>
      <c r="B153" s="4"/>
      <c r="C153" s="8"/>
      <c r="D153" s="5"/>
      <c r="E153" s="6"/>
      <c r="F153" s="6"/>
      <c r="G153" s="6"/>
      <c r="H153" s="4"/>
      <c r="I153" s="4"/>
      <c r="J153" s="4"/>
      <c r="K153" s="4"/>
      <c r="L153" s="7"/>
      <c r="M153" s="7"/>
      <c r="N153" s="7"/>
      <c r="O153" s="7"/>
      <c r="P153" s="4"/>
      <c r="Q153" s="7"/>
      <c r="R153" s="7"/>
      <c r="S153" s="7"/>
      <c r="T153" s="4"/>
      <c r="U153" s="7"/>
      <c r="V153" s="7"/>
      <c r="W153" s="7"/>
      <c r="X153" s="7"/>
      <c r="Y153" s="7"/>
    </row>
    <row r="154">
      <c r="A154" s="4"/>
      <c r="B154" s="4"/>
      <c r="C154" s="8"/>
      <c r="D154" s="5"/>
      <c r="E154" s="6"/>
      <c r="F154" s="6"/>
      <c r="G154" s="6"/>
      <c r="H154" s="4"/>
      <c r="I154" s="4"/>
      <c r="J154" s="4"/>
      <c r="K154" s="4"/>
      <c r="L154" s="7"/>
      <c r="M154" s="7"/>
      <c r="N154" s="7"/>
      <c r="O154" s="7"/>
      <c r="P154" s="4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4"/>
      <c r="B155" s="4"/>
      <c r="C155" s="8"/>
      <c r="D155" s="5"/>
      <c r="E155" s="6"/>
      <c r="F155" s="6"/>
      <c r="G155" s="6"/>
      <c r="H155" s="4"/>
      <c r="I155" s="4"/>
      <c r="J155" s="4"/>
      <c r="K155" s="4"/>
      <c r="L155" s="7"/>
      <c r="M155" s="7"/>
      <c r="N155" s="7"/>
      <c r="O155" s="7"/>
      <c r="P155" s="7"/>
      <c r="Q155" s="4"/>
      <c r="R155" s="7"/>
      <c r="S155" s="4"/>
      <c r="T155" s="7"/>
      <c r="U155" s="7"/>
      <c r="V155" s="7"/>
      <c r="W155" s="7"/>
      <c r="X155" s="7"/>
      <c r="Y155" s="7"/>
    </row>
    <row r="156">
      <c r="A156" s="4"/>
      <c r="B156" s="4"/>
      <c r="C156" s="8"/>
      <c r="D156" s="5"/>
      <c r="E156" s="6"/>
      <c r="F156" s="6"/>
      <c r="G156" s="6"/>
      <c r="H156" s="4"/>
      <c r="I156" s="4"/>
      <c r="J156" s="4"/>
      <c r="K156" s="4"/>
      <c r="L156" s="7"/>
      <c r="M156" s="7"/>
      <c r="N156" s="4"/>
      <c r="O156" s="7"/>
      <c r="P156" s="4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4"/>
      <c r="B157" s="4"/>
      <c r="C157" s="8"/>
      <c r="D157" s="5"/>
      <c r="E157" s="6"/>
      <c r="F157" s="6"/>
      <c r="G157" s="6"/>
      <c r="H157" s="4"/>
      <c r="I157" s="4"/>
      <c r="J157" s="4"/>
      <c r="K157" s="4"/>
      <c r="L157" s="4"/>
      <c r="M157" s="7"/>
      <c r="N157" s="7"/>
      <c r="O157" s="7"/>
      <c r="P157" s="4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4"/>
      <c r="B158" s="4"/>
      <c r="C158" s="8"/>
      <c r="D158" s="5"/>
      <c r="E158" s="6"/>
      <c r="F158" s="6"/>
      <c r="G158" s="6"/>
      <c r="H158" s="4"/>
      <c r="I158" s="4"/>
      <c r="J158" s="4"/>
      <c r="K158" s="4"/>
      <c r="L158" s="7"/>
      <c r="M158" s="7"/>
      <c r="N158" s="7"/>
      <c r="O158" s="7"/>
      <c r="P158" s="4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4"/>
      <c r="B159" s="4"/>
      <c r="C159" s="8"/>
      <c r="D159" s="5"/>
      <c r="E159" s="6"/>
      <c r="F159" s="6"/>
      <c r="G159" s="6"/>
      <c r="H159" s="4"/>
      <c r="I159" s="4"/>
      <c r="J159" s="4"/>
      <c r="K159" s="4"/>
      <c r="L159" s="7"/>
      <c r="M159" s="7"/>
      <c r="N159" s="7"/>
      <c r="O159" s="7"/>
      <c r="P159" s="4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4"/>
      <c r="B160" s="4"/>
      <c r="C160" s="8"/>
      <c r="D160" s="5"/>
      <c r="E160" s="6"/>
      <c r="F160" s="6"/>
      <c r="G160" s="6"/>
      <c r="H160" s="4"/>
      <c r="I160" s="4"/>
      <c r="J160" s="4"/>
      <c r="K160" s="4"/>
      <c r="L160" s="4"/>
      <c r="M160" s="7"/>
      <c r="N160" s="7"/>
      <c r="O160" s="7"/>
      <c r="P160" s="4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4"/>
      <c r="B161" s="4"/>
      <c r="C161" s="8"/>
      <c r="D161" s="5"/>
      <c r="E161" s="6"/>
      <c r="F161" s="6"/>
      <c r="G161" s="6"/>
      <c r="H161" s="4"/>
      <c r="I161" s="4"/>
      <c r="J161" s="4"/>
      <c r="K161" s="4"/>
      <c r="L161" s="4"/>
      <c r="M161" s="7"/>
      <c r="N161" s="7"/>
      <c r="O161" s="7"/>
      <c r="P161" s="7"/>
      <c r="Q161" s="4"/>
      <c r="R161" s="7"/>
      <c r="S161" s="7"/>
      <c r="T161" s="7"/>
      <c r="U161" s="7"/>
      <c r="V161" s="7"/>
      <c r="W161" s="7"/>
      <c r="X161" s="7"/>
      <c r="Y161" s="7"/>
    </row>
    <row r="162">
      <c r="A162" s="4"/>
      <c r="B162" s="4"/>
      <c r="C162" s="8"/>
      <c r="D162" s="5"/>
      <c r="E162" s="6"/>
      <c r="F162" s="6"/>
      <c r="G162" s="6"/>
      <c r="H162" s="4"/>
      <c r="I162" s="4"/>
      <c r="J162" s="4"/>
      <c r="K162" s="4"/>
      <c r="L162" s="7"/>
      <c r="M162" s="7"/>
      <c r="N162" s="7"/>
      <c r="O162" s="7"/>
      <c r="P162" s="4"/>
      <c r="Q162" s="7"/>
      <c r="R162" s="4"/>
      <c r="S162" s="7"/>
      <c r="T162" s="7"/>
      <c r="U162" s="7"/>
      <c r="V162" s="7"/>
      <c r="W162" s="7"/>
      <c r="X162" s="7"/>
      <c r="Y162" s="7"/>
    </row>
    <row r="163">
      <c r="A163" s="4"/>
      <c r="B163" s="4"/>
      <c r="C163" s="8"/>
      <c r="D163" s="5"/>
      <c r="E163" s="6"/>
      <c r="F163" s="6"/>
      <c r="G163" s="6"/>
      <c r="H163" s="4"/>
      <c r="I163" s="4"/>
      <c r="J163" s="4"/>
      <c r="K163" s="4"/>
      <c r="L163" s="7"/>
      <c r="M163" s="7"/>
      <c r="N163" s="7"/>
      <c r="O163" s="7"/>
      <c r="P163" s="4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4"/>
      <c r="B164" s="4"/>
      <c r="C164" s="8"/>
      <c r="D164" s="5"/>
      <c r="E164" s="6"/>
      <c r="F164" s="6"/>
      <c r="G164" s="6"/>
      <c r="H164" s="4"/>
      <c r="I164" s="4"/>
      <c r="J164" s="4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"/>
      <c r="X164" s="7"/>
      <c r="Y164" s="7"/>
    </row>
    <row r="165">
      <c r="A165" s="4"/>
      <c r="B165" s="4"/>
      <c r="C165" s="8"/>
      <c r="D165" s="5"/>
      <c r="E165" s="6"/>
      <c r="F165" s="6"/>
      <c r="G165" s="6"/>
      <c r="H165" s="4"/>
      <c r="I165" s="4"/>
      <c r="J165" s="4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"/>
      <c r="X165" s="7"/>
      <c r="Y165" s="7"/>
    </row>
    <row r="166">
      <c r="A166" s="4"/>
      <c r="B166" s="8"/>
      <c r="C166" s="4"/>
      <c r="D166" s="5"/>
      <c r="E166" s="6"/>
      <c r="F166" s="6"/>
      <c r="G166" s="6"/>
      <c r="H166" s="4"/>
      <c r="I166" s="4"/>
      <c r="J166" s="4"/>
      <c r="K166" s="4"/>
      <c r="L166" s="7"/>
      <c r="M166" s="7"/>
      <c r="N166" s="7"/>
      <c r="O166" s="7"/>
      <c r="P166" s="4"/>
      <c r="Q166" s="7"/>
      <c r="R166" s="7"/>
      <c r="S166" s="7"/>
      <c r="T166" s="7"/>
      <c r="U166" s="7"/>
      <c r="V166" s="7"/>
      <c r="W166" s="4"/>
      <c r="X166" s="7"/>
      <c r="Y166" s="7"/>
    </row>
    <row r="167">
      <c r="A167" s="4"/>
      <c r="B167" s="8"/>
      <c r="C167" s="8"/>
      <c r="D167" s="5"/>
      <c r="E167" s="6"/>
      <c r="F167" s="6"/>
      <c r="G167" s="6"/>
      <c r="H167" s="4"/>
      <c r="I167" s="4"/>
      <c r="J167" s="4"/>
      <c r="K167" s="4"/>
      <c r="L167" s="7"/>
      <c r="M167" s="7"/>
      <c r="N167" s="7"/>
      <c r="O167" s="7"/>
      <c r="P167" s="4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4"/>
      <c r="B168" s="8"/>
      <c r="C168" s="8"/>
      <c r="D168" s="5"/>
      <c r="E168" s="6"/>
      <c r="F168" s="6"/>
      <c r="G168" s="6"/>
      <c r="H168" s="4"/>
      <c r="I168" s="4"/>
      <c r="J168" s="4"/>
      <c r="K168" s="4"/>
      <c r="L168" s="7"/>
      <c r="M168" s="7"/>
      <c r="N168" s="7"/>
      <c r="O168" s="7"/>
      <c r="P168" s="4"/>
      <c r="Q168" s="7"/>
      <c r="R168" s="7"/>
      <c r="S168" s="7"/>
      <c r="T168" s="7"/>
      <c r="U168" s="7"/>
      <c r="V168" s="7"/>
      <c r="W168" s="4"/>
      <c r="X168" s="7"/>
      <c r="Y168" s="7"/>
    </row>
    <row r="169">
      <c r="A169" s="4"/>
      <c r="B169" s="8"/>
      <c r="C169" s="8"/>
      <c r="D169" s="5"/>
      <c r="E169" s="6"/>
      <c r="F169" s="6"/>
      <c r="G169" s="6"/>
      <c r="H169" s="4"/>
      <c r="I169" s="4"/>
      <c r="J169" s="4"/>
      <c r="K169" s="4"/>
      <c r="L169" s="7"/>
      <c r="M169" s="7"/>
      <c r="N169" s="7"/>
      <c r="O169" s="7"/>
      <c r="P169" s="4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4"/>
      <c r="B170" s="4"/>
      <c r="C170" s="8"/>
      <c r="D170" s="5"/>
      <c r="E170" s="6"/>
      <c r="F170" s="6"/>
      <c r="G170" s="6"/>
      <c r="H170" s="4"/>
      <c r="I170" s="4"/>
      <c r="J170" s="4"/>
      <c r="K170" s="4"/>
      <c r="L170" s="7"/>
      <c r="M170" s="7"/>
      <c r="N170" s="7"/>
      <c r="O170" s="4"/>
      <c r="P170" s="7"/>
      <c r="Q170" s="4"/>
      <c r="R170" s="7"/>
      <c r="S170" s="7"/>
      <c r="T170" s="7"/>
      <c r="U170" s="7"/>
      <c r="V170" s="7"/>
      <c r="W170" s="7"/>
      <c r="X170" s="7"/>
      <c r="Y170" s="7"/>
    </row>
    <row r="171">
      <c r="A171" s="4"/>
      <c r="B171" s="4"/>
      <c r="C171" s="8"/>
      <c r="D171" s="5"/>
      <c r="E171" s="6"/>
      <c r="F171" s="6"/>
      <c r="G171" s="6"/>
      <c r="H171" s="4"/>
      <c r="I171" s="4"/>
      <c r="J171" s="4"/>
      <c r="K171" s="4"/>
      <c r="L171" s="7"/>
      <c r="M171" s="7"/>
      <c r="N171" s="4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7"/>
    </row>
    <row r="172">
      <c r="A172" s="4"/>
      <c r="B172" s="4"/>
      <c r="C172" s="8"/>
      <c r="D172" s="5"/>
      <c r="E172" s="6"/>
      <c r="F172" s="6"/>
      <c r="G172" s="6"/>
      <c r="H172" s="4"/>
      <c r="I172" s="4"/>
      <c r="J172" s="4"/>
      <c r="K172" s="4"/>
      <c r="L172" s="7"/>
      <c r="M172" s="7"/>
      <c r="N172" s="4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7"/>
    </row>
    <row r="173">
      <c r="A173" s="4"/>
      <c r="B173" s="4"/>
      <c r="C173" s="8"/>
      <c r="D173" s="5"/>
      <c r="E173" s="6"/>
      <c r="F173" s="6"/>
      <c r="G173" s="6"/>
      <c r="H173" s="4"/>
      <c r="I173" s="4"/>
      <c r="J173" s="4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7"/>
    </row>
    <row r="174">
      <c r="A174" s="4"/>
      <c r="B174" s="4"/>
      <c r="C174" s="8"/>
      <c r="D174" s="5"/>
      <c r="E174" s="6"/>
      <c r="F174" s="6"/>
      <c r="G174" s="6"/>
      <c r="H174" s="4"/>
      <c r="I174" s="4"/>
      <c r="J174" s="4"/>
      <c r="K174" s="4"/>
      <c r="L174" s="7"/>
      <c r="M174" s="7"/>
      <c r="N174" s="7"/>
      <c r="O174" s="4"/>
      <c r="P174" s="7"/>
      <c r="Q174" s="7"/>
      <c r="R174" s="7"/>
      <c r="S174" s="7"/>
      <c r="T174" s="7"/>
      <c r="U174" s="7"/>
      <c r="V174" s="7"/>
      <c r="W174" s="7"/>
      <c r="X174" s="4"/>
      <c r="Y174" s="7"/>
    </row>
    <row r="175">
      <c r="A175" s="4"/>
      <c r="B175" s="4"/>
      <c r="C175" s="8"/>
      <c r="D175" s="5"/>
      <c r="E175" s="6"/>
      <c r="F175" s="6"/>
      <c r="G175" s="6"/>
      <c r="H175" s="4"/>
      <c r="I175" s="4"/>
      <c r="J175" s="4"/>
      <c r="K175" s="4"/>
      <c r="L175" s="7"/>
      <c r="M175" s="7"/>
      <c r="N175" s="7"/>
      <c r="O175" s="4"/>
      <c r="P175" s="7"/>
      <c r="Q175" s="7"/>
      <c r="R175" s="7"/>
      <c r="S175" s="7"/>
      <c r="T175" s="7"/>
      <c r="U175" s="7"/>
      <c r="V175" s="7"/>
      <c r="W175" s="7"/>
      <c r="X175" s="4"/>
      <c r="Y175" s="7"/>
    </row>
    <row r="176">
      <c r="A176" s="4"/>
      <c r="B176" s="4"/>
      <c r="C176" s="8"/>
      <c r="D176" s="5"/>
      <c r="E176" s="6"/>
      <c r="F176" s="6"/>
      <c r="G176" s="6"/>
      <c r="H176" s="4"/>
      <c r="I176" s="4"/>
      <c r="J176" s="4"/>
      <c r="K176" s="4"/>
      <c r="L176" s="7"/>
      <c r="M176" s="7"/>
      <c r="N176" s="7"/>
      <c r="O176" s="4"/>
      <c r="P176" s="7"/>
      <c r="Q176" s="7"/>
      <c r="R176" s="7"/>
      <c r="S176" s="7"/>
      <c r="T176" s="7"/>
      <c r="U176" s="7"/>
      <c r="V176" s="7"/>
      <c r="W176" s="7"/>
      <c r="X176" s="4"/>
      <c r="Y176" s="7"/>
    </row>
    <row r="177">
      <c r="A177" s="4"/>
      <c r="B177" s="4"/>
      <c r="C177" s="8"/>
      <c r="D177" s="5"/>
      <c r="E177" s="6"/>
      <c r="F177" s="6"/>
      <c r="G177" s="6"/>
      <c r="H177" s="4"/>
      <c r="I177" s="4"/>
      <c r="J177" s="4"/>
      <c r="K177" s="4"/>
      <c r="L177" s="7"/>
      <c r="M177" s="7"/>
      <c r="N177" s="7"/>
      <c r="O177" s="4"/>
      <c r="P177" s="7"/>
      <c r="Q177" s="7"/>
      <c r="R177" s="7"/>
      <c r="S177" s="7"/>
      <c r="T177" s="7"/>
      <c r="U177" s="7"/>
      <c r="V177" s="7"/>
      <c r="W177" s="7"/>
      <c r="X177" s="4"/>
      <c r="Y177" s="7"/>
    </row>
    <row r="178">
      <c r="A178" s="4"/>
      <c r="B178" s="4"/>
      <c r="C178" s="8"/>
      <c r="D178" s="5"/>
      <c r="E178" s="6"/>
      <c r="F178" s="6"/>
      <c r="G178" s="6"/>
      <c r="H178" s="4"/>
      <c r="I178" s="4"/>
      <c r="J178" s="4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7"/>
    </row>
    <row r="179">
      <c r="A179" s="4"/>
      <c r="B179" s="4"/>
      <c r="C179" s="8"/>
      <c r="D179" s="5"/>
      <c r="E179" s="6"/>
      <c r="F179" s="6"/>
      <c r="G179" s="6"/>
      <c r="H179" s="4"/>
      <c r="I179" s="4"/>
      <c r="J179" s="4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7"/>
    </row>
    <row r="180">
      <c r="A180" s="4"/>
      <c r="B180" s="4"/>
      <c r="C180" s="8"/>
      <c r="D180" s="5"/>
      <c r="E180" s="6"/>
      <c r="F180" s="6"/>
      <c r="G180" s="6"/>
      <c r="H180" s="4"/>
      <c r="I180" s="4"/>
      <c r="J180" s="4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7"/>
    </row>
    <row r="181">
      <c r="A181" s="4"/>
      <c r="B181" s="4"/>
      <c r="C181" s="8"/>
      <c r="D181" s="5"/>
      <c r="E181" s="6"/>
      <c r="F181" s="6"/>
      <c r="G181" s="6"/>
      <c r="H181" s="4"/>
      <c r="I181" s="4"/>
      <c r="J181" s="4"/>
      <c r="K181" s="4"/>
      <c r="L181" s="7"/>
      <c r="M181" s="7"/>
      <c r="N181" s="7"/>
      <c r="O181" s="7"/>
      <c r="P181" s="7"/>
      <c r="Q181" s="4"/>
      <c r="R181" s="7"/>
      <c r="S181" s="7"/>
      <c r="T181" s="7"/>
      <c r="U181" s="7"/>
      <c r="V181" s="7"/>
      <c r="W181" s="4"/>
      <c r="X181" s="7"/>
      <c r="Y181" s="7"/>
    </row>
    <row r="182">
      <c r="A182" s="4"/>
      <c r="B182" s="4"/>
      <c r="C182" s="8"/>
      <c r="D182" s="5"/>
      <c r="E182" s="6"/>
      <c r="F182" s="6"/>
      <c r="G182" s="6"/>
      <c r="H182" s="4"/>
      <c r="I182" s="4"/>
      <c r="J182" s="4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"/>
      <c r="X182" s="7"/>
      <c r="Y182" s="7"/>
    </row>
    <row r="183">
      <c r="A183" s="4"/>
      <c r="B183" s="4"/>
      <c r="C183" s="8"/>
      <c r="D183" s="5"/>
      <c r="E183" s="6"/>
      <c r="F183" s="6"/>
      <c r="G183" s="6"/>
      <c r="H183" s="4"/>
      <c r="I183" s="4"/>
      <c r="J183" s="4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"/>
      <c r="X183" s="7"/>
      <c r="Y183" s="7"/>
    </row>
    <row r="184">
      <c r="A184" s="4"/>
      <c r="B184" s="4"/>
      <c r="C184" s="8"/>
      <c r="D184" s="5"/>
      <c r="E184" s="6"/>
      <c r="F184" s="6"/>
      <c r="G184" s="6"/>
      <c r="H184" s="4"/>
      <c r="I184" s="4"/>
      <c r="J184" s="4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4"/>
      <c r="W184" s="7"/>
      <c r="X184" s="7"/>
      <c r="Y184" s="7"/>
    </row>
    <row r="185">
      <c r="A185" s="4"/>
      <c r="B185" s="4"/>
      <c r="C185" s="8"/>
      <c r="D185" s="5"/>
      <c r="E185" s="6"/>
      <c r="F185" s="6"/>
      <c r="G185" s="6"/>
      <c r="H185" s="4"/>
      <c r="I185" s="4"/>
      <c r="J185" s="4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4"/>
      <c r="W185" s="7"/>
      <c r="X185" s="7"/>
      <c r="Y185" s="7"/>
    </row>
    <row r="186">
      <c r="A186" s="4"/>
      <c r="B186" s="4"/>
      <c r="C186" s="8"/>
      <c r="D186" s="5"/>
      <c r="E186" s="6"/>
      <c r="F186" s="6"/>
      <c r="G186" s="6"/>
      <c r="H186" s="4"/>
      <c r="I186" s="4"/>
      <c r="J186" s="4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4"/>
      <c r="W186" s="7"/>
      <c r="X186" s="7"/>
      <c r="Y186" s="7"/>
    </row>
    <row r="187">
      <c r="A187" s="4"/>
      <c r="B187" s="4"/>
      <c r="C187" s="8"/>
      <c r="D187" s="5"/>
      <c r="E187" s="6"/>
      <c r="F187" s="6"/>
      <c r="G187" s="6"/>
      <c r="H187" s="4"/>
      <c r="I187" s="4"/>
      <c r="J187" s="4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4"/>
      <c r="W187" s="7"/>
      <c r="X187" s="7"/>
      <c r="Y187" s="7"/>
    </row>
    <row r="188">
      <c r="A188" s="4"/>
      <c r="B188" s="4"/>
      <c r="C188" s="8"/>
      <c r="D188" s="5"/>
      <c r="E188" s="6"/>
      <c r="F188" s="6"/>
      <c r="G188" s="6"/>
      <c r="H188" s="4"/>
      <c r="I188" s="4"/>
      <c r="J188" s="4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4"/>
      <c r="W188" s="7"/>
      <c r="X188" s="7"/>
      <c r="Y188" s="7"/>
    </row>
    <row r="189">
      <c r="A189" s="4"/>
      <c r="B189" s="4"/>
      <c r="C189" s="8"/>
      <c r="D189" s="5"/>
      <c r="E189" s="6"/>
      <c r="F189" s="6"/>
      <c r="G189" s="6"/>
      <c r="H189" s="4"/>
      <c r="I189" s="4"/>
      <c r="J189" s="4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4"/>
      <c r="W189" s="7"/>
      <c r="X189" s="7"/>
      <c r="Y189" s="7"/>
    </row>
    <row r="190">
      <c r="A190" s="4"/>
      <c r="B190" s="4"/>
      <c r="C190" s="8"/>
      <c r="D190" s="5"/>
      <c r="E190" s="6"/>
      <c r="F190" s="6"/>
      <c r="G190" s="6"/>
      <c r="H190" s="4"/>
      <c r="I190" s="4"/>
      <c r="J190" s="4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4"/>
      <c r="W190" s="7"/>
      <c r="X190" s="7"/>
      <c r="Y190" s="7"/>
    </row>
    <row r="191">
      <c r="A191" s="4"/>
      <c r="B191" s="4"/>
      <c r="C191" s="8"/>
      <c r="D191" s="5"/>
      <c r="E191" s="6"/>
      <c r="F191" s="6"/>
      <c r="G191" s="6"/>
      <c r="H191" s="4"/>
      <c r="I191" s="4"/>
      <c r="J191" s="4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4"/>
      <c r="W191" s="7"/>
      <c r="X191" s="7"/>
      <c r="Y191" s="7"/>
    </row>
    <row r="192">
      <c r="A192" s="4"/>
      <c r="B192" s="4"/>
      <c r="C192" s="8"/>
      <c r="D192" s="5"/>
      <c r="E192" s="6"/>
      <c r="F192" s="6"/>
      <c r="G192" s="6"/>
      <c r="H192" s="4"/>
      <c r="I192" s="4"/>
      <c r="J192" s="4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4"/>
      <c r="W192" s="7"/>
      <c r="X192" s="7"/>
      <c r="Y192" s="7"/>
    </row>
    <row r="193">
      <c r="A193" s="4"/>
      <c r="B193" s="4"/>
      <c r="C193" s="8"/>
      <c r="D193" s="5"/>
      <c r="E193" s="6"/>
      <c r="F193" s="6"/>
      <c r="G193" s="6"/>
      <c r="H193" s="4"/>
      <c r="I193" s="4"/>
      <c r="J193" s="4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4"/>
      <c r="W193" s="7"/>
      <c r="X193" s="7"/>
      <c r="Y193" s="7"/>
    </row>
    <row r="194">
      <c r="A194" s="4"/>
      <c r="B194" s="4"/>
      <c r="C194" s="8"/>
      <c r="D194" s="5"/>
      <c r="E194" s="6"/>
      <c r="F194" s="6"/>
      <c r="G194" s="6"/>
      <c r="H194" s="4"/>
      <c r="I194" s="4"/>
      <c r="J194" s="4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4"/>
      <c r="W194" s="7"/>
      <c r="X194" s="7"/>
      <c r="Y194" s="7"/>
    </row>
    <row r="195">
      <c r="A195" s="4"/>
      <c r="B195" s="4"/>
      <c r="C195" s="8"/>
      <c r="D195" s="5"/>
      <c r="E195" s="6"/>
      <c r="F195" s="6"/>
      <c r="G195" s="6"/>
      <c r="H195" s="4"/>
      <c r="I195" s="4"/>
      <c r="J195" s="4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4"/>
      <c r="W195" s="7"/>
      <c r="X195" s="7"/>
      <c r="Y195" s="7"/>
    </row>
    <row r="196">
      <c r="A196" s="4"/>
      <c r="B196" s="4"/>
      <c r="C196" s="8"/>
      <c r="D196" s="5"/>
      <c r="E196" s="6"/>
      <c r="F196" s="6"/>
      <c r="G196" s="6"/>
      <c r="H196" s="4"/>
      <c r="I196" s="4"/>
      <c r="J196" s="4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4"/>
      <c r="W196" s="7"/>
      <c r="X196" s="7"/>
      <c r="Y196" s="7"/>
    </row>
    <row r="197">
      <c r="A197" s="4"/>
      <c r="B197" s="4"/>
      <c r="C197" s="8"/>
      <c r="D197" s="5"/>
      <c r="E197" s="6"/>
      <c r="F197" s="6"/>
      <c r="G197" s="6"/>
      <c r="H197" s="4"/>
      <c r="I197" s="4"/>
      <c r="J197" s="4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4"/>
      <c r="W197" s="7"/>
      <c r="X197" s="7"/>
      <c r="Y197" s="7"/>
    </row>
    <row r="198">
      <c r="A198" s="4"/>
      <c r="B198" s="4"/>
      <c r="C198" s="8"/>
      <c r="D198" s="5"/>
      <c r="E198" s="6"/>
      <c r="F198" s="6"/>
      <c r="G198" s="6"/>
      <c r="H198" s="4"/>
      <c r="I198" s="4"/>
      <c r="J198" s="4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4"/>
      <c r="W198" s="7"/>
      <c r="X198" s="7"/>
      <c r="Y198" s="7"/>
    </row>
    <row r="199">
      <c r="A199" s="4"/>
      <c r="B199" s="4"/>
      <c r="C199" s="8"/>
      <c r="D199" s="5"/>
      <c r="E199" s="6"/>
      <c r="F199" s="6"/>
      <c r="G199" s="6"/>
      <c r="H199" s="4"/>
      <c r="I199" s="4"/>
      <c r="J199" s="4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4"/>
      <c r="W199" s="7"/>
      <c r="X199" s="7"/>
      <c r="Y199" s="7"/>
    </row>
    <row r="200">
      <c r="A200" s="4"/>
      <c r="B200" s="4"/>
      <c r="C200" s="8"/>
      <c r="D200" s="5"/>
      <c r="E200" s="6"/>
      <c r="F200" s="6"/>
      <c r="G200" s="6"/>
      <c r="H200" s="4"/>
      <c r="I200" s="4"/>
      <c r="J200" s="4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4"/>
      <c r="W200" s="7"/>
      <c r="X200" s="7"/>
      <c r="Y200" s="7"/>
    </row>
    <row r="201">
      <c r="A201" s="4"/>
      <c r="B201" s="4"/>
      <c r="C201" s="8"/>
      <c r="D201" s="5"/>
      <c r="E201" s="6"/>
      <c r="F201" s="6"/>
      <c r="G201" s="6"/>
      <c r="H201" s="4"/>
      <c r="I201" s="4"/>
      <c r="J201" s="4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4"/>
      <c r="B202" s="4"/>
      <c r="C202" s="8"/>
      <c r="D202" s="5"/>
      <c r="E202" s="6"/>
      <c r="F202" s="6"/>
      <c r="G202" s="6"/>
      <c r="H202" s="4"/>
      <c r="I202" s="4"/>
      <c r="J202" s="4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4"/>
      <c r="B203" s="4"/>
      <c r="C203" s="8"/>
      <c r="D203" s="5"/>
      <c r="E203" s="6"/>
      <c r="F203" s="6"/>
      <c r="G203" s="6"/>
      <c r="H203" s="4"/>
      <c r="I203" s="4"/>
      <c r="J203" s="4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4"/>
      <c r="B204" s="4"/>
      <c r="C204" s="8"/>
      <c r="D204" s="5"/>
      <c r="E204" s="6"/>
      <c r="F204" s="6"/>
      <c r="G204" s="6"/>
      <c r="H204" s="4"/>
      <c r="I204" s="4"/>
      <c r="J204" s="4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4"/>
      <c r="B205" s="4"/>
      <c r="C205" s="8"/>
      <c r="D205" s="5"/>
      <c r="E205" s="6"/>
      <c r="F205" s="6"/>
      <c r="G205" s="6"/>
      <c r="H205" s="4"/>
      <c r="I205" s="4"/>
      <c r="J205" s="4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4"/>
      <c r="B206" s="4"/>
      <c r="C206" s="8"/>
      <c r="D206" s="5"/>
      <c r="E206" s="6"/>
      <c r="F206" s="6"/>
      <c r="G206" s="6"/>
      <c r="H206" s="4"/>
      <c r="I206" s="4"/>
      <c r="J206" s="4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4"/>
      <c r="B207" s="4"/>
      <c r="C207" s="8"/>
      <c r="D207" s="5"/>
      <c r="E207" s="6"/>
      <c r="F207" s="6"/>
      <c r="G207" s="6"/>
      <c r="H207" s="4"/>
      <c r="I207" s="4"/>
      <c r="J207" s="4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4"/>
      <c r="B208" s="4"/>
      <c r="C208" s="8"/>
      <c r="D208" s="5"/>
      <c r="E208" s="6"/>
      <c r="F208" s="6"/>
      <c r="G208" s="6"/>
      <c r="H208" s="4"/>
      <c r="I208" s="4"/>
      <c r="J208" s="4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4"/>
      <c r="B209" s="4"/>
      <c r="C209" s="8"/>
      <c r="D209" s="5"/>
      <c r="E209" s="6"/>
      <c r="F209" s="6"/>
      <c r="G209" s="6"/>
      <c r="H209" s="4"/>
      <c r="I209" s="4"/>
      <c r="J209" s="4"/>
      <c r="K209" s="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4"/>
      <c r="B210" s="4"/>
      <c r="C210" s="8"/>
      <c r="D210" s="5"/>
      <c r="E210" s="6"/>
      <c r="F210" s="6"/>
      <c r="G210" s="6"/>
      <c r="H210" s="4"/>
      <c r="I210" s="4"/>
      <c r="J210" s="4"/>
      <c r="K210" s="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4"/>
      <c r="B211" s="4"/>
      <c r="C211" s="8"/>
      <c r="D211" s="5"/>
      <c r="E211" s="6"/>
      <c r="F211" s="6"/>
      <c r="G211" s="6"/>
      <c r="H211" s="4"/>
      <c r="I211" s="4"/>
      <c r="J211" s="4"/>
      <c r="K211" s="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4"/>
      <c r="B212" s="4"/>
      <c r="C212" s="8"/>
      <c r="D212" s="5"/>
      <c r="E212" s="6"/>
      <c r="F212" s="6"/>
      <c r="G212" s="6"/>
      <c r="H212" s="4"/>
      <c r="I212" s="4"/>
      <c r="J212" s="4"/>
      <c r="K212" s="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4"/>
      <c r="B213" s="4"/>
      <c r="C213" s="8"/>
      <c r="D213" s="5"/>
      <c r="E213" s="6"/>
      <c r="F213" s="6"/>
      <c r="G213" s="6"/>
      <c r="H213" s="4"/>
      <c r="I213" s="4"/>
      <c r="J213" s="4"/>
      <c r="K213" s="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4"/>
      <c r="B214" s="4"/>
      <c r="C214" s="8"/>
      <c r="D214" s="5"/>
      <c r="E214" s="6"/>
      <c r="F214" s="6"/>
      <c r="G214" s="6"/>
      <c r="H214" s="4"/>
      <c r="I214" s="4"/>
      <c r="J214" s="4"/>
      <c r="K214" s="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4"/>
      <c r="B215" s="4"/>
      <c r="C215" s="8"/>
      <c r="D215" s="5"/>
      <c r="E215" s="6"/>
      <c r="F215" s="6"/>
      <c r="G215" s="6"/>
      <c r="H215" s="4"/>
      <c r="I215" s="4"/>
      <c r="J215" s="4"/>
      <c r="K215" s="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4"/>
      <c r="B216" s="4"/>
      <c r="C216" s="8"/>
      <c r="D216" s="5"/>
      <c r="E216" s="6"/>
      <c r="F216" s="6"/>
      <c r="G216" s="6"/>
      <c r="H216" s="4"/>
      <c r="I216" s="4"/>
      <c r="J216" s="4"/>
      <c r="K216" s="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4"/>
      <c r="B217" s="4"/>
      <c r="C217" s="8"/>
      <c r="D217" s="5"/>
      <c r="E217" s="6"/>
      <c r="F217" s="6"/>
      <c r="G217" s="6"/>
      <c r="H217" s="4"/>
      <c r="I217" s="4"/>
      <c r="J217" s="4"/>
      <c r="K217" s="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4"/>
      <c r="B218" s="4"/>
      <c r="C218" s="8"/>
      <c r="D218" s="5"/>
      <c r="E218" s="6"/>
      <c r="F218" s="6"/>
      <c r="G218" s="6"/>
      <c r="H218" s="4"/>
      <c r="I218" s="4"/>
      <c r="J218" s="4"/>
      <c r="K218" s="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4"/>
      <c r="B219" s="4"/>
      <c r="C219" s="8"/>
      <c r="D219" s="5"/>
      <c r="E219" s="6"/>
      <c r="F219" s="6"/>
      <c r="G219" s="6"/>
      <c r="H219" s="4"/>
      <c r="I219" s="4"/>
      <c r="J219" s="4"/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4"/>
      <c r="B220" s="4"/>
      <c r="C220" s="8"/>
      <c r="D220" s="5"/>
      <c r="E220" s="6"/>
      <c r="F220" s="6"/>
      <c r="G220" s="6"/>
      <c r="H220" s="4"/>
      <c r="I220" s="4"/>
      <c r="J220" s="4"/>
      <c r="K220" s="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4"/>
      <c r="B221" s="4"/>
      <c r="C221" s="8"/>
      <c r="D221" s="5"/>
      <c r="E221" s="6"/>
      <c r="F221" s="6"/>
      <c r="G221" s="6"/>
      <c r="H221" s="4"/>
      <c r="I221" s="4"/>
      <c r="J221" s="4"/>
      <c r="K221" s="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4"/>
      <c r="B222" s="4"/>
      <c r="C222" s="8"/>
      <c r="D222" s="5"/>
      <c r="E222" s="6"/>
      <c r="F222" s="6"/>
      <c r="G222" s="6"/>
      <c r="H222" s="4"/>
      <c r="I222" s="4"/>
      <c r="J222" s="4"/>
      <c r="K222" s="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4"/>
      <c r="B223" s="4"/>
      <c r="C223" s="8"/>
      <c r="D223" s="5"/>
      <c r="E223" s="6"/>
      <c r="F223" s="6"/>
      <c r="G223" s="6"/>
      <c r="H223" s="4"/>
      <c r="I223" s="4"/>
      <c r="J223" s="4"/>
      <c r="K223" s="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4"/>
      <c r="B224" s="4"/>
      <c r="C224" s="8"/>
      <c r="D224" s="5"/>
      <c r="E224" s="6"/>
      <c r="F224" s="6"/>
      <c r="G224" s="6"/>
      <c r="H224" s="4"/>
      <c r="I224" s="4"/>
      <c r="J224" s="4"/>
      <c r="K224" s="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4"/>
      <c r="B225" s="4"/>
      <c r="C225" s="8"/>
      <c r="D225" s="5"/>
      <c r="E225" s="6"/>
      <c r="F225" s="6"/>
      <c r="G225" s="6"/>
      <c r="H225" s="4"/>
      <c r="I225" s="4"/>
      <c r="J225" s="4"/>
      <c r="K225" s="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4"/>
      <c r="B226" s="4"/>
      <c r="C226" s="8"/>
      <c r="D226" s="5"/>
      <c r="E226" s="6"/>
      <c r="F226" s="6"/>
      <c r="G226" s="6"/>
      <c r="H226" s="4"/>
      <c r="I226" s="4"/>
      <c r="J226" s="4"/>
      <c r="K226" s="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4"/>
      <c r="B227" s="4"/>
      <c r="C227" s="8"/>
      <c r="D227" s="5"/>
      <c r="E227" s="6"/>
      <c r="F227" s="6"/>
      <c r="G227" s="6"/>
      <c r="H227" s="4"/>
      <c r="I227" s="4"/>
      <c r="J227" s="4"/>
      <c r="K227" s="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4"/>
      <c r="B228" s="4"/>
      <c r="C228" s="8"/>
      <c r="D228" s="5"/>
      <c r="E228" s="6"/>
      <c r="F228" s="6"/>
      <c r="G228" s="6"/>
      <c r="H228" s="4"/>
      <c r="I228" s="4"/>
      <c r="J228" s="4"/>
      <c r="K228" s="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4"/>
      <c r="B229" s="4"/>
      <c r="C229" s="8"/>
      <c r="D229" s="5"/>
      <c r="E229" s="6"/>
      <c r="F229" s="6"/>
      <c r="G229" s="6"/>
      <c r="H229" s="4"/>
      <c r="I229" s="4"/>
      <c r="J229" s="4"/>
      <c r="K229" s="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4"/>
      <c r="B230" s="4"/>
      <c r="C230" s="4"/>
      <c r="D230" s="5"/>
      <c r="E230" s="6"/>
      <c r="F230" s="6"/>
      <c r="G230" s="6"/>
      <c r="H230" s="4"/>
      <c r="I230" s="4"/>
      <c r="J230" s="4"/>
      <c r="K230" s="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4"/>
      <c r="B231" s="4"/>
      <c r="C231" s="4"/>
      <c r="D231" s="5"/>
      <c r="E231" s="6"/>
      <c r="F231" s="6"/>
      <c r="G231" s="6"/>
      <c r="H231" s="4"/>
      <c r="I231" s="4"/>
      <c r="J231" s="4"/>
      <c r="K231" s="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4"/>
      <c r="B232" s="4"/>
      <c r="C232" s="4"/>
      <c r="D232" s="5"/>
      <c r="E232" s="6"/>
      <c r="F232" s="6"/>
      <c r="G232" s="6"/>
      <c r="H232" s="4"/>
      <c r="I232" s="4"/>
      <c r="J232" s="4"/>
      <c r="K232" s="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4"/>
      <c r="B233" s="4"/>
      <c r="C233" s="8"/>
      <c r="D233" s="5"/>
      <c r="E233" s="6"/>
      <c r="F233" s="6"/>
      <c r="G233" s="6"/>
      <c r="H233" s="4"/>
      <c r="I233" s="4"/>
      <c r="J233" s="4"/>
      <c r="K233" s="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4"/>
      <c r="B234" s="4"/>
      <c r="C234" s="8"/>
      <c r="D234" s="5"/>
      <c r="E234" s="6"/>
      <c r="F234" s="6"/>
      <c r="G234" s="6"/>
      <c r="H234" s="4"/>
      <c r="I234" s="4"/>
      <c r="J234" s="4"/>
      <c r="K234" s="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4"/>
      <c r="B235" s="4"/>
      <c r="C235" s="8"/>
      <c r="D235" s="5"/>
      <c r="E235" s="6"/>
      <c r="F235" s="6"/>
      <c r="G235" s="6"/>
      <c r="H235" s="4"/>
      <c r="I235" s="4"/>
      <c r="J235" s="4"/>
      <c r="K235" s="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4"/>
      <c r="B236" s="4"/>
      <c r="C236" s="8"/>
      <c r="D236" s="5"/>
      <c r="E236" s="6"/>
      <c r="F236" s="6"/>
      <c r="G236" s="6"/>
      <c r="H236" s="4"/>
      <c r="I236" s="4"/>
      <c r="J236" s="4"/>
      <c r="K236" s="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4"/>
      <c r="B237" s="4"/>
      <c r="C237" s="8"/>
      <c r="D237" s="5"/>
      <c r="E237" s="6"/>
      <c r="F237" s="6"/>
      <c r="G237" s="6"/>
      <c r="H237" s="4"/>
      <c r="I237" s="4"/>
      <c r="J237" s="4"/>
      <c r="K237" s="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4"/>
      <c r="B238" s="4"/>
      <c r="C238" s="8"/>
      <c r="D238" s="5"/>
      <c r="E238" s="6"/>
      <c r="F238" s="6"/>
      <c r="G238" s="6"/>
      <c r="H238" s="4"/>
      <c r="I238" s="4"/>
      <c r="J238" s="4"/>
      <c r="K238" s="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4"/>
      <c r="B239" s="4"/>
      <c r="C239" s="8"/>
      <c r="D239" s="5"/>
      <c r="E239" s="6"/>
      <c r="F239" s="6"/>
      <c r="G239" s="6"/>
      <c r="H239" s="4"/>
      <c r="I239" s="4"/>
      <c r="J239" s="4"/>
      <c r="K239" s="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4"/>
      <c r="B240" s="4"/>
      <c r="C240" s="8"/>
      <c r="D240" s="9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11"/>
      <c r="D241" s="9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11"/>
      <c r="D242" s="9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11"/>
      <c r="D243" s="9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11"/>
      <c r="D244" s="9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11"/>
      <c r="D245" s="9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11"/>
      <c r="D246" s="9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11"/>
      <c r="D247" s="9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11"/>
      <c r="D248" s="9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11"/>
      <c r="D249" s="9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11"/>
      <c r="D250" s="9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11"/>
      <c r="D251" s="9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11"/>
      <c r="D252" s="9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11"/>
      <c r="D253" s="9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11"/>
      <c r="D254" s="9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11"/>
      <c r="D255" s="9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11"/>
      <c r="D256" s="9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11"/>
      <c r="D257" s="9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11"/>
      <c r="D258" s="9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11"/>
      <c r="D259" s="9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11"/>
      <c r="D260" s="9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11"/>
      <c r="D261" s="9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11"/>
      <c r="D262" s="9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11"/>
      <c r="D263" s="9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11"/>
      <c r="D264" s="9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11"/>
      <c r="D265" s="9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11"/>
      <c r="D266" s="9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11"/>
      <c r="D267" s="9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11"/>
      <c r="D268" s="9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11"/>
      <c r="D269" s="9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11"/>
      <c r="D270" s="9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11"/>
      <c r="D271" s="9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11"/>
      <c r="D272" s="9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11"/>
      <c r="D273" s="9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11"/>
      <c r="D274" s="9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11"/>
      <c r="D275" s="9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11"/>
      <c r="D276" s="9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11"/>
      <c r="D277" s="9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11"/>
      <c r="D278" s="9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11"/>
      <c r="D279" s="9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11"/>
      <c r="D280" s="9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11"/>
      <c r="D281" s="9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11"/>
      <c r="D282" s="9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11"/>
      <c r="D283" s="9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11"/>
      <c r="D284" s="9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11"/>
      <c r="D285" s="9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11"/>
      <c r="D286" s="9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11"/>
      <c r="D287" s="9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11"/>
      <c r="D288" s="9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11"/>
      <c r="D289" s="9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11"/>
      <c r="D290" s="9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11"/>
      <c r="D291" s="9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11"/>
      <c r="D292" s="9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11"/>
      <c r="D293" s="9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11"/>
      <c r="D294" s="9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11"/>
      <c r="D295" s="9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11"/>
      <c r="D296" s="9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11"/>
      <c r="D297" s="9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11"/>
      <c r="D298" s="9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11"/>
      <c r="D299" s="9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11"/>
      <c r="D300" s="9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11"/>
      <c r="D301" s="9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11"/>
      <c r="D302" s="9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11"/>
      <c r="D303" s="9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11"/>
      <c r="D304" s="9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11"/>
      <c r="D305" s="9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11"/>
      <c r="D306" s="9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11"/>
      <c r="D307" s="9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11"/>
      <c r="D308" s="9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11"/>
      <c r="D309" s="9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11"/>
      <c r="D310" s="9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11"/>
      <c r="D311" s="9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11"/>
      <c r="D312" s="9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11"/>
      <c r="D313" s="9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11"/>
      <c r="D314" s="9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11"/>
      <c r="D315" s="9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11"/>
      <c r="D316" s="9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11"/>
      <c r="D317" s="9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11"/>
      <c r="D318" s="9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11"/>
      <c r="D319" s="9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11"/>
      <c r="D320" s="9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11"/>
      <c r="D321" s="9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11"/>
      <c r="D322" s="9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11"/>
      <c r="D323" s="9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11"/>
      <c r="D324" s="9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11"/>
      <c r="D325" s="9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11"/>
      <c r="D326" s="9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11"/>
      <c r="D327" s="9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11"/>
      <c r="D328" s="9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11"/>
      <c r="D329" s="9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11"/>
      <c r="D330" s="9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11"/>
      <c r="D331" s="9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11"/>
      <c r="D332" s="9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11"/>
      <c r="D333" s="9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11"/>
      <c r="D334" s="9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11"/>
      <c r="D335" s="9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11"/>
      <c r="D336" s="9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11"/>
      <c r="D337" s="9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11"/>
      <c r="D338" s="9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11"/>
      <c r="D339" s="9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11"/>
      <c r="D340" s="9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11"/>
      <c r="D341" s="9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11"/>
      <c r="D342" s="9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11"/>
      <c r="D343" s="9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11"/>
      <c r="D344" s="9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11"/>
      <c r="D345" s="9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11"/>
      <c r="D346" s="9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11"/>
      <c r="D347" s="9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11"/>
      <c r="D348" s="9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11"/>
      <c r="D349" s="9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11"/>
      <c r="D350" s="9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11"/>
      <c r="D351" s="9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11"/>
      <c r="D352" s="9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11"/>
      <c r="D353" s="9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11"/>
      <c r="D354" s="9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11"/>
      <c r="D355" s="9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11"/>
      <c r="D356" s="9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11"/>
      <c r="D357" s="9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11"/>
      <c r="D358" s="9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11"/>
      <c r="D359" s="9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11"/>
      <c r="D360" s="9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11"/>
      <c r="D361" s="9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11"/>
      <c r="D362" s="9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11"/>
      <c r="D363" s="9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11"/>
      <c r="D364" s="9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11"/>
      <c r="D365" s="9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11"/>
      <c r="D366" s="9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11"/>
      <c r="D367" s="9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11"/>
      <c r="D368" s="9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11"/>
      <c r="D369" s="9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11"/>
      <c r="D370" s="9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11"/>
      <c r="D371" s="9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11"/>
      <c r="D372" s="9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11"/>
      <c r="D373" s="9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11"/>
      <c r="D374" s="9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11"/>
      <c r="D375" s="9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11"/>
      <c r="D376" s="9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11"/>
      <c r="D377" s="9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11"/>
      <c r="D378" s="9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11"/>
      <c r="D379" s="9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11"/>
      <c r="D380" s="9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11"/>
      <c r="D381" s="9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11"/>
      <c r="D382" s="9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11"/>
      <c r="D383" s="9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11"/>
      <c r="D384" s="9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11"/>
      <c r="D385" s="9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11"/>
      <c r="D386" s="9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11"/>
      <c r="D387" s="9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11"/>
      <c r="D388" s="9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11"/>
      <c r="D389" s="9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11"/>
      <c r="D390" s="9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11"/>
      <c r="D391" s="9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11"/>
      <c r="D392" s="9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11"/>
      <c r="D393" s="9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11"/>
      <c r="D394" s="9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11"/>
      <c r="D395" s="9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11"/>
      <c r="D396" s="9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11"/>
      <c r="D397" s="9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11"/>
      <c r="D398" s="9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11"/>
      <c r="D399" s="9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11"/>
      <c r="D400" s="9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11"/>
      <c r="D401" s="9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11"/>
      <c r="D402" s="9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11"/>
      <c r="D403" s="9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11"/>
      <c r="D404" s="9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11"/>
      <c r="D405" s="9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11"/>
      <c r="D406" s="9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11"/>
      <c r="D407" s="9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11"/>
      <c r="D408" s="9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11"/>
      <c r="D409" s="9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11"/>
      <c r="D410" s="9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11"/>
      <c r="D411" s="9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11"/>
      <c r="D412" s="9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11"/>
      <c r="D413" s="9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11"/>
      <c r="D414" s="9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11"/>
      <c r="D415" s="9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11"/>
      <c r="D416" s="9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11"/>
      <c r="D417" s="9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11"/>
      <c r="D418" s="9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11"/>
      <c r="D419" s="9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11"/>
      <c r="D420" s="9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11"/>
      <c r="D421" s="9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11"/>
      <c r="D422" s="9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11"/>
      <c r="D423" s="9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11"/>
      <c r="D424" s="9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11"/>
      <c r="D425" s="9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11"/>
      <c r="D426" s="9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11"/>
      <c r="D427" s="9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11"/>
      <c r="D428" s="9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11"/>
      <c r="D429" s="9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11"/>
      <c r="D430" s="9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11"/>
      <c r="D431" s="9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11"/>
      <c r="D432" s="9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11"/>
      <c r="D433" s="9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11"/>
      <c r="D434" s="9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11"/>
      <c r="D435" s="9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11"/>
      <c r="D436" s="9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11"/>
      <c r="D437" s="9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11"/>
      <c r="D438" s="9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11"/>
      <c r="D439" s="9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11"/>
      <c r="D440" s="9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11"/>
      <c r="D441" s="9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11"/>
      <c r="D442" s="9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11"/>
      <c r="D443" s="9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11"/>
      <c r="D444" s="9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11"/>
      <c r="D445" s="9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11"/>
      <c r="D446" s="9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11"/>
      <c r="D447" s="9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11"/>
      <c r="D448" s="9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11"/>
      <c r="D449" s="9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11"/>
      <c r="D450" s="9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11"/>
      <c r="D451" s="9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11"/>
      <c r="D452" s="9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11"/>
      <c r="D453" s="9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11"/>
      <c r="D454" s="9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11"/>
      <c r="D455" s="9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11"/>
      <c r="D456" s="9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11"/>
      <c r="D457" s="9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11"/>
      <c r="D458" s="9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11"/>
      <c r="D459" s="9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11"/>
      <c r="D460" s="9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11"/>
      <c r="D461" s="9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11"/>
      <c r="D462" s="9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11"/>
      <c r="D463" s="9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11"/>
      <c r="D464" s="9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11"/>
      <c r="D465" s="9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11"/>
      <c r="D466" s="9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11"/>
      <c r="D467" s="9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11"/>
      <c r="D468" s="9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11"/>
      <c r="D469" s="9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11"/>
      <c r="D470" s="9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11"/>
      <c r="D471" s="9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11"/>
      <c r="D472" s="9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11"/>
      <c r="D473" s="9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11"/>
      <c r="D474" s="9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11"/>
      <c r="D475" s="9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11"/>
      <c r="D476" s="9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11"/>
      <c r="D477" s="9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11"/>
      <c r="D478" s="9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11"/>
      <c r="D479" s="9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11"/>
      <c r="D480" s="9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11"/>
      <c r="D481" s="9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11"/>
      <c r="D482" s="9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11"/>
      <c r="D483" s="9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11"/>
      <c r="D484" s="9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11"/>
      <c r="D485" s="9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11"/>
      <c r="D486" s="9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11"/>
      <c r="D487" s="9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11"/>
      <c r="D488" s="9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11"/>
      <c r="D489" s="9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11"/>
      <c r="D490" s="9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11"/>
      <c r="D491" s="9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11"/>
      <c r="D492" s="9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11"/>
      <c r="D493" s="9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11"/>
      <c r="D494" s="9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11"/>
      <c r="D495" s="9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11"/>
      <c r="D496" s="9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11"/>
      <c r="D497" s="9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11"/>
      <c r="D498" s="9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11"/>
      <c r="D499" s="9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11"/>
      <c r="D500" s="9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11"/>
      <c r="D501" s="9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11"/>
      <c r="D502" s="9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11"/>
      <c r="D503" s="9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11"/>
      <c r="D504" s="9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11"/>
      <c r="D505" s="9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11"/>
      <c r="D506" s="9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11"/>
      <c r="D507" s="9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11"/>
      <c r="D508" s="9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11"/>
      <c r="D509" s="9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11"/>
      <c r="D510" s="9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11"/>
      <c r="D511" s="9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11"/>
      <c r="D512" s="9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11"/>
      <c r="D513" s="9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11"/>
      <c r="D514" s="9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11"/>
      <c r="D515" s="9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11"/>
      <c r="D516" s="9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11"/>
      <c r="D517" s="9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11"/>
      <c r="D518" s="9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11"/>
      <c r="D519" s="9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11"/>
      <c r="D520" s="9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11"/>
      <c r="D521" s="9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11"/>
      <c r="D522" s="9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11"/>
      <c r="D523" s="9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11"/>
      <c r="D524" s="9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11"/>
      <c r="D525" s="9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11"/>
      <c r="D526" s="9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11"/>
      <c r="D527" s="9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11"/>
      <c r="D528" s="9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11"/>
      <c r="D529" s="9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11"/>
      <c r="D530" s="9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11"/>
      <c r="D531" s="9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11"/>
      <c r="D532" s="9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11"/>
      <c r="D533" s="9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11"/>
      <c r="D534" s="9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11"/>
      <c r="D535" s="9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11"/>
      <c r="D536" s="9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11"/>
      <c r="D537" s="9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11"/>
      <c r="D538" s="9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11"/>
      <c r="D539" s="9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11"/>
      <c r="D540" s="9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11"/>
      <c r="D541" s="9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11"/>
      <c r="D542" s="9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11"/>
      <c r="D543" s="9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11"/>
      <c r="D544" s="9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11"/>
      <c r="D545" s="9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11"/>
      <c r="D546" s="9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11"/>
      <c r="D547" s="9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11"/>
      <c r="D548" s="9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11"/>
      <c r="D549" s="9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11"/>
      <c r="D550" s="9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11"/>
      <c r="D551" s="9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11"/>
      <c r="D552" s="9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11"/>
      <c r="D553" s="9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11"/>
      <c r="D554" s="9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11"/>
      <c r="D555" s="9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11"/>
      <c r="D556" s="9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11"/>
      <c r="D557" s="9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11"/>
      <c r="D558" s="9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11"/>
      <c r="D559" s="9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11"/>
      <c r="D560" s="9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11"/>
      <c r="D561" s="9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11"/>
      <c r="D562" s="9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11"/>
      <c r="D563" s="9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11"/>
      <c r="D564" s="9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11"/>
      <c r="D565" s="9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11"/>
      <c r="D566" s="9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11"/>
      <c r="D567" s="9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11"/>
      <c r="D568" s="9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11"/>
      <c r="D569" s="9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11"/>
      <c r="D570" s="9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11"/>
      <c r="D571" s="9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11"/>
      <c r="D572" s="9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11"/>
      <c r="D573" s="9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11"/>
      <c r="D574" s="9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11"/>
      <c r="D575" s="9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11"/>
      <c r="D576" s="9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11"/>
      <c r="D577" s="9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11"/>
      <c r="D578" s="9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11"/>
      <c r="D579" s="9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11"/>
      <c r="D580" s="9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11"/>
      <c r="D581" s="9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11"/>
      <c r="D582" s="9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11"/>
      <c r="D583" s="9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11"/>
      <c r="D584" s="9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11"/>
      <c r="D585" s="9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11"/>
      <c r="D586" s="9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11"/>
      <c r="D587" s="9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11"/>
      <c r="D588" s="9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11"/>
      <c r="D589" s="9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11"/>
      <c r="D590" s="9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11"/>
      <c r="D591" s="9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11"/>
      <c r="D592" s="9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11"/>
      <c r="D593" s="9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11"/>
      <c r="D594" s="9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11"/>
      <c r="D595" s="9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11"/>
      <c r="D596" s="9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11"/>
      <c r="D597" s="9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11"/>
      <c r="D598" s="9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11"/>
      <c r="D599" s="9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11"/>
      <c r="D600" s="9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11"/>
      <c r="D601" s="9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11"/>
      <c r="D602" s="9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11"/>
      <c r="D603" s="9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11"/>
      <c r="D604" s="9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11"/>
      <c r="D605" s="9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11"/>
      <c r="D606" s="9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11"/>
      <c r="D607" s="9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11"/>
      <c r="D608" s="9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11"/>
      <c r="D609" s="9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11"/>
      <c r="D610" s="9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11"/>
      <c r="D611" s="9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11"/>
      <c r="D612" s="9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11"/>
      <c r="D613" s="9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11"/>
      <c r="D614" s="9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11"/>
      <c r="D615" s="9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11"/>
      <c r="D616" s="9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11"/>
      <c r="D617" s="9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11"/>
      <c r="D618" s="9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11"/>
      <c r="D619" s="9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11"/>
      <c r="D620" s="9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11"/>
      <c r="D621" s="9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11"/>
      <c r="D622" s="9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11"/>
      <c r="D623" s="9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11"/>
      <c r="D624" s="9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11"/>
      <c r="D625" s="9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11"/>
      <c r="D626" s="9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11"/>
      <c r="D627" s="9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11"/>
      <c r="D628" s="9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11"/>
      <c r="D629" s="9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11"/>
      <c r="D630" s="9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11"/>
      <c r="D631" s="9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11"/>
      <c r="D632" s="9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11"/>
      <c r="D633" s="9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11"/>
      <c r="D634" s="9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11"/>
      <c r="D635" s="9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11"/>
      <c r="D636" s="9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11"/>
      <c r="D637" s="9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11"/>
      <c r="D638" s="9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11"/>
      <c r="D639" s="9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11"/>
      <c r="D640" s="9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11"/>
      <c r="D641" s="9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11"/>
      <c r="D642" s="9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11"/>
      <c r="D643" s="9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11"/>
      <c r="D644" s="9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11"/>
      <c r="D645" s="9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11"/>
      <c r="D646" s="9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11"/>
      <c r="D647" s="9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11"/>
      <c r="D648" s="9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11"/>
      <c r="D649" s="9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11"/>
      <c r="D650" s="9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11"/>
      <c r="D651" s="9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11"/>
      <c r="D652" s="9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11"/>
      <c r="D653" s="9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11"/>
      <c r="D654" s="9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11"/>
      <c r="D655" s="9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11"/>
      <c r="D656" s="9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11"/>
      <c r="D657" s="9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11"/>
      <c r="D658" s="9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11"/>
      <c r="D659" s="9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11"/>
      <c r="D660" s="9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11"/>
      <c r="D661" s="9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11"/>
      <c r="D662" s="9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11"/>
      <c r="D663" s="9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11"/>
      <c r="D664" s="9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11"/>
      <c r="D665" s="9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11"/>
      <c r="D666" s="9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11"/>
      <c r="D667" s="9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11"/>
      <c r="D668" s="9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11"/>
      <c r="D669" s="9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11"/>
      <c r="D670" s="9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11"/>
      <c r="D671" s="9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11"/>
      <c r="D672" s="9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11"/>
      <c r="D673" s="9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11"/>
      <c r="D674" s="9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11"/>
      <c r="D675" s="9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11"/>
      <c r="D676" s="9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11"/>
      <c r="D677" s="9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11"/>
      <c r="D678" s="9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11"/>
      <c r="D679" s="9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11"/>
      <c r="D680" s="9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11"/>
      <c r="D681" s="9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11"/>
      <c r="D682" s="9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11"/>
      <c r="D683" s="9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11"/>
      <c r="D684" s="9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11"/>
      <c r="D685" s="9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11"/>
      <c r="D686" s="9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11"/>
      <c r="D687" s="9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11"/>
      <c r="D688" s="9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11"/>
      <c r="D689" s="9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11"/>
      <c r="D690" s="9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11"/>
      <c r="D691" s="9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11"/>
      <c r="D692" s="9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11"/>
      <c r="D693" s="9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11"/>
      <c r="D694" s="9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11"/>
      <c r="D695" s="9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11"/>
      <c r="D696" s="9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11"/>
      <c r="D697" s="9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11"/>
      <c r="D698" s="9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11"/>
      <c r="D699" s="9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11"/>
      <c r="D700" s="9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11"/>
      <c r="D701" s="9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11"/>
      <c r="D702" s="9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11"/>
      <c r="D703" s="9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11"/>
      <c r="D704" s="9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11"/>
      <c r="D705" s="9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11"/>
      <c r="D706" s="9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11"/>
      <c r="D707" s="9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11"/>
      <c r="D708" s="9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11"/>
      <c r="D709" s="9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11"/>
      <c r="D710" s="9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11"/>
      <c r="D711" s="9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11"/>
      <c r="D712" s="9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11"/>
      <c r="D713" s="9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11"/>
      <c r="D714" s="9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11"/>
      <c r="D715" s="9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11"/>
      <c r="D716" s="9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11"/>
      <c r="D717" s="9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11"/>
      <c r="D718" s="9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11"/>
      <c r="D719" s="9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11"/>
      <c r="D720" s="9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11"/>
      <c r="D721" s="9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11"/>
      <c r="D722" s="9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11"/>
      <c r="D723" s="9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11"/>
      <c r="D724" s="9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11"/>
      <c r="D725" s="9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11"/>
      <c r="D726" s="9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11"/>
      <c r="D727" s="9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11"/>
      <c r="D728" s="9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11"/>
      <c r="D729" s="9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11"/>
      <c r="D730" s="9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11"/>
      <c r="D731" s="9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11"/>
      <c r="D732" s="9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11"/>
      <c r="D733" s="9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11"/>
      <c r="D734" s="9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11"/>
      <c r="D735" s="9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11"/>
      <c r="D736" s="9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11"/>
      <c r="D737" s="9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11"/>
      <c r="D738" s="9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11"/>
      <c r="D739" s="9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11"/>
      <c r="D740" s="9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11"/>
      <c r="D741" s="9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11"/>
      <c r="D742" s="9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11"/>
      <c r="D743" s="9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11"/>
      <c r="D744" s="9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11"/>
      <c r="D745" s="9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11"/>
      <c r="D746" s="9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11"/>
      <c r="D747" s="9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11"/>
      <c r="D748" s="9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11"/>
      <c r="D749" s="9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11"/>
      <c r="D750" s="9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11"/>
      <c r="D751" s="9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11"/>
      <c r="D752" s="9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11"/>
      <c r="D753" s="9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11"/>
      <c r="D754" s="9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11"/>
      <c r="D755" s="9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11"/>
      <c r="D756" s="9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11"/>
      <c r="D757" s="9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11"/>
      <c r="D758" s="9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11"/>
      <c r="D759" s="9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11"/>
      <c r="D760" s="9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11"/>
      <c r="D761" s="9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11"/>
      <c r="D762" s="9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11"/>
      <c r="D763" s="9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11"/>
      <c r="D764" s="9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11"/>
      <c r="D765" s="9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11"/>
      <c r="D766" s="9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11"/>
      <c r="D767" s="9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11"/>
      <c r="D768" s="9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11"/>
      <c r="D769" s="9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11"/>
      <c r="D770" s="9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11"/>
      <c r="D771" s="9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11"/>
      <c r="D772" s="9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11"/>
      <c r="D773" s="9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11"/>
      <c r="D774" s="9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11"/>
      <c r="D775" s="9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11"/>
      <c r="D776" s="9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11"/>
      <c r="D777" s="9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11"/>
      <c r="D778" s="9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11"/>
      <c r="D779" s="9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11"/>
      <c r="D780" s="9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11"/>
      <c r="D781" s="9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11"/>
      <c r="D782" s="9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11"/>
      <c r="D783" s="9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11"/>
      <c r="D784" s="9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11"/>
      <c r="D785" s="9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11"/>
      <c r="D786" s="9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11"/>
      <c r="D787" s="9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11"/>
      <c r="D788" s="9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11"/>
      <c r="D789" s="9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11"/>
      <c r="D790" s="9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11"/>
      <c r="D791" s="9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11"/>
      <c r="D792" s="9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11"/>
      <c r="D793" s="9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11"/>
      <c r="D794" s="9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11"/>
      <c r="D795" s="9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11"/>
      <c r="D796" s="9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11"/>
      <c r="D797" s="9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11"/>
      <c r="D798" s="9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11"/>
      <c r="D799" s="9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11"/>
      <c r="D800" s="9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11"/>
      <c r="D801" s="9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11"/>
      <c r="D802" s="9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11"/>
      <c r="D803" s="9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11"/>
      <c r="D804" s="9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11"/>
      <c r="D805" s="9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11"/>
      <c r="D806" s="9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11"/>
      <c r="D807" s="9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11"/>
      <c r="D808" s="9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11"/>
      <c r="D809" s="9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11"/>
      <c r="D810" s="9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11"/>
      <c r="D811" s="9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11"/>
      <c r="D812" s="9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11"/>
      <c r="D813" s="9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11"/>
      <c r="D814" s="9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11"/>
      <c r="D815" s="9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11"/>
      <c r="D816" s="9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11"/>
      <c r="D817" s="9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11"/>
      <c r="D818" s="9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11"/>
      <c r="D819" s="9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11"/>
      <c r="D820" s="9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11"/>
      <c r="D821" s="9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11"/>
      <c r="D822" s="9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11"/>
      <c r="D823" s="9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11"/>
      <c r="D824" s="9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11"/>
      <c r="D825" s="9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11"/>
      <c r="D826" s="9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11"/>
      <c r="D827" s="9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11"/>
      <c r="D828" s="9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11"/>
      <c r="D829" s="9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11"/>
      <c r="D830" s="9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11"/>
      <c r="D831" s="9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11"/>
      <c r="D832" s="9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11"/>
      <c r="D833" s="9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11"/>
      <c r="D834" s="9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11"/>
      <c r="D835" s="9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11"/>
      <c r="D836" s="9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11"/>
      <c r="D837" s="9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11"/>
      <c r="D838" s="9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11"/>
      <c r="D839" s="9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11"/>
      <c r="D840" s="9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11"/>
      <c r="D841" s="9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11"/>
      <c r="D842" s="9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11"/>
      <c r="D843" s="9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11"/>
      <c r="D844" s="9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11"/>
      <c r="D845" s="9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11"/>
      <c r="D846" s="9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11"/>
      <c r="D847" s="9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11"/>
      <c r="D848" s="9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11"/>
      <c r="D849" s="9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11"/>
      <c r="D850" s="9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11"/>
      <c r="D851" s="9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11"/>
      <c r="D852" s="9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11"/>
      <c r="D853" s="9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11"/>
      <c r="D854" s="9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11"/>
      <c r="D855" s="9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11"/>
      <c r="D856" s="9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11"/>
      <c r="D857" s="9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11"/>
      <c r="D858" s="9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11"/>
      <c r="D859" s="9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11"/>
      <c r="D860" s="9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11"/>
      <c r="D861" s="9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11"/>
      <c r="D862" s="9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11"/>
      <c r="D863" s="9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11"/>
      <c r="D864" s="9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11"/>
      <c r="D865" s="9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11"/>
      <c r="D866" s="9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11"/>
      <c r="D867" s="9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11"/>
      <c r="D868" s="9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11"/>
      <c r="D869" s="9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11"/>
      <c r="D870" s="9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11"/>
      <c r="D871" s="9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11"/>
      <c r="D872" s="9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11"/>
      <c r="D873" s="9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11"/>
      <c r="D874" s="9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11"/>
      <c r="D875" s="9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11"/>
      <c r="D876" s="9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11"/>
      <c r="D877" s="9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11"/>
      <c r="D878" s="9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11"/>
      <c r="D879" s="9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11"/>
      <c r="D880" s="9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11"/>
      <c r="D881" s="9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11"/>
      <c r="D882" s="9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11"/>
      <c r="D883" s="9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11"/>
      <c r="D884" s="9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11"/>
      <c r="D885" s="9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11"/>
      <c r="D886" s="9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11"/>
      <c r="D887" s="9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11"/>
      <c r="D888" s="9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11"/>
      <c r="D889" s="9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11"/>
      <c r="D890" s="9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11"/>
      <c r="D891" s="9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11"/>
      <c r="D892" s="9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11"/>
      <c r="D893" s="9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11"/>
      <c r="D894" s="9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11"/>
      <c r="D895" s="9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11"/>
      <c r="D896" s="9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11"/>
      <c r="D897" s="9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11"/>
      <c r="D898" s="9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11"/>
      <c r="D899" s="9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11"/>
      <c r="D900" s="9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11"/>
      <c r="D901" s="9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11"/>
      <c r="D902" s="9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11"/>
      <c r="D903" s="9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11"/>
      <c r="D904" s="9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11"/>
      <c r="D905" s="9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11"/>
      <c r="D906" s="9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11"/>
      <c r="D907" s="9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11"/>
      <c r="D908" s="9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11"/>
      <c r="D909" s="9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11"/>
      <c r="D910" s="9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11"/>
      <c r="D911" s="9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11"/>
      <c r="D912" s="9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11"/>
      <c r="D913" s="9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11"/>
      <c r="D914" s="9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11"/>
      <c r="D915" s="9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11"/>
      <c r="D916" s="9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11"/>
      <c r="D917" s="9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11"/>
      <c r="D918" s="9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11"/>
      <c r="D919" s="9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11"/>
      <c r="D920" s="9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11"/>
      <c r="D921" s="9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11"/>
      <c r="D922" s="9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11"/>
      <c r="D923" s="9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11"/>
      <c r="D924" s="9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11"/>
      <c r="D925" s="9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11"/>
      <c r="D926" s="9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11"/>
      <c r="D927" s="9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11"/>
      <c r="D928" s="9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11"/>
      <c r="D929" s="9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11"/>
      <c r="D930" s="9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11"/>
      <c r="D931" s="9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11"/>
      <c r="D932" s="9"/>
      <c r="E932" s="10"/>
      <c r="F932" s="10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11"/>
      <c r="D933" s="9"/>
      <c r="E933" s="10"/>
      <c r="F933" s="10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11"/>
      <c r="D934" s="9"/>
      <c r="E934" s="10"/>
      <c r="F934" s="10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11"/>
      <c r="D935" s="9"/>
      <c r="E935" s="10"/>
      <c r="F935" s="10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11"/>
      <c r="D936" s="9"/>
      <c r="E936" s="10"/>
      <c r="F936" s="10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11"/>
      <c r="D937" s="9"/>
      <c r="E937" s="10"/>
      <c r="F937" s="10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11"/>
      <c r="D938" s="9"/>
      <c r="E938" s="10"/>
      <c r="F938" s="10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11"/>
      <c r="D939" s="9"/>
      <c r="E939" s="10"/>
      <c r="F939" s="10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11"/>
      <c r="D940" s="9"/>
      <c r="E940" s="10"/>
      <c r="F940" s="10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11"/>
      <c r="D941" s="9"/>
      <c r="E941" s="10"/>
      <c r="F941" s="10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11"/>
      <c r="D942" s="9"/>
      <c r="E942" s="10"/>
      <c r="F942" s="10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11"/>
      <c r="D943" s="9"/>
      <c r="E943" s="10"/>
      <c r="F943" s="10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11"/>
      <c r="D944" s="9"/>
      <c r="E944" s="10"/>
      <c r="F944" s="10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11"/>
      <c r="D945" s="9"/>
      <c r="E945" s="10"/>
      <c r="F945" s="10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11"/>
      <c r="D946" s="9"/>
      <c r="E946" s="10"/>
      <c r="F946" s="10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11"/>
      <c r="D947" s="9"/>
      <c r="E947" s="10"/>
      <c r="F947" s="10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11"/>
      <c r="D948" s="9"/>
      <c r="E948" s="10"/>
      <c r="F948" s="10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11"/>
      <c r="D949" s="9"/>
      <c r="E949" s="10"/>
      <c r="F949" s="10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11"/>
      <c r="D950" s="9"/>
      <c r="E950" s="10"/>
      <c r="F950" s="10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11"/>
      <c r="D951" s="9"/>
      <c r="E951" s="10"/>
      <c r="F951" s="10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11"/>
      <c r="D952" s="9"/>
      <c r="E952" s="10"/>
      <c r="F952" s="10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11"/>
      <c r="D953" s="9"/>
      <c r="E953" s="10"/>
      <c r="F953" s="10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11"/>
      <c r="D954" s="9"/>
      <c r="E954" s="10"/>
      <c r="F954" s="10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11"/>
      <c r="D955" s="9"/>
      <c r="E955" s="10"/>
      <c r="F955" s="10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11"/>
      <c r="D956" s="9"/>
      <c r="E956" s="10"/>
      <c r="F956" s="10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11"/>
      <c r="D957" s="9"/>
      <c r="E957" s="10"/>
      <c r="F957" s="10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11"/>
      <c r="D958" s="9"/>
      <c r="E958" s="10"/>
      <c r="F958" s="10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11"/>
      <c r="D959" s="9"/>
      <c r="E959" s="10"/>
      <c r="F959" s="10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11"/>
      <c r="D960" s="9"/>
      <c r="E960" s="10"/>
      <c r="F960" s="10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11"/>
      <c r="D961" s="9"/>
      <c r="E961" s="10"/>
      <c r="F961" s="10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11"/>
      <c r="D962" s="9"/>
      <c r="E962" s="10"/>
      <c r="F962" s="10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11"/>
      <c r="D963" s="9"/>
      <c r="E963" s="10"/>
      <c r="F963" s="10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11"/>
      <c r="D964" s="9"/>
      <c r="E964" s="10"/>
      <c r="F964" s="10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11"/>
      <c r="D965" s="9"/>
      <c r="E965" s="10"/>
      <c r="F965" s="10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11"/>
      <c r="D966" s="9"/>
      <c r="E966" s="10"/>
      <c r="F966" s="10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11"/>
      <c r="D967" s="9"/>
      <c r="E967" s="10"/>
      <c r="F967" s="10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11"/>
      <c r="D968" s="9"/>
      <c r="E968" s="10"/>
      <c r="F968" s="10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11"/>
      <c r="D969" s="9"/>
      <c r="E969" s="10"/>
      <c r="F969" s="10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11"/>
      <c r="D970" s="9"/>
      <c r="E970" s="10"/>
      <c r="F970" s="10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11"/>
      <c r="D971" s="9"/>
      <c r="E971" s="10"/>
      <c r="F971" s="10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11"/>
      <c r="D972" s="9"/>
      <c r="E972" s="10"/>
      <c r="F972" s="10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11"/>
      <c r="D973" s="9"/>
      <c r="E973" s="10"/>
      <c r="F973" s="10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11"/>
      <c r="D974" s="9"/>
      <c r="E974" s="10"/>
      <c r="F974" s="10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11"/>
      <c r="D975" s="9"/>
      <c r="E975" s="10"/>
      <c r="F975" s="10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11"/>
      <c r="D976" s="9"/>
      <c r="E976" s="10"/>
      <c r="F976" s="10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11"/>
      <c r="D977" s="9"/>
      <c r="E977" s="10"/>
      <c r="F977" s="10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11"/>
      <c r="D978" s="9"/>
      <c r="E978" s="10"/>
      <c r="F978" s="10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11"/>
      <c r="D979" s="9"/>
      <c r="E979" s="10"/>
      <c r="F979" s="10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11"/>
      <c r="D980" s="9"/>
      <c r="E980" s="10"/>
      <c r="F980" s="10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11"/>
      <c r="D981" s="9"/>
      <c r="E981" s="10"/>
      <c r="F981" s="10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11"/>
      <c r="D982" s="9"/>
      <c r="E982" s="10"/>
      <c r="F982" s="10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11"/>
      <c r="D983" s="9"/>
      <c r="E983" s="10"/>
      <c r="F983" s="10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11"/>
      <c r="D984" s="9"/>
      <c r="E984" s="10"/>
      <c r="F984" s="10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11"/>
      <c r="D985" s="9"/>
      <c r="E985" s="10"/>
      <c r="F985" s="10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11"/>
      <c r="D986" s="9"/>
      <c r="E986" s="10"/>
      <c r="F986" s="10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11"/>
      <c r="D987" s="9"/>
      <c r="E987" s="10"/>
      <c r="F987" s="10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11"/>
      <c r="D988" s="9"/>
      <c r="E988" s="10"/>
      <c r="F988" s="10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11"/>
      <c r="D989" s="9"/>
      <c r="E989" s="10"/>
      <c r="F989" s="10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11"/>
      <c r="D990" s="9"/>
      <c r="E990" s="10"/>
      <c r="F990" s="10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11"/>
      <c r="D991" s="9"/>
      <c r="E991" s="10"/>
      <c r="F991" s="10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11"/>
      <c r="D992" s="9"/>
      <c r="E992" s="10"/>
      <c r="F992" s="10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11"/>
      <c r="D993" s="9"/>
      <c r="E993" s="10"/>
      <c r="F993" s="10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11"/>
      <c r="D994" s="9"/>
      <c r="E994" s="10"/>
      <c r="F994" s="10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11"/>
      <c r="D995" s="9"/>
      <c r="E995" s="10"/>
      <c r="F995" s="10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11"/>
      <c r="D996" s="9"/>
      <c r="E996" s="10"/>
      <c r="F996" s="10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11"/>
      <c r="D997" s="9"/>
      <c r="E997" s="10"/>
      <c r="F997" s="10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11"/>
      <c r="D998" s="9"/>
      <c r="E998" s="10"/>
      <c r="F998" s="10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11"/>
      <c r="D999" s="9"/>
      <c r="E999" s="10"/>
      <c r="F999" s="10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11"/>
      <c r="D1000" s="9"/>
      <c r="E1000" s="10"/>
      <c r="F1000" s="10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11"/>
      <c r="D1001" s="9"/>
      <c r="E1001" s="10"/>
      <c r="F1001" s="10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8.25"/>
    <col customWidth="1" min="3" max="3" width="28.88"/>
    <col customWidth="1" hidden="1" min="4" max="4" width="7.75"/>
    <col customWidth="1" min="5" max="7" width="11.88"/>
    <col customWidth="1" hidden="1" min="8" max="8" width="8.38"/>
    <col customWidth="1" min="9" max="11" width="8.38"/>
    <col customWidth="1" hidden="1" min="12" max="12" width="9.63"/>
    <col customWidth="1" hidden="1" min="13" max="13" width="7.5"/>
    <col customWidth="1" hidden="1" min="14" max="14" width="12.63"/>
    <col customWidth="1" hidden="1" min="15" max="15" width="6.88"/>
    <col customWidth="1" hidden="1" min="16" max="16" width="12.13"/>
    <col customWidth="1" hidden="1" min="17" max="17" width="10.63"/>
    <col customWidth="1" hidden="1" min="18" max="18" width="5.5"/>
    <col customWidth="1" hidden="1" min="19" max="19" width="7.38"/>
    <col customWidth="1" hidden="1" min="20" max="20" width="6.13"/>
    <col customWidth="1" hidden="1" min="21" max="21" width="6.63"/>
    <col customWidth="1" hidden="1" min="22" max="22" width="3.5"/>
    <col customWidth="1" hidden="1" min="23" max="23" width="7.13"/>
    <col customWidth="1" hidden="1" min="24" max="24" width="7.0"/>
    <col customWidth="1" hidden="1" min="25" max="25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tr">
        <f>IFERROR(__xludf.DUMMYFUNCTION("FILTER(Master!A:Z, Master!W:W = ""X"")"),"Adventuring Gear")</f>
        <v>Adventuring Gear</v>
      </c>
      <c r="B2" s="4" t="str">
        <f>IFERROR(__xludf.DUMMYFUNCTION("""COMPUTED_VALUE"""),"-")</f>
        <v>-</v>
      </c>
      <c r="C2" s="4" t="str">
        <f>IFERROR(__xludf.DUMMYFUNCTION("""COMPUTED_VALUE"""),"Caltrops")</f>
        <v>Caltrops</v>
      </c>
      <c r="D2" s="5">
        <f>IFERROR(__xludf.DUMMYFUNCTION("""COMPUTED_VALUE"""),2.0)</f>
        <v>2</v>
      </c>
      <c r="E2" s="6">
        <f>IFERROR(__xludf.DUMMYFUNCTION("""COMPUTED_VALUE"""),1.0)</f>
        <v>1</v>
      </c>
      <c r="F2" s="6">
        <f>IFERROR(__xludf.DUMMYFUNCTION("""COMPUTED_VALUE"""),0.75)</f>
        <v>0.75</v>
      </c>
      <c r="G2" s="6">
        <f>IFERROR(__xludf.DUMMYFUNCTION("""COMPUTED_VALUE"""),1.5)</f>
        <v>1.5</v>
      </c>
      <c r="H2" s="4" t="str">
        <f>IFERROR(__xludf.DUMMYFUNCTION("""COMPUTED_VALUE"""),"PHB 2024")</f>
        <v>PHB 2024</v>
      </c>
      <c r="I2" s="4"/>
      <c r="J2" s="4" t="str">
        <f>IFERROR(__xludf.DUMMYFUNCTION("""COMPUTED_VALUE"""),"x")</f>
        <v>x</v>
      </c>
      <c r="K2" s="4" t="str">
        <f>IFERROR(__xludf.DUMMYFUNCTION("""COMPUTED_VALUE"""),"x")</f>
        <v>x</v>
      </c>
      <c r="L2" s="7"/>
      <c r="M2" s="7"/>
      <c r="N2" s="7"/>
      <c r="O2" s="7"/>
      <c r="P2" s="7"/>
      <c r="Q2" s="7"/>
      <c r="R2" s="7"/>
      <c r="S2" s="7"/>
      <c r="T2" s="4"/>
      <c r="U2" s="7"/>
      <c r="V2" s="7"/>
      <c r="W2" s="7" t="str">
        <f>IFERROR(__xludf.DUMMYFUNCTION("""COMPUTED_VALUE"""),"x")</f>
        <v>x</v>
      </c>
      <c r="X2" s="7"/>
      <c r="Y2" s="7"/>
    </row>
    <row r="3">
      <c r="A3" s="4" t="str">
        <f>IFERROR(__xludf.DUMMYFUNCTION("""COMPUTED_VALUE"""),"Adventuring Gear")</f>
        <v>Adventuring Gear</v>
      </c>
      <c r="B3" s="4" t="str">
        <f>IFERROR(__xludf.DUMMYFUNCTION("""COMPUTED_VALUE"""),"-")</f>
        <v>-</v>
      </c>
      <c r="C3" s="8" t="str">
        <f>IFERROR(__xludf.DUMMYFUNCTION("""COMPUTED_VALUE"""),"Costume")</f>
        <v>Costume</v>
      </c>
      <c r="D3" s="5">
        <f>IFERROR(__xludf.DUMMYFUNCTION("""COMPUTED_VALUE"""),4.0)</f>
        <v>4</v>
      </c>
      <c r="E3" s="6">
        <f>IFERROR(__xludf.DUMMYFUNCTION("""COMPUTED_VALUE"""),5.0)</f>
        <v>5</v>
      </c>
      <c r="F3" s="6">
        <f>IFERROR(__xludf.DUMMYFUNCTION("""COMPUTED_VALUE"""),3.75)</f>
        <v>3.75</v>
      </c>
      <c r="G3" s="6">
        <f>IFERROR(__xludf.DUMMYFUNCTION("""COMPUTED_VALUE"""),7.5)</f>
        <v>7.5</v>
      </c>
      <c r="H3" s="4" t="str">
        <f>IFERROR(__xludf.DUMMYFUNCTION("""COMPUTED_VALUE"""),"PHB 2024")</f>
        <v>PHB 2024</v>
      </c>
      <c r="I3" s="4"/>
      <c r="J3" s="4"/>
      <c r="K3" s="4" t="str">
        <f>IFERROR(__xludf.DUMMYFUNCTION("""COMPUTED_VALUE"""),"x")</f>
        <v>x</v>
      </c>
      <c r="L3" s="7"/>
      <c r="M3" s="7"/>
      <c r="N3" s="7"/>
      <c r="O3" s="7"/>
      <c r="P3" s="7"/>
      <c r="Q3" s="7"/>
      <c r="R3" s="7" t="str">
        <f>IFERROR(__xludf.DUMMYFUNCTION("""COMPUTED_VALUE"""),"x")</f>
        <v>x</v>
      </c>
      <c r="S3" s="7"/>
      <c r="T3" s="4"/>
      <c r="U3" s="7"/>
      <c r="V3" s="7"/>
      <c r="W3" s="7" t="str">
        <f>IFERROR(__xludf.DUMMYFUNCTION("""COMPUTED_VALUE"""),"x")</f>
        <v>x</v>
      </c>
      <c r="X3" s="7"/>
      <c r="Y3" s="7"/>
    </row>
    <row r="4">
      <c r="A4" s="4" t="str">
        <f>IFERROR(__xludf.DUMMYFUNCTION("""COMPUTED_VALUE"""),"Adventuring Gear")</f>
        <v>Adventuring Gear</v>
      </c>
      <c r="B4" s="4" t="str">
        <f>IFERROR(__xludf.DUMMYFUNCTION("""COMPUTED_VALUE"""),"-")</f>
        <v>-</v>
      </c>
      <c r="C4" s="8" t="str">
        <f>IFERROR(__xludf.DUMMYFUNCTION("""COMPUTED_VALUE"""),"Crowbar")</f>
        <v>Crowbar</v>
      </c>
      <c r="D4" s="5">
        <f>IFERROR(__xludf.DUMMYFUNCTION("""COMPUTED_VALUE"""),5.0)</f>
        <v>5</v>
      </c>
      <c r="E4" s="6">
        <f>IFERROR(__xludf.DUMMYFUNCTION("""COMPUTED_VALUE"""),2.0)</f>
        <v>2</v>
      </c>
      <c r="F4" s="6">
        <f>IFERROR(__xludf.DUMMYFUNCTION("""COMPUTED_VALUE"""),1.5)</f>
        <v>1.5</v>
      </c>
      <c r="G4" s="6">
        <f>IFERROR(__xludf.DUMMYFUNCTION("""COMPUTED_VALUE"""),3.0)</f>
        <v>3</v>
      </c>
      <c r="H4" s="4" t="str">
        <f>IFERROR(__xludf.DUMMYFUNCTION("""COMPUTED_VALUE"""),"PHB 2024")</f>
        <v>PHB 2024</v>
      </c>
      <c r="I4" s="4" t="str">
        <f>IFERROR(__xludf.DUMMYFUNCTION("""COMPUTED_VALUE"""),"x")</f>
        <v>x</v>
      </c>
      <c r="J4" s="4" t="str">
        <f>IFERROR(__xludf.DUMMYFUNCTION("""COMPUTED_VALUE"""),"x")</f>
        <v>x</v>
      </c>
      <c r="K4" s="4" t="str">
        <f>IFERROR(__xludf.DUMMYFUNCTION("""COMPUTED_VALUE"""),"x")</f>
        <v>x</v>
      </c>
      <c r="L4" s="7" t="str">
        <f>IFERROR(__xludf.DUMMYFUNCTION("""COMPUTED_VALUE"""),"x")</f>
        <v>x</v>
      </c>
      <c r="M4" s="4"/>
      <c r="N4" s="7"/>
      <c r="O4" s="7"/>
      <c r="P4" s="7"/>
      <c r="Q4" s="4" t="str">
        <f>IFERROR(__xludf.DUMMYFUNCTION("""COMPUTED_VALUE"""),"x")</f>
        <v>x</v>
      </c>
      <c r="R4" s="7"/>
      <c r="S4" s="7"/>
      <c r="T4" s="7"/>
      <c r="U4" s="7"/>
      <c r="V4" s="7"/>
      <c r="W4" s="7" t="str">
        <f>IFERROR(__xludf.DUMMYFUNCTION("""COMPUTED_VALUE"""),"x")</f>
        <v>x</v>
      </c>
      <c r="X4" s="7"/>
      <c r="Y4" s="7"/>
    </row>
    <row r="5">
      <c r="A5" s="4" t="str">
        <f>IFERROR(__xludf.DUMMYFUNCTION("""COMPUTED_VALUE"""),"Adventuring Gear")</f>
        <v>Adventuring Gear</v>
      </c>
      <c r="B5" s="4" t="str">
        <f>IFERROR(__xludf.DUMMYFUNCTION("""COMPUTED_VALUE"""),"-")</f>
        <v>-</v>
      </c>
      <c r="C5" s="8" t="str">
        <f>IFERROR(__xludf.DUMMYFUNCTION("""COMPUTED_VALUE"""),"Grappling Hook")</f>
        <v>Grappling Hook</v>
      </c>
      <c r="D5" s="5">
        <f>IFERROR(__xludf.DUMMYFUNCTION("""COMPUTED_VALUE"""),4.0)</f>
        <v>4</v>
      </c>
      <c r="E5" s="6">
        <f>IFERROR(__xludf.DUMMYFUNCTION("""COMPUTED_VALUE"""),2.0)</f>
        <v>2</v>
      </c>
      <c r="F5" s="6">
        <f>IFERROR(__xludf.DUMMYFUNCTION("""COMPUTED_VALUE"""),1.5)</f>
        <v>1.5</v>
      </c>
      <c r="G5" s="6">
        <f>IFERROR(__xludf.DUMMYFUNCTION("""COMPUTED_VALUE"""),3.0)</f>
        <v>3</v>
      </c>
      <c r="H5" s="4" t="str">
        <f>IFERROR(__xludf.DUMMYFUNCTION("""COMPUTED_VALUE"""),"PHB 2024")</f>
        <v>PHB 2024</v>
      </c>
      <c r="I5" s="4"/>
      <c r="J5" s="4" t="str">
        <f>IFERROR(__xludf.DUMMYFUNCTION("""COMPUTED_VALUE"""),"x")</f>
        <v>x</v>
      </c>
      <c r="K5" s="4" t="str">
        <f>IFERROR(__xludf.DUMMYFUNCTION("""COMPUTED_VALUE"""),"x")</f>
        <v>x</v>
      </c>
      <c r="L5" s="7" t="str">
        <f>IFERROR(__xludf.DUMMYFUNCTION("""COMPUTED_VALUE"""),"x")</f>
        <v>x</v>
      </c>
      <c r="M5" s="4"/>
      <c r="N5" s="7"/>
      <c r="O5" s="7"/>
      <c r="P5" s="7"/>
      <c r="Q5" s="4" t="str">
        <f>IFERROR(__xludf.DUMMYFUNCTION("""COMPUTED_VALUE"""),"x")</f>
        <v>x</v>
      </c>
      <c r="R5" s="7"/>
      <c r="S5" s="7"/>
      <c r="T5" s="7"/>
      <c r="U5" s="7"/>
      <c r="V5" s="7"/>
      <c r="W5" s="7" t="str">
        <f>IFERROR(__xludf.DUMMYFUNCTION("""COMPUTED_VALUE"""),"x")</f>
        <v>x</v>
      </c>
      <c r="X5" s="7"/>
      <c r="Y5" s="7"/>
    </row>
    <row r="6">
      <c r="A6" s="4" t="str">
        <f>IFERROR(__xludf.DUMMYFUNCTION("""COMPUTED_VALUE"""),"Adventuring Gear")</f>
        <v>Adventuring Gear</v>
      </c>
      <c r="B6" s="4" t="str">
        <f>IFERROR(__xludf.DUMMYFUNCTION("""COMPUTED_VALUE"""),"-")</f>
        <v>-</v>
      </c>
      <c r="C6" s="8" t="str">
        <f>IFERROR(__xludf.DUMMYFUNCTION("""COMPUTED_VALUE"""),"Ink")</f>
        <v>Ink</v>
      </c>
      <c r="D6" s="5" t="str">
        <f>IFERROR(__xludf.DUMMYFUNCTION("""COMPUTED_VALUE"""),"-")</f>
        <v>-</v>
      </c>
      <c r="E6" s="6">
        <f>IFERROR(__xludf.DUMMYFUNCTION("""COMPUTED_VALUE"""),10.0)</f>
        <v>10</v>
      </c>
      <c r="F6" s="6">
        <f>IFERROR(__xludf.DUMMYFUNCTION("""COMPUTED_VALUE"""),7.5)</f>
        <v>7.5</v>
      </c>
      <c r="G6" s="6">
        <f>IFERROR(__xludf.DUMMYFUNCTION("""COMPUTED_VALUE"""),15.0)</f>
        <v>15</v>
      </c>
      <c r="H6" s="4" t="str">
        <f>IFERROR(__xludf.DUMMYFUNCTION("""COMPUTED_VALUE"""),"PHB 2024")</f>
        <v>PHB 2024</v>
      </c>
      <c r="I6" s="4" t="str">
        <f>IFERROR(__xludf.DUMMYFUNCTION("""COMPUTED_VALUE"""),"x")</f>
        <v>x</v>
      </c>
      <c r="J6" s="4" t="str">
        <f>IFERROR(__xludf.DUMMYFUNCTION("""COMPUTED_VALUE"""),"x")</f>
        <v>x</v>
      </c>
      <c r="K6" s="4" t="str">
        <f>IFERROR(__xludf.DUMMYFUNCTION("""COMPUTED_VALUE"""),"x")</f>
        <v>x</v>
      </c>
      <c r="L6" s="7"/>
      <c r="M6" s="7"/>
      <c r="N6" s="7"/>
      <c r="O6" s="7" t="str">
        <f>IFERROR(__xludf.DUMMYFUNCTION("""COMPUTED_VALUE"""),"x")</f>
        <v>x</v>
      </c>
      <c r="P6" s="7" t="str">
        <f>IFERROR(__xludf.DUMMYFUNCTION("""COMPUTED_VALUE"""),"x")</f>
        <v>x</v>
      </c>
      <c r="Q6" s="7" t="str">
        <f>IFERROR(__xludf.DUMMYFUNCTION("""COMPUTED_VALUE"""),"x")</f>
        <v>x</v>
      </c>
      <c r="R6" s="7"/>
      <c r="S6" s="7"/>
      <c r="T6" s="7"/>
      <c r="U6" s="7" t="str">
        <f>IFERROR(__xludf.DUMMYFUNCTION("""COMPUTED_VALUE"""),"x")</f>
        <v>x</v>
      </c>
      <c r="V6" s="7"/>
      <c r="W6" s="4" t="str">
        <f>IFERROR(__xludf.DUMMYFUNCTION("""COMPUTED_VALUE"""),"x")</f>
        <v>x</v>
      </c>
      <c r="X6" s="4"/>
      <c r="Y6" s="4"/>
    </row>
    <row r="7">
      <c r="A7" s="4" t="str">
        <f>IFERROR(__xludf.DUMMYFUNCTION("""COMPUTED_VALUE"""),"Adventuring Gear")</f>
        <v>Adventuring Gear</v>
      </c>
      <c r="B7" s="4" t="str">
        <f>IFERROR(__xludf.DUMMYFUNCTION("""COMPUTED_VALUE"""),"-")</f>
        <v>-</v>
      </c>
      <c r="C7" s="8" t="str">
        <f>IFERROR(__xludf.DUMMYFUNCTION("""COMPUTED_VALUE"""),"Ink Pen")</f>
        <v>Ink Pen</v>
      </c>
      <c r="D7" s="5" t="str">
        <f>IFERROR(__xludf.DUMMYFUNCTION("""COMPUTED_VALUE"""),"-")</f>
        <v>-</v>
      </c>
      <c r="E7" s="6">
        <f>IFERROR(__xludf.DUMMYFUNCTION("""COMPUTED_VALUE"""),0.02)</f>
        <v>0.02</v>
      </c>
      <c r="F7" s="6">
        <f>IFERROR(__xludf.DUMMYFUNCTION("""COMPUTED_VALUE"""),0.015)</f>
        <v>0.015</v>
      </c>
      <c r="G7" s="6">
        <f>IFERROR(__xludf.DUMMYFUNCTION("""COMPUTED_VALUE"""),0.03)</f>
        <v>0.03</v>
      </c>
      <c r="H7" s="4" t="str">
        <f>IFERROR(__xludf.DUMMYFUNCTION("""COMPUTED_VALUE"""),"PHB 2024")</f>
        <v>PHB 2024</v>
      </c>
      <c r="I7" s="4"/>
      <c r="J7" s="4" t="str">
        <f>IFERROR(__xludf.DUMMYFUNCTION("""COMPUTED_VALUE"""),"x")</f>
        <v>x</v>
      </c>
      <c r="K7" s="4" t="str">
        <f>IFERROR(__xludf.DUMMYFUNCTION("""COMPUTED_VALUE"""),"x")</f>
        <v>x</v>
      </c>
      <c r="L7" s="7"/>
      <c r="M7" s="7"/>
      <c r="N7" s="7"/>
      <c r="O7" s="7" t="str">
        <f>IFERROR(__xludf.DUMMYFUNCTION("""COMPUTED_VALUE"""),"x")</f>
        <v>x</v>
      </c>
      <c r="P7" s="7" t="str">
        <f>IFERROR(__xludf.DUMMYFUNCTION("""COMPUTED_VALUE"""),"x")</f>
        <v>x</v>
      </c>
      <c r="Q7" s="4" t="str">
        <f>IFERROR(__xludf.DUMMYFUNCTION("""COMPUTED_VALUE"""),"x")</f>
        <v>x</v>
      </c>
      <c r="R7" s="7"/>
      <c r="S7" s="7"/>
      <c r="T7" s="7"/>
      <c r="U7" s="7" t="str">
        <f>IFERROR(__xludf.DUMMYFUNCTION("""COMPUTED_VALUE"""),"x")</f>
        <v>x</v>
      </c>
      <c r="V7" s="7"/>
      <c r="W7" s="7" t="str">
        <f>IFERROR(__xludf.DUMMYFUNCTION("""COMPUTED_VALUE"""),"x")</f>
        <v>x</v>
      </c>
      <c r="X7" s="7"/>
      <c r="Y7" s="7"/>
    </row>
    <row r="8">
      <c r="A8" s="4" t="str">
        <f>IFERROR(__xludf.DUMMYFUNCTION("""COMPUTED_VALUE"""),"Adventuring Gear")</f>
        <v>Adventuring Gear</v>
      </c>
      <c r="B8" s="4" t="str">
        <f>IFERROR(__xludf.DUMMYFUNCTION("""COMPUTED_VALUE"""),"-")</f>
        <v>-</v>
      </c>
      <c r="C8" s="8" t="str">
        <f>IFERROR(__xludf.DUMMYFUNCTION("""COMPUTED_VALUE"""),"Lantern, Bullseye")</f>
        <v>Lantern, Bullseye</v>
      </c>
      <c r="D8" s="5">
        <f>IFERROR(__xludf.DUMMYFUNCTION("""COMPUTED_VALUE"""),2.0)</f>
        <v>2</v>
      </c>
      <c r="E8" s="6">
        <f>IFERROR(__xludf.DUMMYFUNCTION("""COMPUTED_VALUE"""),10.0)</f>
        <v>10</v>
      </c>
      <c r="F8" s="6">
        <f>IFERROR(__xludf.DUMMYFUNCTION("""COMPUTED_VALUE"""),7.5)</f>
        <v>7.5</v>
      </c>
      <c r="G8" s="6">
        <f>IFERROR(__xludf.DUMMYFUNCTION("""COMPUTED_VALUE"""),15.0)</f>
        <v>15</v>
      </c>
      <c r="H8" s="4" t="str">
        <f>IFERROR(__xludf.DUMMYFUNCTION("""COMPUTED_VALUE"""),"PHB 2024")</f>
        <v>PHB 2024</v>
      </c>
      <c r="I8" s="4"/>
      <c r="J8" s="4" t="str">
        <f>IFERROR(__xludf.DUMMYFUNCTION("""COMPUTED_VALUE"""),"x")</f>
        <v>x</v>
      </c>
      <c r="K8" s="4" t="str">
        <f>IFERROR(__xludf.DUMMYFUNCTION("""COMPUTED_VALUE"""),"x")</f>
        <v>x</v>
      </c>
      <c r="L8" s="7" t="str">
        <f>IFERROR(__xludf.DUMMYFUNCTION("""COMPUTED_VALUE"""),"x")</f>
        <v>x</v>
      </c>
      <c r="M8" s="7"/>
      <c r="N8" s="7"/>
      <c r="O8" s="7"/>
      <c r="P8" s="7"/>
      <c r="Q8" s="4" t="str">
        <f>IFERROR(__xludf.DUMMYFUNCTION("""COMPUTED_VALUE"""),"x")</f>
        <v>x</v>
      </c>
      <c r="R8" s="7"/>
      <c r="S8" s="7"/>
      <c r="T8" s="7"/>
      <c r="U8" s="7"/>
      <c r="V8" s="7"/>
      <c r="W8" s="7" t="str">
        <f>IFERROR(__xludf.DUMMYFUNCTION("""COMPUTED_VALUE"""),"x")</f>
        <v>x</v>
      </c>
      <c r="X8" s="7"/>
      <c r="Y8" s="7"/>
    </row>
    <row r="9">
      <c r="A9" s="4" t="str">
        <f>IFERROR(__xludf.DUMMYFUNCTION("""COMPUTED_VALUE"""),"Adventuring Gear")</f>
        <v>Adventuring Gear</v>
      </c>
      <c r="B9" s="4" t="str">
        <f>IFERROR(__xludf.DUMMYFUNCTION("""COMPUTED_VALUE"""),"-")</f>
        <v>-</v>
      </c>
      <c r="C9" s="8" t="str">
        <f>IFERROR(__xludf.DUMMYFUNCTION("""COMPUTED_VALUE"""),"Lock")</f>
        <v>Lock</v>
      </c>
      <c r="D9" s="5">
        <f>IFERROR(__xludf.DUMMYFUNCTION("""COMPUTED_VALUE"""),1.0)</f>
        <v>1</v>
      </c>
      <c r="E9" s="6">
        <f>IFERROR(__xludf.DUMMYFUNCTION("""COMPUTED_VALUE"""),10.0)</f>
        <v>10</v>
      </c>
      <c r="F9" s="6">
        <f>IFERROR(__xludf.DUMMYFUNCTION("""COMPUTED_VALUE"""),7.5)</f>
        <v>7.5</v>
      </c>
      <c r="G9" s="6">
        <f>IFERROR(__xludf.DUMMYFUNCTION("""COMPUTED_VALUE"""),15.0)</f>
        <v>15</v>
      </c>
      <c r="H9" s="4" t="str">
        <f>IFERROR(__xludf.DUMMYFUNCTION("""COMPUTED_VALUE"""),"PHB 2024")</f>
        <v>PHB 2024</v>
      </c>
      <c r="I9" s="4"/>
      <c r="J9" s="4"/>
      <c r="K9" s="4" t="str">
        <f>IFERROR(__xludf.DUMMYFUNCTION("""COMPUTED_VALUE"""),"x")</f>
        <v>x</v>
      </c>
      <c r="L9" s="7" t="str">
        <f>IFERROR(__xludf.DUMMYFUNCTION("""COMPUTED_VALUE"""),"x")</f>
        <v>x</v>
      </c>
      <c r="M9" s="7"/>
      <c r="N9" s="7"/>
      <c r="O9" s="7"/>
      <c r="P9" s="7" t="str">
        <f>IFERROR(__xludf.DUMMYFUNCTION("""COMPUTED_VALUE"""),"x")</f>
        <v>x</v>
      </c>
      <c r="Q9" s="7" t="str">
        <f>IFERROR(__xludf.DUMMYFUNCTION("""COMPUTED_VALUE"""),"x")</f>
        <v>x</v>
      </c>
      <c r="R9" s="7"/>
      <c r="S9" s="7"/>
      <c r="T9" s="4"/>
      <c r="U9" s="7"/>
      <c r="V9" s="7"/>
      <c r="W9" s="7" t="str">
        <f>IFERROR(__xludf.DUMMYFUNCTION("""COMPUTED_VALUE"""),"x")</f>
        <v>x</v>
      </c>
      <c r="X9" s="7"/>
      <c r="Y9" s="7"/>
    </row>
    <row r="10">
      <c r="A10" s="4" t="str">
        <f>IFERROR(__xludf.DUMMYFUNCTION("""COMPUTED_VALUE"""),"Adventuring Gear")</f>
        <v>Adventuring Gear</v>
      </c>
      <c r="B10" s="4" t="str">
        <f>IFERROR(__xludf.DUMMYFUNCTION("""COMPUTED_VALUE"""),"-")</f>
        <v>-</v>
      </c>
      <c r="C10" s="8" t="str">
        <f>IFERROR(__xludf.DUMMYFUNCTION("""COMPUTED_VALUE"""),"Manacles")</f>
        <v>Manacles</v>
      </c>
      <c r="D10" s="5">
        <f>IFERROR(__xludf.DUMMYFUNCTION("""COMPUTED_VALUE"""),6.0)</f>
        <v>6</v>
      </c>
      <c r="E10" s="6">
        <f>IFERROR(__xludf.DUMMYFUNCTION("""COMPUTED_VALUE"""),2.0)</f>
        <v>2</v>
      </c>
      <c r="F10" s="6">
        <f>IFERROR(__xludf.DUMMYFUNCTION("""COMPUTED_VALUE"""),1.5)</f>
        <v>1.5</v>
      </c>
      <c r="G10" s="6">
        <f>IFERROR(__xludf.DUMMYFUNCTION("""COMPUTED_VALUE"""),3.0)</f>
        <v>3</v>
      </c>
      <c r="H10" s="4" t="str">
        <f>IFERROR(__xludf.DUMMYFUNCTION("""COMPUTED_VALUE"""),"PHB 2024")</f>
        <v>PHB 2024</v>
      </c>
      <c r="I10" s="4"/>
      <c r="J10" s="4"/>
      <c r="K10" s="4" t="str">
        <f>IFERROR(__xludf.DUMMYFUNCTION("""COMPUTED_VALUE"""),"x")</f>
        <v>x</v>
      </c>
      <c r="L10" s="7" t="str">
        <f>IFERROR(__xludf.DUMMYFUNCTION("""COMPUTED_VALUE"""),"x")</f>
        <v>x</v>
      </c>
      <c r="M10" s="7"/>
      <c r="N10" s="7"/>
      <c r="O10" s="7"/>
      <c r="P10" s="7"/>
      <c r="Q10" s="7"/>
      <c r="R10" s="7"/>
      <c r="S10" s="4"/>
      <c r="T10" s="7"/>
      <c r="U10" s="4"/>
      <c r="V10" s="7"/>
      <c r="W10" s="7" t="str">
        <f>IFERROR(__xludf.DUMMYFUNCTION("""COMPUTED_VALUE"""),"x")</f>
        <v>x</v>
      </c>
      <c r="X10" s="7"/>
      <c r="Y10" s="7"/>
    </row>
    <row r="11">
      <c r="A11" s="4" t="str">
        <f>IFERROR(__xludf.DUMMYFUNCTION("""COMPUTED_VALUE"""),"Adventuring Gear")</f>
        <v>Adventuring Gear</v>
      </c>
      <c r="B11" s="4" t="str">
        <f>IFERROR(__xludf.DUMMYFUNCTION("""COMPUTED_VALUE"""),"-")</f>
        <v>-</v>
      </c>
      <c r="C11" s="8" t="str">
        <f>IFERROR(__xludf.DUMMYFUNCTION("""COMPUTED_VALUE"""),"Oil")</f>
        <v>Oil</v>
      </c>
      <c r="D11" s="5">
        <f>IFERROR(__xludf.DUMMYFUNCTION("""COMPUTED_VALUE"""),1.0)</f>
        <v>1</v>
      </c>
      <c r="E11" s="6">
        <f>IFERROR(__xludf.DUMMYFUNCTION("""COMPUTED_VALUE"""),0.1)</f>
        <v>0.1</v>
      </c>
      <c r="F11" s="6">
        <f>IFERROR(__xludf.DUMMYFUNCTION("""COMPUTED_VALUE"""),0.07500000000000001)</f>
        <v>0.075</v>
      </c>
      <c r="G11" s="6">
        <f>IFERROR(__xludf.DUMMYFUNCTION("""COMPUTED_VALUE"""),0.15000000000000002)</f>
        <v>0.15</v>
      </c>
      <c r="H11" s="4" t="str">
        <f>IFERROR(__xludf.DUMMYFUNCTION("""COMPUTED_VALUE"""),"PHB 2024")</f>
        <v>PHB 2024</v>
      </c>
      <c r="I11" s="4" t="str">
        <f>IFERROR(__xludf.DUMMYFUNCTION("""COMPUTED_VALUE"""),"x")</f>
        <v>x</v>
      </c>
      <c r="J11" s="4" t="str">
        <f>IFERROR(__xludf.DUMMYFUNCTION("""COMPUTED_VALUE"""),"x")</f>
        <v>x</v>
      </c>
      <c r="K11" s="4" t="str">
        <f>IFERROR(__xludf.DUMMYFUNCTION("""COMPUTED_VALUE"""),"x")</f>
        <v>x</v>
      </c>
      <c r="L11" s="7"/>
      <c r="M11" s="7"/>
      <c r="N11" s="7"/>
      <c r="O11" s="7" t="str">
        <f>IFERROR(__xludf.DUMMYFUNCTION("""COMPUTED_VALUE"""),"x")</f>
        <v>x</v>
      </c>
      <c r="P11" s="7"/>
      <c r="Q11" s="7"/>
      <c r="R11" s="7"/>
      <c r="S11" s="4"/>
      <c r="T11" s="7" t="str">
        <f>IFERROR(__xludf.DUMMYFUNCTION("""COMPUTED_VALUE"""),"x")</f>
        <v>x</v>
      </c>
      <c r="U11" s="4"/>
      <c r="V11" s="7"/>
      <c r="W11" s="7" t="str">
        <f>IFERROR(__xludf.DUMMYFUNCTION("""COMPUTED_VALUE"""),"x")</f>
        <v>x</v>
      </c>
      <c r="X11" s="7"/>
      <c r="Y11" s="7"/>
    </row>
    <row r="12">
      <c r="A12" s="4" t="str">
        <f>IFERROR(__xludf.DUMMYFUNCTION("""COMPUTED_VALUE"""),"Adventuring Gear")</f>
        <v>Adventuring Gear</v>
      </c>
      <c r="B12" s="4" t="str">
        <f>IFERROR(__xludf.DUMMYFUNCTION("""COMPUTED_VALUE"""),"-")</f>
        <v>-</v>
      </c>
      <c r="C12" s="8" t="str">
        <f>IFERROR(__xludf.DUMMYFUNCTION("""COMPUTED_VALUE"""),"Poison, Basic")</f>
        <v>Poison, Basic</v>
      </c>
      <c r="D12" s="5" t="str">
        <f>IFERROR(__xludf.DUMMYFUNCTION("""COMPUTED_VALUE"""),"-")</f>
        <v>-</v>
      </c>
      <c r="E12" s="6">
        <f>IFERROR(__xludf.DUMMYFUNCTION("""COMPUTED_VALUE"""),100.0)</f>
        <v>100</v>
      </c>
      <c r="F12" s="6">
        <f>IFERROR(__xludf.DUMMYFUNCTION("""COMPUTED_VALUE"""),75.0)</f>
        <v>75</v>
      </c>
      <c r="G12" s="6">
        <f>IFERROR(__xludf.DUMMYFUNCTION("""COMPUTED_VALUE"""),150.0)</f>
        <v>150</v>
      </c>
      <c r="H12" s="4" t="str">
        <f>IFERROR(__xludf.DUMMYFUNCTION("""COMPUTED_VALUE"""),"PHB 2024")</f>
        <v>PHB 2024</v>
      </c>
      <c r="I12" s="4" t="str">
        <f>IFERROR(__xludf.DUMMYFUNCTION("""COMPUTED_VALUE"""),"x")</f>
        <v>x</v>
      </c>
      <c r="J12" s="4" t="str">
        <f>IFERROR(__xludf.DUMMYFUNCTION("""COMPUTED_VALUE"""),"x")</f>
        <v>x</v>
      </c>
      <c r="K12" s="4" t="str">
        <f>IFERROR(__xludf.DUMMYFUNCTION("""COMPUTED_VALUE"""),"x")</f>
        <v>x</v>
      </c>
      <c r="L12" s="7"/>
      <c r="M12" s="7"/>
      <c r="N12" s="7"/>
      <c r="O12" s="7"/>
      <c r="P12" s="7"/>
      <c r="Q12" s="7"/>
      <c r="R12" s="7"/>
      <c r="S12" s="7"/>
      <c r="T12" s="7" t="str">
        <f>IFERROR(__xludf.DUMMYFUNCTION("""COMPUTED_VALUE"""),"x")</f>
        <v>x</v>
      </c>
      <c r="U12" s="4"/>
      <c r="V12" s="7"/>
      <c r="W12" s="7" t="str">
        <f>IFERROR(__xludf.DUMMYFUNCTION("""COMPUTED_VALUE"""),"x")</f>
        <v>x</v>
      </c>
      <c r="X12" s="7"/>
      <c r="Y12" s="7"/>
    </row>
    <row r="13">
      <c r="A13" s="4" t="str">
        <f>IFERROR(__xludf.DUMMYFUNCTION("""COMPUTED_VALUE"""),"Adventuring Gear")</f>
        <v>Adventuring Gear</v>
      </c>
      <c r="B13" s="4" t="str">
        <f>IFERROR(__xludf.DUMMYFUNCTION("""COMPUTED_VALUE"""),"-")</f>
        <v>-</v>
      </c>
      <c r="C13" s="8" t="str">
        <f>IFERROR(__xludf.DUMMYFUNCTION("""COMPUTED_VALUE"""),"Ram, Portable")</f>
        <v>Ram, Portable</v>
      </c>
      <c r="D13" s="5">
        <f>IFERROR(__xludf.DUMMYFUNCTION("""COMPUTED_VALUE"""),35.0)</f>
        <v>35</v>
      </c>
      <c r="E13" s="6">
        <f>IFERROR(__xludf.DUMMYFUNCTION("""COMPUTED_VALUE"""),4.0)</f>
        <v>4</v>
      </c>
      <c r="F13" s="6">
        <f>IFERROR(__xludf.DUMMYFUNCTION("""COMPUTED_VALUE"""),3.0)</f>
        <v>3</v>
      </c>
      <c r="G13" s="6">
        <f>IFERROR(__xludf.DUMMYFUNCTION("""COMPUTED_VALUE"""),6.0)</f>
        <v>6</v>
      </c>
      <c r="H13" s="4" t="str">
        <f>IFERROR(__xludf.DUMMYFUNCTION("""COMPUTED_VALUE"""),"PHB 2024")</f>
        <v>PHB 2024</v>
      </c>
      <c r="I13" s="4"/>
      <c r="J13" s="4"/>
      <c r="K13" s="4" t="str">
        <f>IFERROR(__xludf.DUMMYFUNCTION("""COMPUTED_VALUE"""),"x")</f>
        <v>x</v>
      </c>
      <c r="L13" s="7"/>
      <c r="M13" s="7"/>
      <c r="N13" s="7"/>
      <c r="O13" s="7"/>
      <c r="P13" s="7"/>
      <c r="Q13" s="7"/>
      <c r="R13" s="7"/>
      <c r="S13" s="7"/>
      <c r="T13" s="7"/>
      <c r="U13" s="4"/>
      <c r="V13" s="7"/>
      <c r="W13" s="7" t="str">
        <f>IFERROR(__xludf.DUMMYFUNCTION("""COMPUTED_VALUE"""),"x")</f>
        <v>x</v>
      </c>
      <c r="X13" s="7"/>
      <c r="Y13" s="7"/>
    </row>
    <row r="14">
      <c r="A14" s="4" t="str">
        <f>IFERROR(__xludf.DUMMYFUNCTION("""COMPUTED_VALUE"""),"Adventuring Gear")</f>
        <v>Adventuring Gear</v>
      </c>
      <c r="B14" s="4" t="str">
        <f>IFERROR(__xludf.DUMMYFUNCTION("""COMPUTED_VALUE"""),"-")</f>
        <v>-</v>
      </c>
      <c r="C14" s="8" t="str">
        <f>IFERROR(__xludf.DUMMYFUNCTION("""COMPUTED_VALUE"""),"Rope (50 feet)")</f>
        <v>Rope (50 feet)</v>
      </c>
      <c r="D14" s="5">
        <f>IFERROR(__xludf.DUMMYFUNCTION("""COMPUTED_VALUE"""),5.0)</f>
        <v>5</v>
      </c>
      <c r="E14" s="6">
        <f>IFERROR(__xludf.DUMMYFUNCTION("""COMPUTED_VALUE"""),1.0)</f>
        <v>1</v>
      </c>
      <c r="F14" s="6">
        <f>IFERROR(__xludf.DUMMYFUNCTION("""COMPUTED_VALUE"""),0.75)</f>
        <v>0.75</v>
      </c>
      <c r="G14" s="6">
        <f>IFERROR(__xludf.DUMMYFUNCTION("""COMPUTED_VALUE"""),1.5)</f>
        <v>1.5</v>
      </c>
      <c r="H14" s="4" t="str">
        <f>IFERROR(__xludf.DUMMYFUNCTION("""COMPUTED_VALUE"""),"PHB 2024")</f>
        <v>PHB 2024</v>
      </c>
      <c r="I14" s="4" t="str">
        <f>IFERROR(__xludf.DUMMYFUNCTION("""COMPUTED_VALUE"""),"x")</f>
        <v>x</v>
      </c>
      <c r="J14" s="4" t="str">
        <f>IFERROR(__xludf.DUMMYFUNCTION("""COMPUTED_VALUE"""),"x")</f>
        <v>x</v>
      </c>
      <c r="K14" s="4" t="str">
        <f>IFERROR(__xludf.DUMMYFUNCTION("""COMPUTED_VALUE"""),"x")</f>
        <v>x</v>
      </c>
      <c r="L14" s="7"/>
      <c r="M14" s="7"/>
      <c r="N14" s="7"/>
      <c r="O14" s="7"/>
      <c r="P14" s="7" t="str">
        <f>IFERROR(__xludf.DUMMYFUNCTION("""COMPUTED_VALUE"""),"x")</f>
        <v>x</v>
      </c>
      <c r="Q14" s="7" t="str">
        <f>IFERROR(__xludf.DUMMYFUNCTION("""COMPUTED_VALUE"""),"x")</f>
        <v>x</v>
      </c>
      <c r="R14" s="7"/>
      <c r="S14" s="7"/>
      <c r="T14" s="7"/>
      <c r="U14" s="4"/>
      <c r="V14" s="7"/>
      <c r="W14" s="7" t="str">
        <f>IFERROR(__xludf.DUMMYFUNCTION("""COMPUTED_VALUE"""),"x")</f>
        <v>x</v>
      </c>
      <c r="X14" s="7"/>
      <c r="Y14" s="7"/>
    </row>
    <row r="15">
      <c r="A15" s="4" t="str">
        <f>IFERROR(__xludf.DUMMYFUNCTION("""COMPUTED_VALUE"""),"Adventuring Gear")</f>
        <v>Adventuring Gear</v>
      </c>
      <c r="B15" s="4" t="str">
        <f>IFERROR(__xludf.DUMMYFUNCTION("""COMPUTED_VALUE"""),"-")</f>
        <v>-</v>
      </c>
      <c r="C15" s="8" t="str">
        <f>IFERROR(__xludf.DUMMYFUNCTION("""COMPUTED_VALUE"""),"Spikes, Iron")</f>
        <v>Spikes, Iron</v>
      </c>
      <c r="D15" s="5">
        <f>IFERROR(__xludf.DUMMYFUNCTION("""COMPUTED_VALUE"""),5.0)</f>
        <v>5</v>
      </c>
      <c r="E15" s="6">
        <f>IFERROR(__xludf.DUMMYFUNCTION("""COMPUTED_VALUE"""),1.0)</f>
        <v>1</v>
      </c>
      <c r="F15" s="6">
        <f>IFERROR(__xludf.DUMMYFUNCTION("""COMPUTED_VALUE"""),0.75)</f>
        <v>0.75</v>
      </c>
      <c r="G15" s="6">
        <f>IFERROR(__xludf.DUMMYFUNCTION("""COMPUTED_VALUE"""),1.5)</f>
        <v>1.5</v>
      </c>
      <c r="H15" s="4" t="str">
        <f>IFERROR(__xludf.DUMMYFUNCTION("""COMPUTED_VALUE"""),"PHB 2024")</f>
        <v>PHB 2024</v>
      </c>
      <c r="I15" s="4"/>
      <c r="J15" s="4" t="str">
        <f>IFERROR(__xludf.DUMMYFUNCTION("""COMPUTED_VALUE"""),"x")</f>
        <v>x</v>
      </c>
      <c r="K15" s="4" t="str">
        <f>IFERROR(__xludf.DUMMYFUNCTION("""COMPUTED_VALUE"""),"x")</f>
        <v>x</v>
      </c>
      <c r="L15" s="7" t="str">
        <f>IFERROR(__xludf.DUMMYFUNCTION("""COMPUTED_VALUE"""),"x")</f>
        <v>x</v>
      </c>
      <c r="M15" s="7"/>
      <c r="N15" s="7"/>
      <c r="O15" s="7"/>
      <c r="P15" s="7"/>
      <c r="Q15" s="4"/>
      <c r="R15" s="7"/>
      <c r="S15" s="7"/>
      <c r="T15" s="7"/>
      <c r="U15" s="7"/>
      <c r="V15" s="7"/>
      <c r="W15" s="7" t="str">
        <f>IFERROR(__xludf.DUMMYFUNCTION("""COMPUTED_VALUE"""),"x")</f>
        <v>x</v>
      </c>
      <c r="X15" s="7"/>
      <c r="Y15" s="7"/>
    </row>
    <row r="16">
      <c r="A16" s="4" t="str">
        <f>IFERROR(__xludf.DUMMYFUNCTION("""COMPUTED_VALUE"""),"Adventuring Gear")</f>
        <v>Adventuring Gear</v>
      </c>
      <c r="B16" s="4" t="str">
        <f>IFERROR(__xludf.DUMMYFUNCTION("""COMPUTED_VALUE"""),"-")</f>
        <v>-</v>
      </c>
      <c r="C16" s="8" t="str">
        <f>IFERROR(__xludf.DUMMYFUNCTION("""COMPUTED_VALUE"""),"Vial")</f>
        <v>Vial</v>
      </c>
      <c r="D16" s="5" t="str">
        <f>IFERROR(__xludf.DUMMYFUNCTION("""COMPUTED_VALUE"""),"-")</f>
        <v>-</v>
      </c>
      <c r="E16" s="6">
        <f>IFERROR(__xludf.DUMMYFUNCTION("""COMPUTED_VALUE"""),1.0)</f>
        <v>1</v>
      </c>
      <c r="F16" s="6">
        <f>IFERROR(__xludf.DUMMYFUNCTION("""COMPUTED_VALUE"""),0.75)</f>
        <v>0.75</v>
      </c>
      <c r="G16" s="6">
        <f>IFERROR(__xludf.DUMMYFUNCTION("""COMPUTED_VALUE"""),1.5)</f>
        <v>1.5</v>
      </c>
      <c r="H16" s="4" t="str">
        <f>IFERROR(__xludf.DUMMYFUNCTION("""COMPUTED_VALUE"""),"PHB 2024")</f>
        <v>PHB 2024</v>
      </c>
      <c r="I16" s="4" t="str">
        <f>IFERROR(__xludf.DUMMYFUNCTION("""COMPUTED_VALUE"""),"x")</f>
        <v>x</v>
      </c>
      <c r="J16" s="4" t="str">
        <f>IFERROR(__xludf.DUMMYFUNCTION("""COMPUTED_VALUE"""),"x")</f>
        <v>x</v>
      </c>
      <c r="K16" s="4" t="str">
        <f>IFERROR(__xludf.DUMMYFUNCTION("""COMPUTED_VALUE"""),"x")</f>
        <v>x</v>
      </c>
      <c r="L16" s="4"/>
      <c r="M16" s="7"/>
      <c r="N16" s="7"/>
      <c r="O16" s="7" t="str">
        <f>IFERROR(__xludf.DUMMYFUNCTION("""COMPUTED_VALUE"""),"x")</f>
        <v>x</v>
      </c>
      <c r="P16" s="7" t="str">
        <f>IFERROR(__xludf.DUMMYFUNCTION("""COMPUTED_VALUE"""),"x")</f>
        <v>x</v>
      </c>
      <c r="Q16" s="7" t="str">
        <f>IFERROR(__xludf.DUMMYFUNCTION("""COMPUTED_VALUE"""),"x")</f>
        <v>x</v>
      </c>
      <c r="R16" s="7"/>
      <c r="S16" s="7"/>
      <c r="T16" s="7" t="str">
        <f>IFERROR(__xludf.DUMMYFUNCTION("""COMPUTED_VALUE"""),"x")</f>
        <v>x</v>
      </c>
      <c r="U16" s="7" t="str">
        <f>IFERROR(__xludf.DUMMYFUNCTION("""COMPUTED_VALUE"""),"x")</f>
        <v>x</v>
      </c>
      <c r="V16" s="7"/>
      <c r="W16" s="7" t="str">
        <f>IFERROR(__xludf.DUMMYFUNCTION("""COMPUTED_VALUE"""),"x")</f>
        <v>x</v>
      </c>
      <c r="X16" s="7"/>
      <c r="Y16" s="7"/>
    </row>
    <row r="17">
      <c r="A17" s="4" t="str">
        <f>IFERROR(__xludf.DUMMYFUNCTION("""COMPUTED_VALUE"""),"Armor")</f>
        <v>Armor</v>
      </c>
      <c r="B17" s="4" t="str">
        <f>IFERROR(__xludf.DUMMYFUNCTION("""COMPUTED_VALUE"""),"Light Armor")</f>
        <v>Light Armor</v>
      </c>
      <c r="C17" s="8" t="str">
        <f>IFERROR(__xludf.DUMMYFUNCTION("""COMPUTED_VALUE"""),"Padded Armor")</f>
        <v>Padded Armor</v>
      </c>
      <c r="D17" s="5">
        <f>IFERROR(__xludf.DUMMYFUNCTION("""COMPUTED_VALUE"""),8.0)</f>
        <v>8</v>
      </c>
      <c r="E17" s="6">
        <f>IFERROR(__xludf.DUMMYFUNCTION("""COMPUTED_VALUE"""),5.0)</f>
        <v>5</v>
      </c>
      <c r="F17" s="6">
        <f>IFERROR(__xludf.DUMMYFUNCTION("""COMPUTED_VALUE"""),3.75)</f>
        <v>3.75</v>
      </c>
      <c r="G17" s="6">
        <f>IFERROR(__xludf.DUMMYFUNCTION("""COMPUTED_VALUE"""),7.5)</f>
        <v>7.5</v>
      </c>
      <c r="H17" s="4" t="str">
        <f>IFERROR(__xludf.DUMMYFUNCTION("""COMPUTED_VALUE"""),"PHB 2024")</f>
        <v>PHB 2024</v>
      </c>
      <c r="I17" s="4"/>
      <c r="J17" s="4" t="str">
        <f>IFERROR(__xludf.DUMMYFUNCTION("""COMPUTED_VALUE"""),"x")</f>
        <v>x</v>
      </c>
      <c r="K17" s="4" t="str">
        <f>IFERROR(__xludf.DUMMYFUNCTION("""COMPUTED_VALUE"""),"x")</f>
        <v>x</v>
      </c>
      <c r="L17" s="7"/>
      <c r="M17" s="7"/>
      <c r="N17" s="7"/>
      <c r="O17" s="7"/>
      <c r="P17" s="4"/>
      <c r="Q17" s="7" t="str">
        <f>IFERROR(__xludf.DUMMYFUNCTION("""COMPUTED_VALUE"""),"x")</f>
        <v>x</v>
      </c>
      <c r="R17" s="7"/>
      <c r="S17" s="7"/>
      <c r="T17" s="7"/>
      <c r="U17" s="7"/>
      <c r="V17" s="7"/>
      <c r="W17" s="7" t="str">
        <f>IFERROR(__xludf.DUMMYFUNCTION("""COMPUTED_VALUE"""),"x")</f>
        <v>x</v>
      </c>
      <c r="X17" s="7"/>
      <c r="Y17" s="7"/>
    </row>
    <row r="18">
      <c r="A18" s="4" t="str">
        <f>IFERROR(__xludf.DUMMYFUNCTION("""COMPUTED_VALUE"""),"Armor")</f>
        <v>Armor</v>
      </c>
      <c r="B18" s="4" t="str">
        <f>IFERROR(__xludf.DUMMYFUNCTION("""COMPUTED_VALUE"""),"Light Armor")</f>
        <v>Light Armor</v>
      </c>
      <c r="C18" s="8" t="str">
        <f>IFERROR(__xludf.DUMMYFUNCTION("""COMPUTED_VALUE"""),"Leather Armor")</f>
        <v>Leather Armor</v>
      </c>
      <c r="D18" s="5">
        <f>IFERROR(__xludf.DUMMYFUNCTION("""COMPUTED_VALUE"""),10.0)</f>
        <v>10</v>
      </c>
      <c r="E18" s="6">
        <f>IFERROR(__xludf.DUMMYFUNCTION("""COMPUTED_VALUE"""),10.0)</f>
        <v>10</v>
      </c>
      <c r="F18" s="6">
        <f>IFERROR(__xludf.DUMMYFUNCTION("""COMPUTED_VALUE"""),7.5)</f>
        <v>7.5</v>
      </c>
      <c r="G18" s="6">
        <f>IFERROR(__xludf.DUMMYFUNCTION("""COMPUTED_VALUE"""),15.0)</f>
        <v>15</v>
      </c>
      <c r="H18" s="4" t="str">
        <f>IFERROR(__xludf.DUMMYFUNCTION("""COMPUTED_VALUE"""),"PHB 2024")</f>
        <v>PHB 2024</v>
      </c>
      <c r="I18" s="4" t="str">
        <f>IFERROR(__xludf.DUMMYFUNCTION("""COMPUTED_VALUE"""),"x")</f>
        <v>x</v>
      </c>
      <c r="J18" s="4" t="str">
        <f>IFERROR(__xludf.DUMMYFUNCTION("""COMPUTED_VALUE"""),"x")</f>
        <v>x</v>
      </c>
      <c r="K18" s="4" t="str">
        <f>IFERROR(__xludf.DUMMYFUNCTION("""COMPUTED_VALUE"""),"x")</f>
        <v>x</v>
      </c>
      <c r="L18" s="7"/>
      <c r="M18" s="7"/>
      <c r="N18" s="7" t="str">
        <f>IFERROR(__xludf.DUMMYFUNCTION("""COMPUTED_VALUE"""),"x")</f>
        <v>x</v>
      </c>
      <c r="O18" s="7"/>
      <c r="P18" s="7"/>
      <c r="Q18" s="7" t="str">
        <f>IFERROR(__xludf.DUMMYFUNCTION("""COMPUTED_VALUE"""),"x")</f>
        <v>x</v>
      </c>
      <c r="R18" s="4"/>
      <c r="S18" s="7"/>
      <c r="T18" s="7"/>
      <c r="U18" s="7"/>
      <c r="V18" s="7"/>
      <c r="W18" s="7" t="str">
        <f>IFERROR(__xludf.DUMMYFUNCTION("""COMPUTED_VALUE"""),"x")</f>
        <v>x</v>
      </c>
      <c r="X18" s="7"/>
      <c r="Y18" s="7"/>
    </row>
    <row r="19">
      <c r="A19" s="4" t="str">
        <f>IFERROR(__xludf.DUMMYFUNCTION("""COMPUTED_VALUE"""),"Armor")</f>
        <v>Armor</v>
      </c>
      <c r="B19" s="4" t="str">
        <f>IFERROR(__xludf.DUMMYFUNCTION("""COMPUTED_VALUE"""),"Light Armor")</f>
        <v>Light Armor</v>
      </c>
      <c r="C19" s="8" t="str">
        <f>IFERROR(__xludf.DUMMYFUNCTION("""COMPUTED_VALUE"""),"Studded Leather Armor")</f>
        <v>Studded Leather Armor</v>
      </c>
      <c r="D19" s="5">
        <f>IFERROR(__xludf.DUMMYFUNCTION("""COMPUTED_VALUE"""),13.0)</f>
        <v>13</v>
      </c>
      <c r="E19" s="6">
        <f>IFERROR(__xludf.DUMMYFUNCTION("""COMPUTED_VALUE"""),45.0)</f>
        <v>45</v>
      </c>
      <c r="F19" s="6">
        <f>IFERROR(__xludf.DUMMYFUNCTION("""COMPUTED_VALUE"""),33.75)</f>
        <v>33.75</v>
      </c>
      <c r="G19" s="6">
        <f>IFERROR(__xludf.DUMMYFUNCTION("""COMPUTED_VALUE"""),67.5)</f>
        <v>67.5</v>
      </c>
      <c r="H19" s="4" t="str">
        <f>IFERROR(__xludf.DUMMYFUNCTION("""COMPUTED_VALUE"""),"PHB 2024")</f>
        <v>PHB 2024</v>
      </c>
      <c r="I19" s="4"/>
      <c r="J19" s="4" t="str">
        <f>IFERROR(__xludf.DUMMYFUNCTION("""COMPUTED_VALUE"""),"x")</f>
        <v>x</v>
      </c>
      <c r="K19" s="4" t="str">
        <f>IFERROR(__xludf.DUMMYFUNCTION("""COMPUTED_VALUE"""),"x")</f>
        <v>x</v>
      </c>
      <c r="L19" s="7"/>
      <c r="M19" s="7"/>
      <c r="N19" s="7" t="str">
        <f>IFERROR(__xludf.DUMMYFUNCTION("""COMPUTED_VALUE"""),"x")</f>
        <v>x</v>
      </c>
      <c r="O19" s="7"/>
      <c r="P19" s="7"/>
      <c r="Q19" s="4" t="str">
        <f>IFERROR(__xludf.DUMMYFUNCTION("""COMPUTED_VALUE"""),"x")</f>
        <v>x</v>
      </c>
      <c r="R19" s="7"/>
      <c r="S19" s="7"/>
      <c r="T19" s="7"/>
      <c r="U19" s="7"/>
      <c r="V19" s="7"/>
      <c r="W19" s="7" t="str">
        <f>IFERROR(__xludf.DUMMYFUNCTION("""COMPUTED_VALUE"""),"x")</f>
        <v>x</v>
      </c>
      <c r="X19" s="7"/>
      <c r="Y19" s="7"/>
    </row>
    <row r="20">
      <c r="A20" s="4" t="str">
        <f>IFERROR(__xludf.DUMMYFUNCTION("""COMPUTED_VALUE"""),"Tools")</f>
        <v>Tools</v>
      </c>
      <c r="B20" s="4" t="str">
        <f>IFERROR(__xludf.DUMMYFUNCTION("""COMPUTED_VALUE"""),"-")</f>
        <v>-</v>
      </c>
      <c r="C20" s="8" t="str">
        <f>IFERROR(__xludf.DUMMYFUNCTION("""COMPUTED_VALUE"""),"Disguise Kit")</f>
        <v>Disguise Kit</v>
      </c>
      <c r="D20" s="5">
        <f>IFERROR(__xludf.DUMMYFUNCTION("""COMPUTED_VALUE"""),3.0)</f>
        <v>3</v>
      </c>
      <c r="E20" s="6">
        <f>IFERROR(__xludf.DUMMYFUNCTION("""COMPUTED_VALUE"""),25.0)</f>
        <v>25</v>
      </c>
      <c r="F20" s="6">
        <f>IFERROR(__xludf.DUMMYFUNCTION("""COMPUTED_VALUE"""),18.75)</f>
        <v>18.75</v>
      </c>
      <c r="G20" s="6">
        <f>IFERROR(__xludf.DUMMYFUNCTION("""COMPUTED_VALUE"""),37.5)</f>
        <v>37.5</v>
      </c>
      <c r="H20" s="4" t="str">
        <f>IFERROR(__xludf.DUMMYFUNCTION("""COMPUTED_VALUE"""),"PHB 2024")</f>
        <v>PHB 2024</v>
      </c>
      <c r="I20" s="4"/>
      <c r="J20" s="4" t="str">
        <f>IFERROR(__xludf.DUMMYFUNCTION("""COMPUTED_VALUE"""),"x")</f>
        <v>x</v>
      </c>
      <c r="K20" s="4" t="str">
        <f>IFERROR(__xludf.DUMMYFUNCTION("""COMPUTED_VALUE"""),"x")</f>
        <v>x</v>
      </c>
      <c r="L20" s="4"/>
      <c r="M20" s="7"/>
      <c r="N20" s="7"/>
      <c r="O20" s="4"/>
      <c r="P20" s="7"/>
      <c r="Q20" s="7"/>
      <c r="R20" s="7"/>
      <c r="S20" s="7"/>
      <c r="T20" s="7"/>
      <c r="U20" s="7"/>
      <c r="V20" s="7"/>
      <c r="W20" s="7" t="str">
        <f>IFERROR(__xludf.DUMMYFUNCTION("""COMPUTED_VALUE"""),"x")</f>
        <v>x</v>
      </c>
      <c r="X20" s="7"/>
      <c r="Y20" s="7"/>
    </row>
    <row r="21">
      <c r="A21" s="4" t="str">
        <f>IFERROR(__xludf.DUMMYFUNCTION("""COMPUTED_VALUE"""),"Tools")</f>
        <v>Tools</v>
      </c>
      <c r="B21" s="4" t="str">
        <f>IFERROR(__xludf.DUMMYFUNCTION("""COMPUTED_VALUE"""),"-")</f>
        <v>-</v>
      </c>
      <c r="C21" s="8" t="str">
        <f>IFERROR(__xludf.DUMMYFUNCTION("""COMPUTED_VALUE"""),"Forgery Kit")</f>
        <v>Forgery Kit</v>
      </c>
      <c r="D21" s="5">
        <f>IFERROR(__xludf.DUMMYFUNCTION("""COMPUTED_VALUE"""),5.0)</f>
        <v>5</v>
      </c>
      <c r="E21" s="6">
        <f>IFERROR(__xludf.DUMMYFUNCTION("""COMPUTED_VALUE"""),15.0)</f>
        <v>15</v>
      </c>
      <c r="F21" s="6">
        <f>IFERROR(__xludf.DUMMYFUNCTION("""COMPUTED_VALUE"""),11.25)</f>
        <v>11.25</v>
      </c>
      <c r="G21" s="6">
        <f>IFERROR(__xludf.DUMMYFUNCTION("""COMPUTED_VALUE"""),22.5)</f>
        <v>22.5</v>
      </c>
      <c r="H21" s="4" t="str">
        <f>IFERROR(__xludf.DUMMYFUNCTION("""COMPUTED_VALUE"""),"PHB 2024")</f>
        <v>PHB 2024</v>
      </c>
      <c r="I21" s="4"/>
      <c r="J21" s="4" t="str">
        <f>IFERROR(__xludf.DUMMYFUNCTION("""COMPUTED_VALUE"""),"x")</f>
        <v>x</v>
      </c>
      <c r="K21" s="4" t="str">
        <f>IFERROR(__xludf.DUMMYFUNCTION("""COMPUTED_VALUE"""),"x")</f>
        <v>x</v>
      </c>
      <c r="L21" s="7"/>
      <c r="M21" s="7"/>
      <c r="N21" s="7"/>
      <c r="O21" s="4"/>
      <c r="P21" s="4"/>
      <c r="Q21" s="4"/>
      <c r="R21" s="7"/>
      <c r="S21" s="7"/>
      <c r="T21" s="7"/>
      <c r="U21" s="7"/>
      <c r="V21" s="7"/>
      <c r="W21" s="7" t="str">
        <f>IFERROR(__xludf.DUMMYFUNCTION("""COMPUTED_VALUE"""),"x")</f>
        <v>x</v>
      </c>
      <c r="X21" s="7"/>
      <c r="Y21" s="7"/>
    </row>
    <row r="22">
      <c r="A22" s="4" t="str">
        <f>IFERROR(__xludf.DUMMYFUNCTION("""COMPUTED_VALUE"""),"Tools")</f>
        <v>Tools</v>
      </c>
      <c r="B22" s="8" t="str">
        <f>IFERROR(__xludf.DUMMYFUNCTION("""COMPUTED_VALUE"""),"Gaming Set")</f>
        <v>Gaming Set</v>
      </c>
      <c r="C22" s="4" t="str">
        <f>IFERROR(__xludf.DUMMYFUNCTION("""COMPUTED_VALUE"""),"Dice")</f>
        <v>Dice</v>
      </c>
      <c r="D22" s="5" t="str">
        <f>IFERROR(__xludf.DUMMYFUNCTION("""COMPUTED_VALUE"""),"-")</f>
        <v>-</v>
      </c>
      <c r="E22" s="6">
        <f>IFERROR(__xludf.DUMMYFUNCTION("""COMPUTED_VALUE"""),0.1)</f>
        <v>0.1</v>
      </c>
      <c r="F22" s="6">
        <f>IFERROR(__xludf.DUMMYFUNCTION("""COMPUTED_VALUE"""),0.07500000000000001)</f>
        <v>0.075</v>
      </c>
      <c r="G22" s="6">
        <f>IFERROR(__xludf.DUMMYFUNCTION("""COMPUTED_VALUE"""),0.15000000000000002)</f>
        <v>0.15</v>
      </c>
      <c r="H22" s="4" t="str">
        <f>IFERROR(__xludf.DUMMYFUNCTION("""COMPUTED_VALUE"""),"PHB 2024")</f>
        <v>PHB 2024</v>
      </c>
      <c r="I22" s="4" t="str">
        <f>IFERROR(__xludf.DUMMYFUNCTION("""COMPUTED_VALUE"""),"x")</f>
        <v>x</v>
      </c>
      <c r="J22" s="4" t="str">
        <f>IFERROR(__xludf.DUMMYFUNCTION("""COMPUTED_VALUE"""),"x")</f>
        <v>x</v>
      </c>
      <c r="K22" s="4" t="str">
        <f>IFERROR(__xludf.DUMMYFUNCTION("""COMPUTED_VALUE"""),"x")</f>
        <v>x</v>
      </c>
      <c r="L22" s="4"/>
      <c r="M22" s="7"/>
      <c r="N22" s="7"/>
      <c r="O22" s="7"/>
      <c r="P22" s="7" t="str">
        <f>IFERROR(__xludf.DUMMYFUNCTION("""COMPUTED_VALUE"""),"x")</f>
        <v>x</v>
      </c>
      <c r="Q22" s="4"/>
      <c r="R22" s="7"/>
      <c r="S22" s="7"/>
      <c r="T22" s="7"/>
      <c r="U22" s="7"/>
      <c r="V22" s="7"/>
      <c r="W22" s="7" t="str">
        <f>IFERROR(__xludf.DUMMYFUNCTION("""COMPUTED_VALUE"""),"x")</f>
        <v>x</v>
      </c>
      <c r="X22" s="7"/>
      <c r="Y22" s="7"/>
    </row>
    <row r="23">
      <c r="A23" s="4" t="str">
        <f>IFERROR(__xludf.DUMMYFUNCTION("""COMPUTED_VALUE"""),"Tools")</f>
        <v>Tools</v>
      </c>
      <c r="B23" s="8" t="str">
        <f>IFERROR(__xludf.DUMMYFUNCTION("""COMPUTED_VALUE"""),"Gaming Set")</f>
        <v>Gaming Set</v>
      </c>
      <c r="C23" s="8" t="str">
        <f>IFERROR(__xludf.DUMMYFUNCTION("""COMPUTED_VALUE"""),"Playing Cards")</f>
        <v>Playing Cards</v>
      </c>
      <c r="D23" s="5" t="str">
        <f>IFERROR(__xludf.DUMMYFUNCTION("""COMPUTED_VALUE"""),"-")</f>
        <v>-</v>
      </c>
      <c r="E23" s="6">
        <f>IFERROR(__xludf.DUMMYFUNCTION("""COMPUTED_VALUE"""),0.5)</f>
        <v>0.5</v>
      </c>
      <c r="F23" s="6">
        <f>IFERROR(__xludf.DUMMYFUNCTION("""COMPUTED_VALUE"""),0.375)</f>
        <v>0.375</v>
      </c>
      <c r="G23" s="6">
        <f>IFERROR(__xludf.DUMMYFUNCTION("""COMPUTED_VALUE"""),0.75)</f>
        <v>0.75</v>
      </c>
      <c r="H23" s="4" t="str">
        <f>IFERROR(__xludf.DUMMYFUNCTION("""COMPUTED_VALUE"""),"PHB 2024")</f>
        <v>PHB 2024</v>
      </c>
      <c r="I23" s="4" t="str">
        <f>IFERROR(__xludf.DUMMYFUNCTION("""COMPUTED_VALUE"""),"x")</f>
        <v>x</v>
      </c>
      <c r="J23" s="4" t="str">
        <f>IFERROR(__xludf.DUMMYFUNCTION("""COMPUTED_VALUE"""),"x")</f>
        <v>x</v>
      </c>
      <c r="K23" s="4" t="str">
        <f>IFERROR(__xludf.DUMMYFUNCTION("""COMPUTED_VALUE"""),"x")</f>
        <v>x</v>
      </c>
      <c r="L23" s="7"/>
      <c r="M23" s="7"/>
      <c r="N23" s="7"/>
      <c r="O23" s="4"/>
      <c r="P23" s="7" t="str">
        <f>IFERROR(__xludf.DUMMYFUNCTION("""COMPUTED_VALUE"""),"x")</f>
        <v>x</v>
      </c>
      <c r="Q23" s="7"/>
      <c r="R23" s="7"/>
      <c r="S23" s="7"/>
      <c r="T23" s="7"/>
      <c r="U23" s="4"/>
      <c r="V23" s="7"/>
      <c r="W23" s="7" t="str">
        <f>IFERROR(__xludf.DUMMYFUNCTION("""COMPUTED_VALUE"""),"x")</f>
        <v>x</v>
      </c>
      <c r="X23" s="7"/>
      <c r="Y23" s="7"/>
    </row>
    <row r="24">
      <c r="A24" s="4" t="str">
        <f>IFERROR(__xludf.DUMMYFUNCTION("""COMPUTED_VALUE"""),"Tools")</f>
        <v>Tools</v>
      </c>
      <c r="B24" s="4" t="str">
        <f>IFERROR(__xludf.DUMMYFUNCTION("""COMPUTED_VALUE"""),"-")</f>
        <v>-</v>
      </c>
      <c r="C24" s="8" t="str">
        <f>IFERROR(__xludf.DUMMYFUNCTION("""COMPUTED_VALUE"""),"Poisoner's Kit")</f>
        <v>Poisoner's Kit</v>
      </c>
      <c r="D24" s="5">
        <f>IFERROR(__xludf.DUMMYFUNCTION("""COMPUTED_VALUE"""),2.0)</f>
        <v>2</v>
      </c>
      <c r="E24" s="6">
        <f>IFERROR(__xludf.DUMMYFUNCTION("""COMPUTED_VALUE"""),50.0)</f>
        <v>50</v>
      </c>
      <c r="F24" s="6">
        <f>IFERROR(__xludf.DUMMYFUNCTION("""COMPUTED_VALUE"""),37.5)</f>
        <v>37.5</v>
      </c>
      <c r="G24" s="6">
        <f>IFERROR(__xludf.DUMMYFUNCTION("""COMPUTED_VALUE"""),75.0)</f>
        <v>75</v>
      </c>
      <c r="H24" s="4" t="str">
        <f>IFERROR(__xludf.DUMMYFUNCTION("""COMPUTED_VALUE"""),"PHB 2024")</f>
        <v>PHB 2024</v>
      </c>
      <c r="I24" s="4" t="str">
        <f>IFERROR(__xludf.DUMMYFUNCTION("""COMPUTED_VALUE"""),"x")</f>
        <v>x</v>
      </c>
      <c r="J24" s="4" t="str">
        <f>IFERROR(__xludf.DUMMYFUNCTION("""COMPUTED_VALUE"""),"x")</f>
        <v>x</v>
      </c>
      <c r="K24" s="4" t="str">
        <f>IFERROR(__xludf.DUMMYFUNCTION("""COMPUTED_VALUE"""),"x")</f>
        <v>x</v>
      </c>
      <c r="L24" s="7"/>
      <c r="M24" s="7"/>
      <c r="N24" s="7"/>
      <c r="O24" s="7"/>
      <c r="P24" s="4"/>
      <c r="Q24" s="4"/>
      <c r="R24" s="7"/>
      <c r="S24" s="7"/>
      <c r="T24" s="7"/>
      <c r="U24" s="4"/>
      <c r="V24" s="7"/>
      <c r="W24" s="7" t="str">
        <f>IFERROR(__xludf.DUMMYFUNCTION("""COMPUTED_VALUE"""),"x")</f>
        <v>x</v>
      </c>
      <c r="X24" s="7"/>
      <c r="Y24" s="7"/>
    </row>
    <row r="25">
      <c r="A25" s="4" t="str">
        <f>IFERROR(__xludf.DUMMYFUNCTION("""COMPUTED_VALUE"""),"Tools")</f>
        <v>Tools</v>
      </c>
      <c r="B25" s="4" t="str">
        <f>IFERROR(__xludf.DUMMYFUNCTION("""COMPUTED_VALUE"""),"-")</f>
        <v>-</v>
      </c>
      <c r="C25" s="8" t="str">
        <f>IFERROR(__xludf.DUMMYFUNCTION("""COMPUTED_VALUE"""),"Thieves' Tools")</f>
        <v>Thieves' Tools</v>
      </c>
      <c r="D25" s="5">
        <f>IFERROR(__xludf.DUMMYFUNCTION("""COMPUTED_VALUE"""),1.0)</f>
        <v>1</v>
      </c>
      <c r="E25" s="6">
        <f>IFERROR(__xludf.DUMMYFUNCTION("""COMPUTED_VALUE"""),25.0)</f>
        <v>25</v>
      </c>
      <c r="F25" s="6">
        <f>IFERROR(__xludf.DUMMYFUNCTION("""COMPUTED_VALUE"""),18.75)</f>
        <v>18.75</v>
      </c>
      <c r="G25" s="6">
        <f>IFERROR(__xludf.DUMMYFUNCTION("""COMPUTED_VALUE"""),37.5)</f>
        <v>37.5</v>
      </c>
      <c r="H25" s="4" t="str">
        <f>IFERROR(__xludf.DUMMYFUNCTION("""COMPUTED_VALUE"""),"PHB 2024")</f>
        <v>PHB 2024</v>
      </c>
      <c r="I25" s="4" t="str">
        <f>IFERROR(__xludf.DUMMYFUNCTION("""COMPUTED_VALUE"""),"x")</f>
        <v>x</v>
      </c>
      <c r="J25" s="4" t="str">
        <f>IFERROR(__xludf.DUMMYFUNCTION("""COMPUTED_VALUE"""),"x")</f>
        <v>x</v>
      </c>
      <c r="K25" s="4" t="str">
        <f>IFERROR(__xludf.DUMMYFUNCTION("""COMPUTED_VALUE"""),"x")</f>
        <v>x</v>
      </c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 t="str">
        <f>IFERROR(__xludf.DUMMYFUNCTION("""COMPUTED_VALUE"""),"x")</f>
        <v>x</v>
      </c>
      <c r="X25" s="7"/>
      <c r="Y25" s="7"/>
    </row>
    <row r="26">
      <c r="A26" s="4" t="str">
        <f>IFERROR(__xludf.DUMMYFUNCTION("""COMPUTED_VALUE"""),"Weapons")</f>
        <v>Weapons</v>
      </c>
      <c r="B26" s="4" t="str">
        <f>IFERROR(__xludf.DUMMYFUNCTION("""COMPUTED_VALUE"""),"Simple Melee Weapons")</f>
        <v>Simple Melee Weapons</v>
      </c>
      <c r="C26" s="8" t="str">
        <f>IFERROR(__xludf.DUMMYFUNCTION("""COMPUTED_VALUE"""),"Dagger")</f>
        <v>Dagger</v>
      </c>
      <c r="D26" s="5">
        <f>IFERROR(__xludf.DUMMYFUNCTION("""COMPUTED_VALUE"""),1.0)</f>
        <v>1</v>
      </c>
      <c r="E26" s="6">
        <f>IFERROR(__xludf.DUMMYFUNCTION("""COMPUTED_VALUE"""),2.0)</f>
        <v>2</v>
      </c>
      <c r="F26" s="6">
        <f>IFERROR(__xludf.DUMMYFUNCTION("""COMPUTED_VALUE"""),1.5)</f>
        <v>1.5</v>
      </c>
      <c r="G26" s="6">
        <f>IFERROR(__xludf.DUMMYFUNCTION("""COMPUTED_VALUE"""),3.0)</f>
        <v>3</v>
      </c>
      <c r="H26" s="4" t="str">
        <f>IFERROR(__xludf.DUMMYFUNCTION("""COMPUTED_VALUE"""),"PHB 2024")</f>
        <v>PHB 2024</v>
      </c>
      <c r="I26" s="4" t="str">
        <f>IFERROR(__xludf.DUMMYFUNCTION("""COMPUTED_VALUE"""),"x")</f>
        <v>x</v>
      </c>
      <c r="J26" s="4" t="str">
        <f>IFERROR(__xludf.DUMMYFUNCTION("""COMPUTED_VALUE"""),"x")</f>
        <v>x</v>
      </c>
      <c r="K26" s="4" t="str">
        <f>IFERROR(__xludf.DUMMYFUNCTION("""COMPUTED_VALUE"""),"x")</f>
        <v>x</v>
      </c>
      <c r="L26" s="7" t="str">
        <f>IFERROR(__xludf.DUMMYFUNCTION("""COMPUTED_VALUE"""),"x")</f>
        <v>x</v>
      </c>
      <c r="M26" s="7"/>
      <c r="N26" s="7"/>
      <c r="O26" s="7"/>
      <c r="P26" s="7"/>
      <c r="Q26" s="7" t="str">
        <f>IFERROR(__xludf.DUMMYFUNCTION("""COMPUTED_VALUE"""),"x")</f>
        <v>x</v>
      </c>
      <c r="R26" s="7"/>
      <c r="S26" s="7"/>
      <c r="T26" s="7"/>
      <c r="U26" s="7"/>
      <c r="V26" s="7"/>
      <c r="W26" s="4" t="str">
        <f>IFERROR(__xludf.DUMMYFUNCTION("""COMPUTED_VALUE"""),"x")</f>
        <v>x</v>
      </c>
      <c r="X26" s="7"/>
      <c r="Y26" s="7"/>
    </row>
    <row r="27">
      <c r="A27" s="4" t="str">
        <f>IFERROR(__xludf.DUMMYFUNCTION("""COMPUTED_VALUE"""),"Weapons")</f>
        <v>Weapons</v>
      </c>
      <c r="B27" s="4" t="str">
        <f>IFERROR(__xludf.DUMMYFUNCTION("""COMPUTED_VALUE"""),"Simple Ranged Weapons")</f>
        <v>Simple Ranged Weapons</v>
      </c>
      <c r="C27" s="8" t="str">
        <f>IFERROR(__xludf.DUMMYFUNCTION("""COMPUTED_VALUE"""),"Dart")</f>
        <v>Dart</v>
      </c>
      <c r="D27" s="5">
        <f>IFERROR(__xludf.DUMMYFUNCTION("""COMPUTED_VALUE"""),0.25)</f>
        <v>0.25</v>
      </c>
      <c r="E27" s="6">
        <f>IFERROR(__xludf.DUMMYFUNCTION("""COMPUTED_VALUE"""),5.0)</f>
        <v>5</v>
      </c>
      <c r="F27" s="6">
        <f>IFERROR(__xludf.DUMMYFUNCTION("""COMPUTED_VALUE"""),3.75)</f>
        <v>3.75</v>
      </c>
      <c r="G27" s="6">
        <f>IFERROR(__xludf.DUMMYFUNCTION("""COMPUTED_VALUE"""),7.5)</f>
        <v>7.5</v>
      </c>
      <c r="H27" s="4" t="str">
        <f>IFERROR(__xludf.DUMMYFUNCTION("""COMPUTED_VALUE"""),"PHB 2024")</f>
        <v>PHB 2024</v>
      </c>
      <c r="I27" s="4" t="str">
        <f>IFERROR(__xludf.DUMMYFUNCTION("""COMPUTED_VALUE"""),"x")</f>
        <v>x</v>
      </c>
      <c r="J27" s="4" t="str">
        <f>IFERROR(__xludf.DUMMYFUNCTION("""COMPUTED_VALUE"""),"x")</f>
        <v>x</v>
      </c>
      <c r="K27" s="4" t="str">
        <f>IFERROR(__xludf.DUMMYFUNCTION("""COMPUTED_VALUE"""),"x")</f>
        <v>x</v>
      </c>
      <c r="L27" s="7"/>
      <c r="M27" s="7"/>
      <c r="N27" s="7"/>
      <c r="O27" s="7"/>
      <c r="P27" s="7"/>
      <c r="Q27" s="7" t="str">
        <f>IFERROR(__xludf.DUMMYFUNCTION("""COMPUTED_VALUE"""),"x")</f>
        <v>x</v>
      </c>
      <c r="R27" s="7"/>
      <c r="S27" s="7"/>
      <c r="T27" s="7"/>
      <c r="U27" s="7"/>
      <c r="V27" s="7"/>
      <c r="W27" s="4" t="str">
        <f>IFERROR(__xludf.DUMMYFUNCTION("""COMPUTED_VALUE"""),"x")</f>
        <v>x</v>
      </c>
      <c r="X27" s="7"/>
      <c r="Y27" s="7"/>
    </row>
    <row r="28">
      <c r="A28" s="4" t="str">
        <f>IFERROR(__xludf.DUMMYFUNCTION("""COMPUTED_VALUE"""),"Weapons")</f>
        <v>Weapons</v>
      </c>
      <c r="B28" s="4" t="str">
        <f>IFERROR(__xludf.DUMMYFUNCTION("""COMPUTED_VALUE"""),"Simple Ranged Weapons")</f>
        <v>Simple Ranged Weapons</v>
      </c>
      <c r="C28" s="8" t="str">
        <f>IFERROR(__xludf.DUMMYFUNCTION("""COMPUTED_VALUE"""),"Crossbow, Light")</f>
        <v>Crossbow, Light</v>
      </c>
      <c r="D28" s="5">
        <f>IFERROR(__xludf.DUMMYFUNCTION("""COMPUTED_VALUE"""),5.0)</f>
        <v>5</v>
      </c>
      <c r="E28" s="6">
        <f>IFERROR(__xludf.DUMMYFUNCTION("""COMPUTED_VALUE"""),25.0)</f>
        <v>25</v>
      </c>
      <c r="F28" s="6">
        <f>IFERROR(__xludf.DUMMYFUNCTION("""COMPUTED_VALUE"""),18.75)</f>
        <v>18.75</v>
      </c>
      <c r="G28" s="6">
        <f>IFERROR(__xludf.DUMMYFUNCTION("""COMPUTED_VALUE"""),37.5)</f>
        <v>37.5</v>
      </c>
      <c r="H28" s="4" t="str">
        <f>IFERROR(__xludf.DUMMYFUNCTION("""COMPUTED_VALUE"""),"PHB 2024")</f>
        <v>PHB 2024</v>
      </c>
      <c r="I28" s="4" t="str">
        <f>IFERROR(__xludf.DUMMYFUNCTION("""COMPUTED_VALUE"""),"x")</f>
        <v>x</v>
      </c>
      <c r="J28" s="4" t="str">
        <f>IFERROR(__xludf.DUMMYFUNCTION("""COMPUTED_VALUE"""),"x")</f>
        <v>x</v>
      </c>
      <c r="K28" s="4" t="str">
        <f>IFERROR(__xludf.DUMMYFUNCTION("""COMPUTED_VALUE"""),"x")</f>
        <v>x</v>
      </c>
      <c r="L28" s="7"/>
      <c r="M28" s="7" t="str">
        <f>IFERROR(__xludf.DUMMYFUNCTION("""COMPUTED_VALUE"""),"x")</f>
        <v>x</v>
      </c>
      <c r="N28" s="7"/>
      <c r="O28" s="4"/>
      <c r="P28" s="4"/>
      <c r="Q28" s="4" t="str">
        <f>IFERROR(__xludf.DUMMYFUNCTION("""COMPUTED_VALUE"""),"x")</f>
        <v>x</v>
      </c>
      <c r="R28" s="7"/>
      <c r="S28" s="7"/>
      <c r="T28" s="7"/>
      <c r="U28" s="4"/>
      <c r="V28" s="7"/>
      <c r="W28" s="7" t="str">
        <f>IFERROR(__xludf.DUMMYFUNCTION("""COMPUTED_VALUE"""),"x")</f>
        <v>x</v>
      </c>
      <c r="X28" s="7"/>
      <c r="Y28" s="7"/>
    </row>
    <row r="29">
      <c r="A29" s="4" t="str">
        <f>IFERROR(__xludf.DUMMYFUNCTION("""COMPUTED_VALUE"""),"Weapons")</f>
        <v>Weapons</v>
      </c>
      <c r="B29" s="4" t="str">
        <f>IFERROR(__xludf.DUMMYFUNCTION("""COMPUTED_VALUE"""),"Simple Ranged Weapons")</f>
        <v>Simple Ranged Weapons</v>
      </c>
      <c r="C29" s="8" t="str">
        <f>IFERROR(__xludf.DUMMYFUNCTION("""COMPUTED_VALUE"""),"Shortbow")</f>
        <v>Shortbow</v>
      </c>
      <c r="D29" s="5">
        <f>IFERROR(__xludf.DUMMYFUNCTION("""COMPUTED_VALUE"""),2.0)</f>
        <v>2</v>
      </c>
      <c r="E29" s="6">
        <f>IFERROR(__xludf.DUMMYFUNCTION("""COMPUTED_VALUE"""),25.0)</f>
        <v>25</v>
      </c>
      <c r="F29" s="6">
        <f>IFERROR(__xludf.DUMMYFUNCTION("""COMPUTED_VALUE"""),18.75)</f>
        <v>18.75</v>
      </c>
      <c r="G29" s="6">
        <f>IFERROR(__xludf.DUMMYFUNCTION("""COMPUTED_VALUE"""),37.5)</f>
        <v>37.5</v>
      </c>
      <c r="H29" s="4" t="str">
        <f>IFERROR(__xludf.DUMMYFUNCTION("""COMPUTED_VALUE"""),"PHB 2024")</f>
        <v>PHB 2024</v>
      </c>
      <c r="I29" s="4" t="str">
        <f>IFERROR(__xludf.DUMMYFUNCTION("""COMPUTED_VALUE"""),"x")</f>
        <v>x</v>
      </c>
      <c r="J29" s="4" t="str">
        <f>IFERROR(__xludf.DUMMYFUNCTION("""COMPUTED_VALUE"""),"x")</f>
        <v>x</v>
      </c>
      <c r="K29" s="4" t="str">
        <f>IFERROR(__xludf.DUMMYFUNCTION("""COMPUTED_VALUE"""),"x")</f>
        <v>x</v>
      </c>
      <c r="L29" s="7"/>
      <c r="M29" s="4" t="str">
        <f>IFERROR(__xludf.DUMMYFUNCTION("""COMPUTED_VALUE"""),"x")</f>
        <v>x</v>
      </c>
      <c r="N29" s="7"/>
      <c r="O29" s="7"/>
      <c r="P29" s="7"/>
      <c r="Q29" s="4" t="str">
        <f>IFERROR(__xludf.DUMMYFUNCTION("""COMPUTED_VALUE"""),"x")</f>
        <v>x</v>
      </c>
      <c r="R29" s="7"/>
      <c r="S29" s="7"/>
      <c r="T29" s="7"/>
      <c r="U29" s="7"/>
      <c r="V29" s="7"/>
      <c r="W29" s="7" t="str">
        <f>IFERROR(__xludf.DUMMYFUNCTION("""COMPUTED_VALUE"""),"x")</f>
        <v>x</v>
      </c>
      <c r="X29" s="7"/>
      <c r="Y29" s="7"/>
    </row>
    <row r="30">
      <c r="A30" s="4" t="str">
        <f>IFERROR(__xludf.DUMMYFUNCTION("""COMPUTED_VALUE"""),"Weapons")</f>
        <v>Weapons</v>
      </c>
      <c r="B30" s="4" t="str">
        <f>IFERROR(__xludf.DUMMYFUNCTION("""COMPUTED_VALUE"""),"Martial Melee Weapons")</f>
        <v>Martial Melee Weapons</v>
      </c>
      <c r="C30" s="8" t="str">
        <f>IFERROR(__xludf.DUMMYFUNCTION("""COMPUTED_VALUE"""),"Rapier")</f>
        <v>Rapier</v>
      </c>
      <c r="D30" s="5">
        <f>IFERROR(__xludf.DUMMYFUNCTION("""COMPUTED_VALUE"""),2.0)</f>
        <v>2</v>
      </c>
      <c r="E30" s="6">
        <f>IFERROR(__xludf.DUMMYFUNCTION("""COMPUTED_VALUE"""),25.0)</f>
        <v>25</v>
      </c>
      <c r="F30" s="6">
        <f>IFERROR(__xludf.DUMMYFUNCTION("""COMPUTED_VALUE"""),18.75)</f>
        <v>18.75</v>
      </c>
      <c r="G30" s="6">
        <f>IFERROR(__xludf.DUMMYFUNCTION("""COMPUTED_VALUE"""),37.5)</f>
        <v>37.5</v>
      </c>
      <c r="H30" s="4" t="str">
        <f>IFERROR(__xludf.DUMMYFUNCTION("""COMPUTED_VALUE"""),"PHB 2024")</f>
        <v>PHB 2024</v>
      </c>
      <c r="I30" s="4" t="str">
        <f>IFERROR(__xludf.DUMMYFUNCTION("""COMPUTED_VALUE"""),"x")</f>
        <v>x</v>
      </c>
      <c r="J30" s="4" t="str">
        <f>IFERROR(__xludf.DUMMYFUNCTION("""COMPUTED_VALUE"""),"x")</f>
        <v>x</v>
      </c>
      <c r="K30" s="4" t="str">
        <f>IFERROR(__xludf.DUMMYFUNCTION("""COMPUTED_VALUE"""),"x")</f>
        <v>x</v>
      </c>
      <c r="L30" s="7" t="str">
        <f>IFERROR(__xludf.DUMMYFUNCTION("""COMPUTED_VALUE"""),"x")</f>
        <v>x</v>
      </c>
      <c r="M30" s="7"/>
      <c r="N30" s="7"/>
      <c r="O30" s="4"/>
      <c r="P30" s="7"/>
      <c r="Q30" s="4"/>
      <c r="R30" s="7"/>
      <c r="S30" s="7"/>
      <c r="T30" s="7"/>
      <c r="U30" s="4"/>
      <c r="V30" s="7"/>
      <c r="W30" s="7" t="str">
        <f>IFERROR(__xludf.DUMMYFUNCTION("""COMPUTED_VALUE"""),"x")</f>
        <v>x</v>
      </c>
      <c r="X30" s="7"/>
      <c r="Y30" s="7"/>
    </row>
    <row r="31">
      <c r="A31" s="4" t="str">
        <f>IFERROR(__xludf.DUMMYFUNCTION("""COMPUTED_VALUE"""),"Weapons")</f>
        <v>Weapons</v>
      </c>
      <c r="B31" s="4" t="str">
        <f>IFERROR(__xludf.DUMMYFUNCTION("""COMPUTED_VALUE"""),"Martial Melee Weapons")</f>
        <v>Martial Melee Weapons</v>
      </c>
      <c r="C31" s="8" t="str">
        <f>IFERROR(__xludf.DUMMYFUNCTION("""COMPUTED_VALUE"""),"Shortsword")</f>
        <v>Shortsword</v>
      </c>
      <c r="D31" s="5">
        <f>IFERROR(__xludf.DUMMYFUNCTION("""COMPUTED_VALUE"""),2.0)</f>
        <v>2</v>
      </c>
      <c r="E31" s="6">
        <f>IFERROR(__xludf.DUMMYFUNCTION("""COMPUTED_VALUE"""),10.0)</f>
        <v>10</v>
      </c>
      <c r="F31" s="6">
        <f>IFERROR(__xludf.DUMMYFUNCTION("""COMPUTED_VALUE"""),7.5)</f>
        <v>7.5</v>
      </c>
      <c r="G31" s="6">
        <f>IFERROR(__xludf.DUMMYFUNCTION("""COMPUTED_VALUE"""),15.0)</f>
        <v>15</v>
      </c>
      <c r="H31" s="4" t="str">
        <f>IFERROR(__xludf.DUMMYFUNCTION("""COMPUTED_VALUE"""),"PHB 2024")</f>
        <v>PHB 2024</v>
      </c>
      <c r="I31" s="4" t="str">
        <f>IFERROR(__xludf.DUMMYFUNCTION("""COMPUTED_VALUE"""),"x")</f>
        <v>x</v>
      </c>
      <c r="J31" s="4" t="str">
        <f>IFERROR(__xludf.DUMMYFUNCTION("""COMPUTED_VALUE"""),"x")</f>
        <v>x</v>
      </c>
      <c r="K31" s="4" t="str">
        <f>IFERROR(__xludf.DUMMYFUNCTION("""COMPUTED_VALUE"""),"x")</f>
        <v>x</v>
      </c>
      <c r="L31" s="4" t="str">
        <f>IFERROR(__xludf.DUMMYFUNCTION("""COMPUTED_VALUE"""),"x")</f>
        <v>x</v>
      </c>
      <c r="M31" s="7"/>
      <c r="N31" s="7"/>
      <c r="O31" s="7"/>
      <c r="P31" s="7"/>
      <c r="Q31" s="4"/>
      <c r="R31" s="7"/>
      <c r="S31" s="7"/>
      <c r="T31" s="7"/>
      <c r="U31" s="7"/>
      <c r="V31" s="7"/>
      <c r="W31" s="7" t="str">
        <f>IFERROR(__xludf.DUMMYFUNCTION("""COMPUTED_VALUE"""),"x")</f>
        <v>x</v>
      </c>
      <c r="X31" s="7"/>
      <c r="Y31" s="7"/>
    </row>
    <row r="32">
      <c r="A32" s="4" t="str">
        <f>IFERROR(__xludf.DUMMYFUNCTION("""COMPUTED_VALUE"""),"Weapons")</f>
        <v>Weapons</v>
      </c>
      <c r="B32" s="4" t="str">
        <f>IFERROR(__xludf.DUMMYFUNCTION("""COMPUTED_VALUE"""),"Martial Ranged Weapons")</f>
        <v>Martial Ranged Weapons</v>
      </c>
      <c r="C32" s="8" t="str">
        <f>IFERROR(__xludf.DUMMYFUNCTION("""COMPUTED_VALUE"""),"Blowgun")</f>
        <v>Blowgun</v>
      </c>
      <c r="D32" s="5">
        <f>IFERROR(__xludf.DUMMYFUNCTION("""COMPUTED_VALUE"""),1.0)</f>
        <v>1</v>
      </c>
      <c r="E32" s="6">
        <f>IFERROR(__xludf.DUMMYFUNCTION("""COMPUTED_VALUE"""),10.0)</f>
        <v>10</v>
      </c>
      <c r="F32" s="6">
        <f>IFERROR(__xludf.DUMMYFUNCTION("""COMPUTED_VALUE"""),7.5)</f>
        <v>7.5</v>
      </c>
      <c r="G32" s="6">
        <f>IFERROR(__xludf.DUMMYFUNCTION("""COMPUTED_VALUE"""),15.0)</f>
        <v>15</v>
      </c>
      <c r="H32" s="4" t="str">
        <f>IFERROR(__xludf.DUMMYFUNCTION("""COMPUTED_VALUE"""),"PHB 2024")</f>
        <v>PHB 2024</v>
      </c>
      <c r="I32" s="4" t="str">
        <f>IFERROR(__xludf.DUMMYFUNCTION("""COMPUTED_VALUE"""),"x")</f>
        <v>x</v>
      </c>
      <c r="J32" s="4"/>
      <c r="K32" s="4"/>
      <c r="L32" s="7"/>
      <c r="M32" s="7"/>
      <c r="N32" s="7"/>
      <c r="O32" s="7"/>
      <c r="P32" s="4"/>
      <c r="Q32" s="4" t="str">
        <f>IFERROR(__xludf.DUMMYFUNCTION("""COMPUTED_VALUE"""),"x")</f>
        <v>x</v>
      </c>
      <c r="R32" s="7"/>
      <c r="S32" s="7"/>
      <c r="T32" s="7"/>
      <c r="U32" s="7"/>
      <c r="V32" s="7"/>
      <c r="W32" s="7" t="str">
        <f>IFERROR(__xludf.DUMMYFUNCTION("""COMPUTED_VALUE"""),"x")</f>
        <v>x</v>
      </c>
      <c r="X32" s="7"/>
      <c r="Y32" s="7"/>
    </row>
    <row r="33">
      <c r="A33" s="4" t="str">
        <f>IFERROR(__xludf.DUMMYFUNCTION("""COMPUTED_VALUE"""),"Weapons")</f>
        <v>Weapons</v>
      </c>
      <c r="B33" s="4" t="str">
        <f>IFERROR(__xludf.DUMMYFUNCTION("""COMPUTED_VALUE"""),"Martial Ranged Weapons")</f>
        <v>Martial Ranged Weapons</v>
      </c>
      <c r="C33" s="8" t="str">
        <f>IFERROR(__xludf.DUMMYFUNCTION("""COMPUTED_VALUE"""),"Crossbow, Hand")</f>
        <v>Crossbow, Hand</v>
      </c>
      <c r="D33" s="5">
        <f>IFERROR(__xludf.DUMMYFUNCTION("""COMPUTED_VALUE"""),3.0)</f>
        <v>3</v>
      </c>
      <c r="E33" s="6">
        <f>IFERROR(__xludf.DUMMYFUNCTION("""COMPUTED_VALUE"""),75.0)</f>
        <v>75</v>
      </c>
      <c r="F33" s="6">
        <f>IFERROR(__xludf.DUMMYFUNCTION("""COMPUTED_VALUE"""),56.25)</f>
        <v>56.25</v>
      </c>
      <c r="G33" s="6">
        <f>IFERROR(__xludf.DUMMYFUNCTION("""COMPUTED_VALUE"""),112.5)</f>
        <v>112.5</v>
      </c>
      <c r="H33" s="4" t="str">
        <f>IFERROR(__xludf.DUMMYFUNCTION("""COMPUTED_VALUE"""),"PHB 2024")</f>
        <v>PHB 2024</v>
      </c>
      <c r="I33" s="4"/>
      <c r="J33" s="4" t="str">
        <f>IFERROR(__xludf.DUMMYFUNCTION("""COMPUTED_VALUE"""),"x")</f>
        <v>x</v>
      </c>
      <c r="K33" s="4" t="str">
        <f>IFERROR(__xludf.DUMMYFUNCTION("""COMPUTED_VALUE"""),"x")</f>
        <v>x</v>
      </c>
      <c r="L33" s="7"/>
      <c r="M33" s="7" t="str">
        <f>IFERROR(__xludf.DUMMYFUNCTION("""COMPUTED_VALUE"""),"x")</f>
        <v>x</v>
      </c>
      <c r="N33" s="7"/>
      <c r="O33" s="7"/>
      <c r="P33" s="7"/>
      <c r="Q33" s="4" t="str">
        <f>IFERROR(__xludf.DUMMYFUNCTION("""COMPUTED_VALUE"""),"x")</f>
        <v>x</v>
      </c>
      <c r="R33" s="7"/>
      <c r="S33" s="7"/>
      <c r="T33" s="7"/>
      <c r="U33" s="7"/>
      <c r="V33" s="7"/>
      <c r="W33" s="7" t="str">
        <f>IFERROR(__xludf.DUMMYFUNCTION("""COMPUTED_VALUE"""),"x")</f>
        <v>x</v>
      </c>
      <c r="X33" s="7"/>
      <c r="Y33" s="7"/>
    </row>
    <row r="34">
      <c r="A34" s="4" t="str">
        <f>IFERROR(__xludf.DUMMYFUNCTION("""COMPUTED_VALUE"""),"Weapons")</f>
        <v>Weapons</v>
      </c>
      <c r="B34" s="4" t="str">
        <f>IFERROR(__xludf.DUMMYFUNCTION("""COMPUTED_VALUE"""),"Martial Ranged Weapons")</f>
        <v>Martial Ranged Weapons</v>
      </c>
      <c r="C34" s="8" t="str">
        <f>IFERROR(__xludf.DUMMYFUNCTION("""COMPUTED_VALUE"""),"Crossbow, Heavy")</f>
        <v>Crossbow, Heavy</v>
      </c>
      <c r="D34" s="5">
        <f>IFERROR(__xludf.DUMMYFUNCTION("""COMPUTED_VALUE"""),18.0)</f>
        <v>18</v>
      </c>
      <c r="E34" s="6">
        <f>IFERROR(__xludf.DUMMYFUNCTION("""COMPUTED_VALUE"""),50.0)</f>
        <v>50</v>
      </c>
      <c r="F34" s="6">
        <f>IFERROR(__xludf.DUMMYFUNCTION("""COMPUTED_VALUE"""),37.5)</f>
        <v>37.5</v>
      </c>
      <c r="G34" s="6">
        <f>IFERROR(__xludf.DUMMYFUNCTION("""COMPUTED_VALUE"""),75.0)</f>
        <v>75</v>
      </c>
      <c r="H34" s="4" t="str">
        <f>IFERROR(__xludf.DUMMYFUNCTION("""COMPUTED_VALUE"""),"PHB 2024")</f>
        <v>PHB 2024</v>
      </c>
      <c r="I34" s="4"/>
      <c r="J34" s="4"/>
      <c r="K34" s="4" t="str">
        <f>IFERROR(__xludf.DUMMYFUNCTION("""COMPUTED_VALUE"""),"x")</f>
        <v>x</v>
      </c>
      <c r="L34" s="7"/>
      <c r="M34" s="7" t="str">
        <f>IFERROR(__xludf.DUMMYFUNCTION("""COMPUTED_VALUE"""),"x")</f>
        <v>x</v>
      </c>
      <c r="N34" s="7"/>
      <c r="O34" s="7"/>
      <c r="P34" s="4"/>
      <c r="Q34" s="7" t="str">
        <f>IFERROR(__xludf.DUMMYFUNCTION("""COMPUTED_VALUE"""),"x")</f>
        <v>x</v>
      </c>
      <c r="R34" s="4"/>
      <c r="S34" s="7"/>
      <c r="T34" s="7"/>
      <c r="U34" s="7"/>
      <c r="V34" s="7"/>
      <c r="W34" s="7" t="str">
        <f>IFERROR(__xludf.DUMMYFUNCTION("""COMPUTED_VALUE"""),"x")</f>
        <v>x</v>
      </c>
      <c r="X34" s="7"/>
      <c r="Y34" s="7"/>
    </row>
    <row r="35">
      <c r="A35" s="4" t="str">
        <f>IFERROR(__xludf.DUMMYFUNCTION("""COMPUTED_VALUE"""),"Weapons")</f>
        <v>Weapons</v>
      </c>
      <c r="B35" s="4" t="str">
        <f>IFERROR(__xludf.DUMMYFUNCTION("""COMPUTED_VALUE"""),"Martial Ranged Weapons")</f>
        <v>Martial Ranged Weapons</v>
      </c>
      <c r="C35" s="8" t="str">
        <f>IFERROR(__xludf.DUMMYFUNCTION("""COMPUTED_VALUE"""),"Longbow")</f>
        <v>Longbow</v>
      </c>
      <c r="D35" s="5">
        <f>IFERROR(__xludf.DUMMYFUNCTION("""COMPUTED_VALUE"""),2.0)</f>
        <v>2</v>
      </c>
      <c r="E35" s="6">
        <f>IFERROR(__xludf.DUMMYFUNCTION("""COMPUTED_VALUE"""),50.0)</f>
        <v>50</v>
      </c>
      <c r="F35" s="6">
        <f>IFERROR(__xludf.DUMMYFUNCTION("""COMPUTED_VALUE"""),37.5)</f>
        <v>37.5</v>
      </c>
      <c r="G35" s="6">
        <f>IFERROR(__xludf.DUMMYFUNCTION("""COMPUTED_VALUE"""),75.0)</f>
        <v>75</v>
      </c>
      <c r="H35" s="4" t="str">
        <f>IFERROR(__xludf.DUMMYFUNCTION("""COMPUTED_VALUE"""),"PHB 2024")</f>
        <v>PHB 2024</v>
      </c>
      <c r="I35" s="4" t="str">
        <f>IFERROR(__xludf.DUMMYFUNCTION("""COMPUTED_VALUE"""),"x")</f>
        <v>x</v>
      </c>
      <c r="J35" s="4" t="str">
        <f>IFERROR(__xludf.DUMMYFUNCTION("""COMPUTED_VALUE"""),"x")</f>
        <v>x</v>
      </c>
      <c r="K35" s="4" t="str">
        <f>IFERROR(__xludf.DUMMYFUNCTION("""COMPUTED_VALUE"""),"x")</f>
        <v>x</v>
      </c>
      <c r="L35" s="7"/>
      <c r="M35" s="7" t="str">
        <f>IFERROR(__xludf.DUMMYFUNCTION("""COMPUTED_VALUE"""),"x")</f>
        <v>x</v>
      </c>
      <c r="N35" s="7"/>
      <c r="O35" s="7"/>
      <c r="P35" s="7"/>
      <c r="Q35" s="4" t="str">
        <f>IFERROR(__xludf.DUMMYFUNCTION("""COMPUTED_VALUE"""),"x")</f>
        <v>x</v>
      </c>
      <c r="R35" s="4"/>
      <c r="S35" s="7"/>
      <c r="T35" s="7"/>
      <c r="U35" s="7"/>
      <c r="V35" s="7"/>
      <c r="W35" s="7" t="str">
        <f>IFERROR(__xludf.DUMMYFUNCTION("""COMPUTED_VALUE"""),"x")</f>
        <v>x</v>
      </c>
      <c r="X35" s="7"/>
      <c r="Y35" s="7"/>
    </row>
    <row r="36">
      <c r="A36" s="4"/>
      <c r="B36" s="4"/>
      <c r="C36" s="8"/>
      <c r="D36" s="5"/>
      <c r="E36" s="6"/>
      <c r="F36" s="6"/>
      <c r="G36" s="6"/>
      <c r="H36" s="4"/>
      <c r="I36" s="4"/>
      <c r="J36" s="4"/>
      <c r="K36" s="4"/>
      <c r="L36" s="7"/>
      <c r="M36" s="7"/>
      <c r="N36" s="7"/>
      <c r="O36" s="7"/>
      <c r="P36" s="7"/>
      <c r="Q36" s="7"/>
      <c r="R36" s="4"/>
      <c r="S36" s="7"/>
      <c r="T36" s="4"/>
      <c r="U36" s="4"/>
      <c r="V36" s="7"/>
      <c r="W36" s="7"/>
      <c r="X36" s="7"/>
      <c r="Y36" s="7"/>
    </row>
    <row r="37">
      <c r="A37" s="4"/>
      <c r="B37" s="4"/>
      <c r="C37" s="8"/>
      <c r="D37" s="5"/>
      <c r="E37" s="6"/>
      <c r="F37" s="6"/>
      <c r="G37" s="6"/>
      <c r="H37" s="4"/>
      <c r="I37" s="4"/>
      <c r="J37" s="4"/>
      <c r="K37" s="4"/>
      <c r="L37" s="7"/>
      <c r="M37" s="7"/>
      <c r="N37" s="7"/>
      <c r="O37" s="7"/>
      <c r="P37" s="7"/>
      <c r="Q37" s="7"/>
      <c r="R37" s="4"/>
      <c r="S37" s="7"/>
      <c r="T37" s="7"/>
      <c r="U37" s="7"/>
      <c r="V37" s="7"/>
      <c r="W37" s="4"/>
      <c r="X37" s="7"/>
      <c r="Y37" s="7"/>
    </row>
    <row r="38">
      <c r="A38" s="4"/>
      <c r="B38" s="4"/>
      <c r="C38" s="8"/>
      <c r="D38" s="5"/>
      <c r="E38" s="6"/>
      <c r="F38" s="6"/>
      <c r="G38" s="6"/>
      <c r="H38" s="4"/>
      <c r="I38" s="4"/>
      <c r="J38" s="4"/>
      <c r="K38" s="4"/>
      <c r="L38" s="4"/>
      <c r="M38" s="7"/>
      <c r="N38" s="7"/>
      <c r="O38" s="7"/>
      <c r="P38" s="7"/>
      <c r="Q38" s="4"/>
      <c r="R38" s="7"/>
      <c r="S38" s="7"/>
      <c r="T38" s="7"/>
      <c r="U38" s="7"/>
      <c r="V38" s="7"/>
      <c r="W38" s="4"/>
      <c r="X38" s="7"/>
      <c r="Y38" s="7"/>
    </row>
    <row r="39">
      <c r="A39" s="4"/>
      <c r="B39" s="4"/>
      <c r="C39" s="8"/>
      <c r="D39" s="5"/>
      <c r="E39" s="6"/>
      <c r="F39" s="6"/>
      <c r="G39" s="6"/>
      <c r="H39" s="4"/>
      <c r="I39" s="4"/>
      <c r="J39" s="4"/>
      <c r="K39" s="4"/>
      <c r="L39" s="7"/>
      <c r="M39" s="7"/>
      <c r="N39" s="7"/>
      <c r="O39" s="4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4"/>
      <c r="B40" s="8"/>
      <c r="C40" s="4"/>
      <c r="D40" s="5"/>
      <c r="E40" s="6"/>
      <c r="F40" s="6"/>
      <c r="G40" s="6"/>
      <c r="H40" s="4"/>
      <c r="I40" s="4"/>
      <c r="J40" s="4"/>
      <c r="K40" s="4"/>
      <c r="L40" s="7"/>
      <c r="M40" s="7"/>
      <c r="N40" s="7"/>
      <c r="O40" s="7"/>
      <c r="P40" s="7"/>
      <c r="Q40" s="7"/>
      <c r="R40" s="7"/>
      <c r="S40" s="7"/>
      <c r="T40" s="7"/>
      <c r="U40" s="4"/>
      <c r="V40" s="7"/>
      <c r="W40" s="7"/>
      <c r="X40" s="7"/>
      <c r="Y40" s="7"/>
    </row>
    <row r="41">
      <c r="A41" s="4"/>
      <c r="B41" s="8"/>
      <c r="C41" s="8"/>
      <c r="D41" s="5"/>
      <c r="E41" s="6"/>
      <c r="F41" s="6"/>
      <c r="G41" s="6"/>
      <c r="H41" s="4"/>
      <c r="I41" s="4"/>
      <c r="J41" s="4"/>
      <c r="K41" s="4"/>
      <c r="L41" s="7"/>
      <c r="M41" s="7"/>
      <c r="N41" s="7"/>
      <c r="O41" s="7"/>
      <c r="P41" s="7"/>
      <c r="Q41" s="7"/>
      <c r="R41" s="7"/>
      <c r="S41" s="7"/>
      <c r="T41" s="7"/>
      <c r="U41" s="4"/>
      <c r="V41" s="7"/>
      <c r="W41" s="7"/>
      <c r="X41" s="7"/>
      <c r="Y41" s="7"/>
    </row>
    <row r="42">
      <c r="A42" s="4"/>
      <c r="B42" s="8"/>
      <c r="C42" s="8"/>
      <c r="D42" s="5"/>
      <c r="E42" s="6"/>
      <c r="F42" s="6"/>
      <c r="G42" s="6"/>
      <c r="H42" s="4"/>
      <c r="I42" s="4"/>
      <c r="J42" s="4"/>
      <c r="K42" s="4"/>
      <c r="L42" s="7"/>
      <c r="M42" s="7"/>
      <c r="N42" s="7"/>
      <c r="O42" s="7"/>
      <c r="P42" s="7"/>
      <c r="Q42" s="7"/>
      <c r="R42" s="7"/>
      <c r="S42" s="7"/>
      <c r="T42" s="7"/>
      <c r="U42" s="4"/>
      <c r="V42" s="7"/>
      <c r="W42" s="7"/>
      <c r="X42" s="7"/>
      <c r="Y42" s="7"/>
    </row>
    <row r="43">
      <c r="A43" s="4"/>
      <c r="B43" s="4"/>
      <c r="C43" s="8"/>
      <c r="D43" s="5"/>
      <c r="E43" s="6"/>
      <c r="F43" s="6"/>
      <c r="G43" s="6"/>
      <c r="H43" s="4"/>
      <c r="I43" s="4"/>
      <c r="J43" s="4"/>
      <c r="K43" s="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4"/>
      <c r="B44" s="4"/>
      <c r="C44" s="8"/>
      <c r="D44" s="5"/>
      <c r="E44" s="6"/>
      <c r="F44" s="6"/>
      <c r="G44" s="6"/>
      <c r="H44" s="4"/>
      <c r="I44" s="4"/>
      <c r="J44" s="4"/>
      <c r="K44" s="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4"/>
      <c r="B45" s="4"/>
      <c r="C45" s="8"/>
      <c r="D45" s="5"/>
      <c r="E45" s="6"/>
      <c r="F45" s="6"/>
      <c r="G45" s="6"/>
      <c r="H45" s="4"/>
      <c r="I45" s="4"/>
      <c r="J45" s="4"/>
      <c r="K45" s="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4"/>
      <c r="B46" s="4"/>
      <c r="C46" s="8"/>
      <c r="D46" s="5"/>
      <c r="E46" s="6"/>
      <c r="F46" s="6"/>
      <c r="G46" s="6"/>
      <c r="H46" s="4"/>
      <c r="I46" s="4"/>
      <c r="J46" s="4"/>
      <c r="K46" s="4"/>
      <c r="L46" s="7"/>
      <c r="M46" s="7"/>
      <c r="N46" s="7"/>
      <c r="O46" s="4"/>
      <c r="P46" s="4"/>
      <c r="Q46" s="4"/>
      <c r="R46" s="7"/>
      <c r="S46" s="7"/>
      <c r="T46" s="4"/>
      <c r="U46" s="7"/>
      <c r="V46" s="7"/>
      <c r="W46" s="7"/>
      <c r="X46" s="7"/>
      <c r="Y46" s="7"/>
    </row>
    <row r="47">
      <c r="A47" s="4"/>
      <c r="B47" s="4"/>
      <c r="C47" s="8"/>
      <c r="D47" s="5"/>
      <c r="E47" s="6"/>
      <c r="F47" s="6"/>
      <c r="G47" s="6"/>
      <c r="H47" s="4"/>
      <c r="I47" s="4"/>
      <c r="J47" s="4"/>
      <c r="K47" s="4"/>
      <c r="L47" s="4"/>
      <c r="M47" s="7"/>
      <c r="N47" s="7"/>
      <c r="O47" s="7"/>
      <c r="P47" s="7"/>
      <c r="Q47" s="4"/>
      <c r="R47" s="7"/>
      <c r="S47" s="7"/>
      <c r="T47" s="7"/>
      <c r="U47" s="7"/>
      <c r="V47" s="7"/>
      <c r="W47" s="4"/>
      <c r="X47" s="7"/>
      <c r="Y47" s="7"/>
    </row>
    <row r="48">
      <c r="A48" s="4"/>
      <c r="B48" s="4"/>
      <c r="C48" s="8"/>
      <c r="D48" s="5"/>
      <c r="E48" s="6"/>
      <c r="F48" s="6"/>
      <c r="G48" s="6"/>
      <c r="H48" s="4"/>
      <c r="I48" s="4"/>
      <c r="J48" s="4"/>
      <c r="K48" s="4"/>
      <c r="L48" s="7"/>
      <c r="M48" s="7"/>
      <c r="N48" s="7"/>
      <c r="O48" s="4"/>
      <c r="P48" s="7"/>
      <c r="Q48" s="4"/>
      <c r="R48" s="7"/>
      <c r="S48" s="7"/>
      <c r="T48" s="7"/>
      <c r="U48" s="7"/>
      <c r="V48" s="7"/>
      <c r="W48" s="7"/>
      <c r="X48" s="7"/>
      <c r="Y48" s="7"/>
    </row>
    <row r="49">
      <c r="A49" s="4"/>
      <c r="B49" s="4"/>
      <c r="C49" s="8"/>
      <c r="D49" s="5"/>
      <c r="E49" s="6"/>
      <c r="F49" s="6"/>
      <c r="G49" s="6"/>
      <c r="H49" s="4"/>
      <c r="I49" s="4"/>
      <c r="J49" s="4"/>
      <c r="K49" s="4"/>
      <c r="L49" s="7"/>
      <c r="M49" s="7"/>
      <c r="N49" s="7"/>
      <c r="O49" s="4"/>
      <c r="P49" s="7"/>
      <c r="Q49" s="7"/>
      <c r="R49" s="7"/>
      <c r="S49" s="4"/>
      <c r="T49" s="7"/>
      <c r="U49" s="7"/>
      <c r="V49" s="7"/>
      <c r="W49" s="7"/>
      <c r="X49" s="7"/>
      <c r="Y49" s="7"/>
    </row>
    <row r="50">
      <c r="A50" s="4"/>
      <c r="B50" s="4"/>
      <c r="C50" s="8"/>
      <c r="D50" s="5"/>
      <c r="E50" s="6"/>
      <c r="F50" s="6"/>
      <c r="G50" s="6"/>
      <c r="H50" s="4"/>
      <c r="I50" s="4"/>
      <c r="J50" s="4"/>
      <c r="K50" s="4"/>
      <c r="L50" s="7"/>
      <c r="M50" s="7"/>
      <c r="N50" s="7"/>
      <c r="O50" s="4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4"/>
      <c r="B51" s="4"/>
      <c r="C51" s="8"/>
      <c r="D51" s="5"/>
      <c r="E51" s="6"/>
      <c r="F51" s="6"/>
      <c r="G51" s="6"/>
      <c r="H51" s="4"/>
      <c r="I51" s="4"/>
      <c r="J51" s="4"/>
      <c r="K51" s="4"/>
      <c r="L51" s="7"/>
      <c r="M51" s="7"/>
      <c r="N51" s="7"/>
      <c r="O51" s="4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4"/>
      <c r="B52" s="4"/>
      <c r="C52" s="8"/>
      <c r="D52" s="5"/>
      <c r="E52" s="6"/>
      <c r="F52" s="6"/>
      <c r="G52" s="6"/>
      <c r="H52" s="4"/>
      <c r="I52" s="4"/>
      <c r="J52" s="4"/>
      <c r="K52" s="4"/>
      <c r="L52" s="7"/>
      <c r="M52" s="7"/>
      <c r="N52" s="7"/>
      <c r="O52" s="4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4"/>
      <c r="B53" s="4"/>
      <c r="C53" s="8"/>
      <c r="D53" s="5"/>
      <c r="E53" s="6"/>
      <c r="F53" s="6"/>
      <c r="G53" s="6"/>
      <c r="H53" s="4"/>
      <c r="I53" s="4"/>
      <c r="J53" s="4"/>
      <c r="K53" s="4"/>
      <c r="L53" s="4"/>
      <c r="M53" s="7"/>
      <c r="N53" s="7"/>
      <c r="O53" s="7"/>
      <c r="P53" s="7"/>
      <c r="Q53" s="4"/>
      <c r="R53" s="7"/>
      <c r="S53" s="7"/>
      <c r="T53" s="7"/>
      <c r="U53" s="7"/>
      <c r="V53" s="7"/>
      <c r="W53" s="7"/>
      <c r="X53" s="7"/>
      <c r="Y53" s="7"/>
    </row>
    <row r="54">
      <c r="A54" s="4"/>
      <c r="B54" s="4"/>
      <c r="C54" s="8"/>
      <c r="D54" s="5"/>
      <c r="E54" s="6"/>
      <c r="F54" s="6"/>
      <c r="G54" s="6"/>
      <c r="H54" s="4"/>
      <c r="I54" s="4"/>
      <c r="J54" s="4"/>
      <c r="K54" s="4"/>
      <c r="L54" s="7"/>
      <c r="M54" s="7"/>
      <c r="N54" s="7"/>
      <c r="O54" s="4"/>
      <c r="P54" s="4"/>
      <c r="Q54" s="4"/>
      <c r="R54" s="7"/>
      <c r="S54" s="7"/>
      <c r="T54" s="7"/>
      <c r="U54" s="4"/>
      <c r="V54" s="7"/>
      <c r="W54" s="4"/>
      <c r="X54" s="7"/>
      <c r="Y54" s="7"/>
    </row>
    <row r="55">
      <c r="A55" s="4"/>
      <c r="B55" s="4"/>
      <c r="C55" s="8"/>
      <c r="D55" s="5"/>
      <c r="E55" s="6"/>
      <c r="F55" s="6"/>
      <c r="G55" s="6"/>
      <c r="H55" s="4"/>
      <c r="I55" s="4"/>
      <c r="J55" s="4"/>
      <c r="K55" s="4"/>
      <c r="L55" s="7"/>
      <c r="M55" s="7"/>
      <c r="N55" s="7"/>
      <c r="O55" s="4"/>
      <c r="P55" s="4"/>
      <c r="Q55" s="4"/>
      <c r="R55" s="7"/>
      <c r="S55" s="7"/>
      <c r="T55" s="7"/>
      <c r="U55" s="4"/>
      <c r="V55" s="7"/>
      <c r="W55" s="4"/>
      <c r="X55" s="7"/>
      <c r="Y55" s="7"/>
    </row>
    <row r="56">
      <c r="A56" s="4"/>
      <c r="B56" s="4"/>
      <c r="C56" s="8"/>
      <c r="D56" s="5"/>
      <c r="E56" s="6"/>
      <c r="F56" s="6"/>
      <c r="G56" s="6"/>
      <c r="H56" s="4"/>
      <c r="I56" s="4"/>
      <c r="J56" s="4"/>
      <c r="K56" s="4"/>
      <c r="L56" s="7"/>
      <c r="M56" s="7"/>
      <c r="N56" s="7"/>
      <c r="O56" s="7"/>
      <c r="P56" s="4"/>
      <c r="Q56" s="4"/>
      <c r="R56" s="7"/>
      <c r="S56" s="7"/>
      <c r="T56" s="7"/>
      <c r="U56" s="7"/>
      <c r="V56" s="7"/>
      <c r="W56" s="7"/>
      <c r="X56" s="7"/>
      <c r="Y56" s="7"/>
    </row>
    <row r="57">
      <c r="A57" s="4"/>
      <c r="B57" s="4"/>
      <c r="C57" s="8"/>
      <c r="D57" s="5"/>
      <c r="E57" s="6"/>
      <c r="F57" s="6"/>
      <c r="G57" s="6"/>
      <c r="H57" s="4"/>
      <c r="I57" s="4"/>
      <c r="J57" s="4"/>
      <c r="K57" s="4"/>
      <c r="L57" s="7"/>
      <c r="M57" s="7"/>
      <c r="N57" s="7"/>
      <c r="O57" s="7"/>
      <c r="P57" s="4"/>
      <c r="Q57" s="4"/>
      <c r="R57" s="7"/>
      <c r="S57" s="7"/>
      <c r="T57" s="7"/>
      <c r="U57" s="7"/>
      <c r="V57" s="7"/>
      <c r="W57" s="7"/>
      <c r="X57" s="7"/>
      <c r="Y57" s="7"/>
    </row>
    <row r="58">
      <c r="A58" s="4"/>
      <c r="B58" s="4"/>
      <c r="C58" s="8"/>
      <c r="D58" s="5"/>
      <c r="E58" s="6"/>
      <c r="F58" s="6"/>
      <c r="G58" s="6"/>
      <c r="H58" s="4"/>
      <c r="I58" s="4"/>
      <c r="J58" s="4"/>
      <c r="K58" s="4"/>
      <c r="L58" s="4"/>
      <c r="M58" s="7"/>
      <c r="N58" s="7"/>
      <c r="O58" s="4"/>
      <c r="P58" s="4"/>
      <c r="Q58" s="7"/>
      <c r="R58" s="7"/>
      <c r="S58" s="7"/>
      <c r="T58" s="7"/>
      <c r="U58" s="7"/>
      <c r="V58" s="7"/>
      <c r="W58" s="7"/>
      <c r="X58" s="7"/>
      <c r="Y58" s="7"/>
    </row>
    <row r="59">
      <c r="A59" s="4"/>
      <c r="B59" s="4"/>
      <c r="C59" s="8"/>
      <c r="D59" s="5"/>
      <c r="E59" s="6"/>
      <c r="F59" s="6"/>
      <c r="G59" s="6"/>
      <c r="H59" s="4"/>
      <c r="I59" s="4"/>
      <c r="J59" s="4"/>
      <c r="K59" s="4"/>
      <c r="L59" s="4"/>
      <c r="M59" s="7"/>
      <c r="N59" s="7"/>
      <c r="O59" s="7"/>
      <c r="P59" s="7"/>
      <c r="Q59" s="4"/>
      <c r="R59" s="7"/>
      <c r="S59" s="7"/>
      <c r="T59" s="7"/>
      <c r="U59" s="7"/>
      <c r="V59" s="7"/>
      <c r="W59" s="4"/>
      <c r="X59" s="7"/>
      <c r="Y59" s="7"/>
    </row>
    <row r="60">
      <c r="A60" s="4"/>
      <c r="B60" s="4"/>
      <c r="C60" s="8"/>
      <c r="D60" s="5"/>
      <c r="E60" s="6"/>
      <c r="F60" s="6"/>
      <c r="G60" s="6"/>
      <c r="H60" s="4"/>
      <c r="I60" s="4"/>
      <c r="J60" s="4"/>
      <c r="K60" s="4"/>
      <c r="L60" s="4"/>
      <c r="M60" s="7"/>
      <c r="N60" s="7"/>
      <c r="O60" s="4"/>
      <c r="P60" s="4"/>
      <c r="Q60" s="4"/>
      <c r="R60" s="7"/>
      <c r="S60" s="7"/>
      <c r="T60" s="7"/>
      <c r="U60" s="7"/>
      <c r="V60" s="7"/>
      <c r="W60" s="7"/>
      <c r="X60" s="7"/>
      <c r="Y60" s="7"/>
    </row>
    <row r="61">
      <c r="A61" s="4"/>
      <c r="B61" s="4"/>
      <c r="C61" s="8"/>
      <c r="D61" s="5"/>
      <c r="E61" s="6"/>
      <c r="F61" s="6"/>
      <c r="G61" s="6"/>
      <c r="H61" s="4"/>
      <c r="I61" s="4"/>
      <c r="J61" s="4"/>
      <c r="K61" s="4"/>
      <c r="L61" s="4"/>
      <c r="M61" s="7"/>
      <c r="N61" s="7"/>
      <c r="O61" s="7"/>
      <c r="P61" s="4"/>
      <c r="Q61" s="4"/>
      <c r="R61" s="7"/>
      <c r="S61" s="7"/>
      <c r="T61" s="7"/>
      <c r="U61" s="7"/>
      <c r="V61" s="7"/>
      <c r="W61" s="4"/>
      <c r="X61" s="7"/>
      <c r="Y61" s="7"/>
    </row>
    <row r="62">
      <c r="A62" s="4"/>
      <c r="B62" s="4"/>
      <c r="C62" s="8"/>
      <c r="D62" s="5"/>
      <c r="E62" s="6"/>
      <c r="F62" s="6"/>
      <c r="G62" s="6"/>
      <c r="H62" s="4"/>
      <c r="I62" s="4"/>
      <c r="J62" s="4"/>
      <c r="K62" s="4"/>
      <c r="L62" s="7"/>
      <c r="M62" s="7"/>
      <c r="N62" s="7"/>
      <c r="O62" s="4"/>
      <c r="P62" s="7"/>
      <c r="Q62" s="7"/>
      <c r="R62" s="7"/>
      <c r="S62" s="4"/>
      <c r="T62" s="7"/>
      <c r="U62" s="7"/>
      <c r="V62" s="7"/>
      <c r="W62" s="7"/>
      <c r="X62" s="7"/>
      <c r="Y62" s="7"/>
    </row>
    <row r="63">
      <c r="A63" s="4"/>
      <c r="B63" s="4"/>
      <c r="C63" s="8"/>
      <c r="D63" s="5"/>
      <c r="E63" s="6"/>
      <c r="F63" s="6"/>
      <c r="G63" s="6"/>
      <c r="H63" s="4"/>
      <c r="I63" s="4"/>
      <c r="J63" s="4"/>
      <c r="K63" s="4"/>
      <c r="L63" s="4"/>
      <c r="M63" s="7"/>
      <c r="N63" s="7"/>
      <c r="O63" s="7"/>
      <c r="P63" s="7"/>
      <c r="Q63" s="7"/>
      <c r="R63" s="7"/>
      <c r="S63" s="7"/>
      <c r="T63" s="7"/>
      <c r="U63" s="7"/>
      <c r="V63" s="7"/>
      <c r="W63" s="4"/>
      <c r="X63" s="7"/>
      <c r="Y63" s="7"/>
    </row>
    <row r="64">
      <c r="A64" s="4"/>
      <c r="B64" s="4"/>
      <c r="C64" s="8"/>
      <c r="D64" s="5"/>
      <c r="E64" s="6"/>
      <c r="F64" s="6"/>
      <c r="G64" s="6"/>
      <c r="H64" s="4"/>
      <c r="I64" s="4"/>
      <c r="J64" s="4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4"/>
      <c r="B65" s="4"/>
      <c r="C65" s="8"/>
      <c r="D65" s="5"/>
      <c r="E65" s="6"/>
      <c r="F65" s="6"/>
      <c r="G65" s="6"/>
      <c r="H65" s="4"/>
      <c r="I65" s="4"/>
      <c r="J65" s="4"/>
      <c r="K65" s="4"/>
      <c r="L65" s="4"/>
      <c r="M65" s="7"/>
      <c r="N65" s="7"/>
      <c r="O65" s="7"/>
      <c r="P65" s="4"/>
      <c r="Q65" s="4"/>
      <c r="R65" s="7"/>
      <c r="S65" s="7"/>
      <c r="T65" s="7"/>
      <c r="U65" s="7"/>
      <c r="V65" s="7"/>
      <c r="W65" s="7"/>
      <c r="X65" s="7"/>
      <c r="Y65" s="7"/>
    </row>
    <row r="66">
      <c r="A66" s="4"/>
      <c r="B66" s="4"/>
      <c r="C66" s="8"/>
      <c r="D66" s="5"/>
      <c r="E66" s="6"/>
      <c r="F66" s="6"/>
      <c r="G66" s="6"/>
      <c r="H66" s="4"/>
      <c r="I66" s="4"/>
      <c r="J66" s="4"/>
      <c r="K66" s="4"/>
      <c r="L66" s="7"/>
      <c r="M66" s="7"/>
      <c r="N66" s="7"/>
      <c r="O66" s="7"/>
      <c r="P66" s="4"/>
      <c r="Q66" s="7"/>
      <c r="R66" s="7"/>
      <c r="S66" s="7"/>
      <c r="T66" s="7"/>
      <c r="U66" s="7"/>
      <c r="V66" s="7"/>
      <c r="W66" s="7"/>
      <c r="X66" s="7"/>
      <c r="Y66" s="7"/>
    </row>
    <row r="67">
      <c r="A67" s="4"/>
      <c r="B67" s="4"/>
      <c r="C67" s="8"/>
      <c r="D67" s="5"/>
      <c r="E67" s="6"/>
      <c r="F67" s="6"/>
      <c r="G67" s="6"/>
      <c r="H67" s="4"/>
      <c r="I67" s="4"/>
      <c r="J67" s="4"/>
      <c r="K67" s="4"/>
      <c r="L67" s="7"/>
      <c r="M67" s="7"/>
      <c r="N67" s="7"/>
      <c r="O67" s="4"/>
      <c r="P67" s="7"/>
      <c r="Q67" s="7"/>
      <c r="R67" s="7"/>
      <c r="S67" s="7"/>
      <c r="T67" s="4"/>
      <c r="U67" s="7"/>
      <c r="V67" s="7"/>
      <c r="W67" s="4"/>
      <c r="X67" s="7"/>
      <c r="Y67" s="7"/>
    </row>
    <row r="68">
      <c r="A68" s="4"/>
      <c r="B68" s="4"/>
      <c r="C68" s="8"/>
      <c r="D68" s="5"/>
      <c r="E68" s="6"/>
      <c r="F68" s="6"/>
      <c r="G68" s="6"/>
      <c r="H68" s="4"/>
      <c r="I68" s="4"/>
      <c r="J68" s="4"/>
      <c r="K68" s="4"/>
      <c r="L68" s="7"/>
      <c r="M68" s="7"/>
      <c r="N68" s="7"/>
      <c r="O68" s="4"/>
      <c r="P68" s="4"/>
      <c r="Q68" s="4"/>
      <c r="R68" s="7"/>
      <c r="S68" s="7"/>
      <c r="T68" s="7"/>
      <c r="U68" s="4"/>
      <c r="V68" s="7"/>
      <c r="W68" s="7"/>
      <c r="X68" s="7"/>
      <c r="Y68" s="7"/>
    </row>
    <row r="69">
      <c r="A69" s="4"/>
      <c r="B69" s="4"/>
      <c r="C69" s="8"/>
      <c r="D69" s="5"/>
      <c r="E69" s="6"/>
      <c r="F69" s="6"/>
      <c r="G69" s="6"/>
      <c r="H69" s="4"/>
      <c r="I69" s="4"/>
      <c r="J69" s="4"/>
      <c r="K69" s="4"/>
      <c r="L69" s="7"/>
      <c r="M69" s="7"/>
      <c r="N69" s="7"/>
      <c r="O69" s="4"/>
      <c r="P69" s="4"/>
      <c r="Q69" s="4"/>
      <c r="R69" s="7"/>
      <c r="S69" s="7"/>
      <c r="T69" s="7"/>
      <c r="U69" s="4"/>
      <c r="V69" s="7"/>
      <c r="W69" s="7"/>
      <c r="X69" s="7"/>
      <c r="Y69" s="7"/>
    </row>
    <row r="70">
      <c r="A70" s="4"/>
      <c r="B70" s="4"/>
      <c r="C70" s="8"/>
      <c r="D70" s="5"/>
      <c r="E70" s="6"/>
      <c r="F70" s="6"/>
      <c r="G70" s="6"/>
      <c r="H70" s="4"/>
      <c r="I70" s="4"/>
      <c r="J70" s="4"/>
      <c r="K70" s="4"/>
      <c r="L70" s="7"/>
      <c r="M70" s="7"/>
      <c r="N70" s="7"/>
      <c r="O70" s="4"/>
      <c r="P70" s="7"/>
      <c r="Q70" s="7"/>
      <c r="R70" s="7"/>
      <c r="S70" s="7"/>
      <c r="T70" s="4"/>
      <c r="U70" s="7"/>
      <c r="V70" s="7"/>
      <c r="W70" s="7"/>
      <c r="X70" s="7"/>
      <c r="Y70" s="7"/>
    </row>
    <row r="71">
      <c r="A71" s="4"/>
      <c r="B71" s="4"/>
      <c r="C71" s="8"/>
      <c r="D71" s="5"/>
      <c r="E71" s="6"/>
      <c r="F71" s="6"/>
      <c r="G71" s="6"/>
      <c r="H71" s="4"/>
      <c r="I71" s="4"/>
      <c r="J71" s="4"/>
      <c r="K71" s="4"/>
      <c r="L71" s="7"/>
      <c r="M71" s="7"/>
      <c r="N71" s="7"/>
      <c r="O71" s="7"/>
      <c r="P71" s="7"/>
      <c r="Q71" s="7"/>
      <c r="R71" s="7"/>
      <c r="S71" s="7"/>
      <c r="T71" s="4"/>
      <c r="U71" s="7"/>
      <c r="V71" s="7"/>
      <c r="W71" s="4"/>
      <c r="X71" s="7"/>
      <c r="Y71" s="7"/>
    </row>
    <row r="72">
      <c r="A72" s="4"/>
      <c r="B72" s="4"/>
      <c r="C72" s="8"/>
      <c r="D72" s="5"/>
      <c r="E72" s="6"/>
      <c r="F72" s="6"/>
      <c r="G72" s="6"/>
      <c r="H72" s="4"/>
      <c r="I72" s="4"/>
      <c r="J72" s="4"/>
      <c r="K72" s="4"/>
      <c r="L72" s="7"/>
      <c r="M72" s="7"/>
      <c r="N72" s="7"/>
      <c r="O72" s="7"/>
      <c r="P72" s="7"/>
      <c r="Q72" s="4"/>
      <c r="R72" s="7"/>
      <c r="S72" s="7"/>
      <c r="T72" s="7"/>
      <c r="U72" s="7"/>
      <c r="V72" s="7"/>
      <c r="W72" s="7"/>
      <c r="X72" s="7"/>
      <c r="Y72" s="7"/>
    </row>
    <row r="73">
      <c r="A73" s="4"/>
      <c r="B73" s="4"/>
      <c r="C73" s="8"/>
      <c r="D73" s="5"/>
      <c r="E73" s="6"/>
      <c r="F73" s="6"/>
      <c r="G73" s="6"/>
      <c r="H73" s="4"/>
      <c r="I73" s="4"/>
      <c r="J73" s="4"/>
      <c r="K73" s="4"/>
      <c r="L73" s="4"/>
      <c r="M73" s="7"/>
      <c r="N73" s="7"/>
      <c r="O73" s="7"/>
      <c r="P73" s="4"/>
      <c r="Q73" s="4"/>
      <c r="R73" s="7"/>
      <c r="S73" s="7"/>
      <c r="T73" s="7"/>
      <c r="U73" s="7"/>
      <c r="V73" s="7"/>
      <c r="W73" s="7"/>
      <c r="X73" s="7"/>
      <c r="Y73" s="7"/>
    </row>
    <row r="74">
      <c r="A74" s="4"/>
      <c r="B74" s="4"/>
      <c r="C74" s="8"/>
      <c r="D74" s="5"/>
      <c r="E74" s="6"/>
      <c r="F74" s="6"/>
      <c r="G74" s="6"/>
      <c r="H74" s="4"/>
      <c r="I74" s="4"/>
      <c r="J74" s="4"/>
      <c r="K74" s="4"/>
      <c r="L74" s="7"/>
      <c r="M74" s="7"/>
      <c r="N74" s="7"/>
      <c r="O74" s="4"/>
      <c r="P74" s="7"/>
      <c r="Q74" s="7"/>
      <c r="R74" s="7"/>
      <c r="S74" s="7"/>
      <c r="T74" s="4"/>
      <c r="U74" s="7"/>
      <c r="V74" s="7"/>
      <c r="W74" s="7"/>
      <c r="X74" s="7"/>
      <c r="Y74" s="7"/>
    </row>
    <row r="75">
      <c r="A75" s="4"/>
      <c r="B75" s="4"/>
      <c r="C75" s="8"/>
      <c r="D75" s="5"/>
      <c r="E75" s="6"/>
      <c r="F75" s="6"/>
      <c r="G75" s="6"/>
      <c r="H75" s="4"/>
      <c r="I75" s="4"/>
      <c r="J75" s="4"/>
      <c r="K75" s="4"/>
      <c r="L75" s="7"/>
      <c r="M75" s="7"/>
      <c r="N75" s="7"/>
      <c r="O75" s="7"/>
      <c r="P75" s="4"/>
      <c r="Q75" s="4"/>
      <c r="R75" s="4"/>
      <c r="S75" s="7"/>
      <c r="T75" s="4"/>
      <c r="U75" s="4"/>
      <c r="V75" s="7"/>
      <c r="W75" s="4"/>
      <c r="X75" s="4"/>
      <c r="Y75" s="4"/>
    </row>
    <row r="76">
      <c r="A76" s="4"/>
      <c r="B76" s="4"/>
      <c r="C76" s="8"/>
      <c r="D76" s="5"/>
      <c r="E76" s="6"/>
      <c r="F76" s="6"/>
      <c r="G76" s="6"/>
      <c r="H76" s="4"/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4"/>
      <c r="B77" s="4"/>
      <c r="C77" s="8"/>
      <c r="D77" s="5"/>
      <c r="E77" s="6"/>
      <c r="F77" s="6"/>
      <c r="G77" s="6"/>
      <c r="H77" s="4"/>
      <c r="I77" s="4"/>
      <c r="J77" s="4"/>
      <c r="K77" s="4"/>
      <c r="L77" s="7"/>
      <c r="M77" s="4"/>
      <c r="N77" s="7"/>
      <c r="O77" s="7"/>
      <c r="P77" s="7"/>
      <c r="Q77" s="4"/>
      <c r="R77" s="7"/>
      <c r="S77" s="7"/>
      <c r="T77" s="7"/>
      <c r="U77" s="7"/>
      <c r="V77" s="7"/>
      <c r="W77" s="7"/>
      <c r="X77" s="7"/>
      <c r="Y77" s="7"/>
    </row>
    <row r="78">
      <c r="A78" s="4"/>
      <c r="B78" s="4"/>
      <c r="C78" s="8"/>
      <c r="D78" s="5"/>
      <c r="E78" s="6"/>
      <c r="F78" s="6"/>
      <c r="G78" s="6"/>
      <c r="H78" s="4"/>
      <c r="I78" s="4"/>
      <c r="J78" s="4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"/>
      <c r="X78" s="7"/>
      <c r="Y78" s="7"/>
    </row>
    <row r="79">
      <c r="A79" s="4"/>
      <c r="B79" s="4"/>
      <c r="C79" s="8"/>
      <c r="D79" s="5"/>
      <c r="E79" s="6"/>
      <c r="F79" s="6"/>
      <c r="G79" s="6"/>
      <c r="H79" s="4"/>
      <c r="I79" s="4"/>
      <c r="J79" s="4"/>
      <c r="K79" s="4"/>
      <c r="L79" s="7"/>
      <c r="M79" s="7"/>
      <c r="N79" s="7"/>
      <c r="O79" s="4"/>
      <c r="P79" s="7"/>
      <c r="Q79" s="4"/>
      <c r="R79" s="4"/>
      <c r="S79" s="7"/>
      <c r="T79" s="7"/>
      <c r="U79" s="4"/>
      <c r="V79" s="7"/>
      <c r="W79" s="7"/>
      <c r="X79" s="7"/>
      <c r="Y79" s="7"/>
    </row>
    <row r="80">
      <c r="A80" s="4"/>
      <c r="B80" s="4"/>
      <c r="C80" s="8"/>
      <c r="D80" s="5"/>
      <c r="E80" s="6"/>
      <c r="F80" s="6"/>
      <c r="G80" s="6"/>
      <c r="H80" s="4"/>
      <c r="I80" s="4"/>
      <c r="J80" s="4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4"/>
      <c r="B81" s="4"/>
      <c r="C81" s="8"/>
      <c r="D81" s="5"/>
      <c r="E81" s="6"/>
      <c r="F81" s="6"/>
      <c r="G81" s="6"/>
      <c r="H81" s="4"/>
      <c r="I81" s="4"/>
      <c r="J81" s="4"/>
      <c r="K81" s="4"/>
      <c r="L81" s="7"/>
      <c r="M81" s="7"/>
      <c r="N81" s="7"/>
      <c r="O81" s="7"/>
      <c r="P81" s="4"/>
      <c r="Q81" s="4"/>
      <c r="R81" s="7"/>
      <c r="S81" s="7"/>
      <c r="T81" s="7"/>
      <c r="U81" s="7"/>
      <c r="V81" s="7"/>
      <c r="W81" s="4"/>
      <c r="X81" s="7"/>
      <c r="Y81" s="7"/>
    </row>
    <row r="82">
      <c r="A82" s="4"/>
      <c r="B82" s="4"/>
      <c r="C82" s="8"/>
      <c r="D82" s="5"/>
      <c r="E82" s="6"/>
      <c r="F82" s="6"/>
      <c r="G82" s="6"/>
      <c r="H82" s="4"/>
      <c r="I82" s="4"/>
      <c r="J82" s="4"/>
      <c r="K82" s="4"/>
      <c r="L82" s="7"/>
      <c r="M82" s="7"/>
      <c r="N82" s="7"/>
      <c r="O82" s="7"/>
      <c r="P82" s="4"/>
      <c r="Q82" s="4"/>
      <c r="R82" s="4"/>
      <c r="S82" s="7"/>
      <c r="T82" s="7"/>
      <c r="U82" s="7"/>
      <c r="V82" s="7"/>
      <c r="W82" s="7"/>
      <c r="X82" s="7"/>
      <c r="Y82" s="7"/>
    </row>
    <row r="83">
      <c r="A83" s="4"/>
      <c r="B83" s="4"/>
      <c r="C83" s="8"/>
      <c r="D83" s="5"/>
      <c r="E83" s="6"/>
      <c r="F83" s="6"/>
      <c r="G83" s="6"/>
      <c r="H83" s="4"/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4"/>
      <c r="B84" s="4"/>
      <c r="C84" s="8"/>
      <c r="D84" s="5"/>
      <c r="E84" s="6"/>
      <c r="F84" s="6"/>
      <c r="G84" s="6"/>
      <c r="H84" s="4"/>
      <c r="I84" s="4"/>
      <c r="J84" s="4"/>
      <c r="K84" s="4"/>
      <c r="L84" s="7"/>
      <c r="M84" s="7"/>
      <c r="N84" s="7"/>
      <c r="O84" s="7"/>
      <c r="P84" s="4"/>
      <c r="Q84" s="4"/>
      <c r="R84" s="7"/>
      <c r="S84" s="7"/>
      <c r="T84" s="7"/>
      <c r="U84" s="7"/>
      <c r="V84" s="7"/>
      <c r="W84" s="7"/>
      <c r="X84" s="7"/>
      <c r="Y84" s="7"/>
    </row>
    <row r="85">
      <c r="A85" s="4"/>
      <c r="B85" s="4"/>
      <c r="C85" s="8"/>
      <c r="D85" s="5"/>
      <c r="E85" s="6"/>
      <c r="F85" s="6"/>
      <c r="G85" s="6"/>
      <c r="H85" s="4"/>
      <c r="I85" s="4"/>
      <c r="J85" s="4"/>
      <c r="K85" s="4"/>
      <c r="L85" s="7"/>
      <c r="M85" s="7"/>
      <c r="N85" s="7"/>
      <c r="O85" s="7"/>
      <c r="P85" s="7"/>
      <c r="Q85" s="4"/>
      <c r="R85" s="7"/>
      <c r="S85" s="7"/>
      <c r="T85" s="7"/>
      <c r="U85" s="7"/>
      <c r="V85" s="7"/>
      <c r="W85" s="7"/>
      <c r="X85" s="7"/>
      <c r="Y85" s="7"/>
    </row>
    <row r="86">
      <c r="A86" s="4"/>
      <c r="B86" s="4"/>
      <c r="C86" s="8"/>
      <c r="D86" s="5"/>
      <c r="E86" s="6"/>
      <c r="F86" s="6"/>
      <c r="G86" s="6"/>
      <c r="H86" s="4"/>
      <c r="I86" s="4"/>
      <c r="J86" s="4"/>
      <c r="K86" s="4"/>
      <c r="L86" s="7"/>
      <c r="M86" s="7"/>
      <c r="N86" s="7"/>
      <c r="O86" s="7"/>
      <c r="P86" s="7"/>
      <c r="Q86" s="7"/>
      <c r="R86" s="7"/>
      <c r="S86" s="7"/>
      <c r="T86" s="7"/>
      <c r="U86" s="4"/>
      <c r="V86" s="7"/>
      <c r="W86" s="7"/>
      <c r="X86" s="7"/>
      <c r="Y86" s="7"/>
    </row>
    <row r="87">
      <c r="A87" s="4"/>
      <c r="B87" s="4"/>
      <c r="C87" s="8"/>
      <c r="D87" s="5"/>
      <c r="E87" s="6"/>
      <c r="F87" s="6"/>
      <c r="G87" s="6"/>
      <c r="H87" s="4"/>
      <c r="I87" s="4"/>
      <c r="J87" s="4"/>
      <c r="K87" s="4"/>
      <c r="L87" s="7"/>
      <c r="M87" s="7"/>
      <c r="N87" s="7"/>
      <c r="O87" s="7"/>
      <c r="P87" s="7"/>
      <c r="Q87" s="7"/>
      <c r="R87" s="7"/>
      <c r="S87" s="7"/>
      <c r="T87" s="7"/>
      <c r="U87" s="4"/>
      <c r="V87" s="7"/>
      <c r="W87" s="7"/>
      <c r="X87" s="7"/>
      <c r="Y87" s="7"/>
    </row>
    <row r="88">
      <c r="A88" s="4"/>
      <c r="B88" s="4"/>
      <c r="C88" s="8"/>
      <c r="D88" s="5"/>
      <c r="E88" s="6"/>
      <c r="F88" s="6"/>
      <c r="G88" s="6"/>
      <c r="H88" s="4"/>
      <c r="I88" s="4"/>
      <c r="J88" s="4"/>
      <c r="K88" s="4"/>
      <c r="L88" s="4"/>
      <c r="M88" s="7"/>
      <c r="N88" s="7"/>
      <c r="O88" s="7"/>
      <c r="P88" s="7"/>
      <c r="Q88" s="7"/>
      <c r="R88" s="7"/>
      <c r="S88" s="7"/>
      <c r="T88" s="7"/>
      <c r="U88" s="7"/>
      <c r="V88" s="7"/>
      <c r="W88" s="4"/>
      <c r="X88" s="7"/>
      <c r="Y88" s="7"/>
    </row>
    <row r="89">
      <c r="A89" s="4"/>
      <c r="B89" s="4"/>
      <c r="C89" s="8"/>
      <c r="D89" s="5"/>
      <c r="E89" s="6"/>
      <c r="F89" s="6"/>
      <c r="G89" s="6"/>
      <c r="H89" s="4"/>
      <c r="I89" s="4"/>
      <c r="J89" s="4"/>
      <c r="K89" s="4"/>
      <c r="L89" s="7"/>
      <c r="M89" s="7"/>
      <c r="N89" s="7"/>
      <c r="O89" s="7"/>
      <c r="P89" s="7"/>
      <c r="Q89" s="4"/>
      <c r="R89" s="7"/>
      <c r="S89" s="7"/>
      <c r="T89" s="7"/>
      <c r="U89" s="7"/>
      <c r="V89" s="7"/>
      <c r="W89" s="7"/>
      <c r="X89" s="7"/>
      <c r="Y89" s="7"/>
    </row>
    <row r="90">
      <c r="A90" s="4"/>
      <c r="B90" s="4"/>
      <c r="C90" s="8"/>
      <c r="D90" s="5"/>
      <c r="E90" s="6"/>
      <c r="F90" s="6"/>
      <c r="G90" s="6"/>
      <c r="H90" s="4"/>
      <c r="I90" s="4"/>
      <c r="J90" s="4"/>
      <c r="K90" s="4"/>
      <c r="L90" s="7"/>
      <c r="M90" s="7"/>
      <c r="N90" s="7"/>
      <c r="O90" s="7"/>
      <c r="P90" s="4"/>
      <c r="Q90" s="7"/>
      <c r="R90" s="7"/>
      <c r="S90" s="7"/>
      <c r="T90" s="7"/>
      <c r="U90" s="7"/>
      <c r="V90" s="7"/>
      <c r="W90" s="7"/>
      <c r="X90" s="7"/>
      <c r="Y90" s="7"/>
    </row>
    <row r="91">
      <c r="A91" s="4"/>
      <c r="B91" s="4"/>
      <c r="C91" s="8"/>
      <c r="D91" s="5"/>
      <c r="E91" s="6"/>
      <c r="F91" s="6"/>
      <c r="G91" s="6"/>
      <c r="H91" s="4"/>
      <c r="I91" s="4"/>
      <c r="J91" s="4"/>
      <c r="K91" s="4"/>
      <c r="L91" s="7"/>
      <c r="M91" s="7"/>
      <c r="N91" s="7"/>
      <c r="O91" s="7"/>
      <c r="P91" s="7"/>
      <c r="Q91" s="4"/>
      <c r="R91" s="4"/>
      <c r="S91" s="7"/>
      <c r="T91" s="7"/>
      <c r="U91" s="7"/>
      <c r="V91" s="7"/>
      <c r="W91" s="7"/>
      <c r="X91" s="7"/>
      <c r="Y91" s="7"/>
    </row>
    <row r="92">
      <c r="A92" s="4"/>
      <c r="B92" s="4"/>
      <c r="C92" s="8"/>
      <c r="D92" s="5"/>
      <c r="E92" s="6"/>
      <c r="F92" s="6"/>
      <c r="G92" s="6"/>
      <c r="H92" s="4"/>
      <c r="I92" s="4"/>
      <c r="J92" s="4"/>
      <c r="K92" s="4"/>
      <c r="L92" s="7"/>
      <c r="M92" s="7"/>
      <c r="N92" s="7"/>
      <c r="O92" s="7"/>
      <c r="P92" s="7"/>
      <c r="Q92" s="4"/>
      <c r="R92" s="7"/>
      <c r="S92" s="7"/>
      <c r="T92" s="7"/>
      <c r="U92" s="7"/>
      <c r="V92" s="7"/>
      <c r="W92" s="7"/>
      <c r="X92" s="7"/>
      <c r="Y92" s="7"/>
    </row>
    <row r="93">
      <c r="A93" s="4"/>
      <c r="B93" s="4"/>
      <c r="C93" s="8"/>
      <c r="D93" s="5"/>
      <c r="E93" s="6"/>
      <c r="F93" s="6"/>
      <c r="G93" s="6"/>
      <c r="H93" s="4"/>
      <c r="I93" s="4"/>
      <c r="J93" s="4"/>
      <c r="K93" s="4"/>
      <c r="L93" s="7"/>
      <c r="M93" s="7"/>
      <c r="N93" s="7"/>
      <c r="O93" s="4"/>
      <c r="P93" s="7"/>
      <c r="Q93" s="4"/>
      <c r="R93" s="7"/>
      <c r="S93" s="7"/>
      <c r="T93" s="7"/>
      <c r="U93" s="7"/>
      <c r="V93" s="7"/>
      <c r="W93" s="7"/>
      <c r="X93" s="7"/>
      <c r="Y93" s="7"/>
    </row>
    <row r="94">
      <c r="A94" s="4"/>
      <c r="B94" s="4"/>
      <c r="C94" s="8"/>
      <c r="D94" s="5"/>
      <c r="E94" s="6"/>
      <c r="F94" s="6"/>
      <c r="G94" s="6"/>
      <c r="H94" s="4"/>
      <c r="I94" s="4"/>
      <c r="J94" s="4"/>
      <c r="K94" s="4"/>
      <c r="L94" s="7"/>
      <c r="M94" s="7"/>
      <c r="N94" s="7"/>
      <c r="O94" s="4"/>
      <c r="P94" s="4"/>
      <c r="Q94" s="4"/>
      <c r="R94" s="7"/>
      <c r="S94" s="7"/>
      <c r="T94" s="4"/>
      <c r="U94" s="4"/>
      <c r="V94" s="7"/>
      <c r="W94" s="4"/>
      <c r="X94" s="7"/>
      <c r="Y94" s="7"/>
    </row>
    <row r="95">
      <c r="A95" s="4"/>
      <c r="B95" s="4"/>
      <c r="C95" s="8"/>
      <c r="D95" s="5"/>
      <c r="E95" s="6"/>
      <c r="F95" s="6"/>
      <c r="G95" s="6"/>
      <c r="H95" s="4"/>
      <c r="I95" s="4"/>
      <c r="J95" s="4"/>
      <c r="K95" s="4"/>
      <c r="L95" s="7"/>
      <c r="M95" s="7"/>
      <c r="N95" s="4"/>
      <c r="O95" s="4"/>
      <c r="P95" s="7"/>
      <c r="Q95" s="4"/>
      <c r="R95" s="7"/>
      <c r="S95" s="7"/>
      <c r="T95" s="7"/>
      <c r="U95" s="7"/>
      <c r="V95" s="7"/>
      <c r="W95" s="7"/>
      <c r="X95" s="7"/>
      <c r="Y95" s="7"/>
    </row>
    <row r="96">
      <c r="A96" s="4"/>
      <c r="B96" s="4"/>
      <c r="C96" s="8"/>
      <c r="D96" s="5"/>
      <c r="E96" s="6"/>
      <c r="F96" s="6"/>
      <c r="G96" s="6"/>
      <c r="H96" s="4"/>
      <c r="I96" s="4"/>
      <c r="J96" s="4"/>
      <c r="K96" s="4"/>
      <c r="L96" s="7"/>
      <c r="M96" s="7"/>
      <c r="N96" s="7"/>
      <c r="O96" s="7"/>
      <c r="P96" s="7"/>
      <c r="Q96" s="4"/>
      <c r="R96" s="7"/>
      <c r="S96" s="7"/>
      <c r="T96" s="7"/>
      <c r="U96" s="7"/>
      <c r="V96" s="7"/>
      <c r="W96" s="7"/>
      <c r="X96" s="7"/>
      <c r="Y96" s="7"/>
    </row>
    <row r="97">
      <c r="A97" s="4"/>
      <c r="B97" s="4"/>
      <c r="C97" s="8"/>
      <c r="D97" s="5"/>
      <c r="E97" s="6"/>
      <c r="F97" s="6"/>
      <c r="G97" s="6"/>
      <c r="H97" s="4"/>
      <c r="I97" s="4"/>
      <c r="J97" s="4"/>
      <c r="K97" s="4"/>
      <c r="L97" s="4"/>
      <c r="M97" s="7"/>
      <c r="N97" s="7"/>
      <c r="O97" s="7"/>
      <c r="P97" s="7"/>
      <c r="Q97" s="4"/>
      <c r="R97" s="7"/>
      <c r="S97" s="7"/>
      <c r="T97" s="7"/>
      <c r="U97" s="7"/>
      <c r="V97" s="7"/>
      <c r="W97" s="4"/>
      <c r="X97" s="7"/>
      <c r="Y97" s="7"/>
    </row>
    <row r="98">
      <c r="A98" s="4"/>
      <c r="B98" s="4"/>
      <c r="C98" s="8"/>
      <c r="D98" s="5"/>
      <c r="E98" s="6"/>
      <c r="F98" s="6"/>
      <c r="G98" s="6"/>
      <c r="H98" s="4"/>
      <c r="I98" s="4"/>
      <c r="J98" s="4"/>
      <c r="K98" s="4"/>
      <c r="L98" s="7"/>
      <c r="M98" s="7"/>
      <c r="N98" s="7"/>
      <c r="O98" s="7"/>
      <c r="P98" s="7"/>
      <c r="Q98" s="4"/>
      <c r="R98" s="7"/>
      <c r="S98" s="7"/>
      <c r="T98" s="7"/>
      <c r="U98" s="7"/>
      <c r="V98" s="7"/>
      <c r="W98" s="7"/>
      <c r="X98" s="7"/>
      <c r="Y98" s="7"/>
    </row>
    <row r="99">
      <c r="A99" s="4"/>
      <c r="B99" s="4"/>
      <c r="C99" s="8"/>
      <c r="D99" s="5"/>
      <c r="E99" s="6"/>
      <c r="F99" s="6"/>
      <c r="G99" s="6"/>
      <c r="H99" s="4"/>
      <c r="I99" s="4"/>
      <c r="J99" s="4"/>
      <c r="K99" s="4"/>
      <c r="L99" s="4"/>
      <c r="M99" s="7"/>
      <c r="N99" s="7"/>
      <c r="O99" s="7"/>
      <c r="P99" s="7"/>
      <c r="Q99" s="4"/>
      <c r="R99" s="7"/>
      <c r="S99" s="7"/>
      <c r="T99" s="7"/>
      <c r="U99" s="7"/>
      <c r="V99" s="7"/>
      <c r="W99" s="7"/>
      <c r="X99" s="7"/>
      <c r="Y99" s="7"/>
    </row>
    <row r="100">
      <c r="A100" s="4"/>
      <c r="B100" s="4"/>
      <c r="C100" s="8"/>
      <c r="D100" s="5"/>
      <c r="E100" s="6"/>
      <c r="F100" s="6"/>
      <c r="G100" s="6"/>
      <c r="H100" s="4"/>
      <c r="I100" s="4"/>
      <c r="J100" s="4"/>
      <c r="K100" s="4"/>
      <c r="L100" s="4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4"/>
      <c r="B101" s="4"/>
      <c r="C101" s="8"/>
      <c r="D101" s="5"/>
      <c r="E101" s="6"/>
      <c r="F101" s="6"/>
      <c r="G101" s="6"/>
      <c r="H101" s="4"/>
      <c r="I101" s="4"/>
      <c r="J101" s="4"/>
      <c r="K101" s="4"/>
      <c r="L101" s="4"/>
      <c r="M101" s="7"/>
      <c r="N101" s="7"/>
      <c r="O101" s="7"/>
      <c r="P101" s="7"/>
      <c r="Q101" s="4"/>
      <c r="R101" s="7"/>
      <c r="S101" s="7"/>
      <c r="T101" s="7"/>
      <c r="U101" s="7"/>
      <c r="V101" s="7"/>
      <c r="W101" s="7"/>
      <c r="X101" s="7"/>
      <c r="Y101" s="7"/>
    </row>
    <row r="102">
      <c r="A102" s="4"/>
      <c r="B102" s="4"/>
      <c r="C102" s="8"/>
      <c r="D102" s="5"/>
      <c r="E102" s="6"/>
      <c r="F102" s="6"/>
      <c r="G102" s="6"/>
      <c r="H102" s="4"/>
      <c r="I102" s="4"/>
      <c r="J102" s="4"/>
      <c r="K102" s="4"/>
      <c r="L102" s="4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4"/>
      <c r="B103" s="4"/>
      <c r="C103" s="8"/>
      <c r="D103" s="5"/>
      <c r="E103" s="6"/>
      <c r="F103" s="6"/>
      <c r="G103" s="6"/>
      <c r="H103" s="4"/>
      <c r="I103" s="4"/>
      <c r="J103" s="4"/>
      <c r="K103" s="4"/>
      <c r="L103" s="7"/>
      <c r="M103" s="7"/>
      <c r="N103" s="7"/>
      <c r="O103" s="7"/>
      <c r="P103" s="7"/>
      <c r="Q103" s="4"/>
      <c r="R103" s="7"/>
      <c r="S103" s="7"/>
      <c r="T103" s="7"/>
      <c r="U103" s="4"/>
      <c r="V103" s="7"/>
      <c r="W103" s="7"/>
      <c r="X103" s="7"/>
      <c r="Y103" s="7"/>
    </row>
    <row r="104">
      <c r="A104" s="4"/>
      <c r="B104" s="4"/>
      <c r="C104" s="8"/>
      <c r="D104" s="5"/>
      <c r="E104" s="6"/>
      <c r="F104" s="6"/>
      <c r="G104" s="6"/>
      <c r="H104" s="4"/>
      <c r="I104" s="4"/>
      <c r="J104" s="4"/>
      <c r="K104" s="4"/>
      <c r="L104" s="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4"/>
      <c r="B105" s="4"/>
      <c r="C105" s="8"/>
      <c r="D105" s="5"/>
      <c r="E105" s="6"/>
      <c r="F105" s="6"/>
      <c r="G105" s="6"/>
      <c r="H105" s="4"/>
      <c r="I105" s="4"/>
      <c r="J105" s="4"/>
      <c r="K105" s="4"/>
      <c r="L105" s="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4"/>
      <c r="B106" s="4"/>
      <c r="C106" s="8"/>
      <c r="D106" s="5"/>
      <c r="E106" s="6"/>
      <c r="F106" s="6"/>
      <c r="G106" s="6"/>
      <c r="H106" s="4"/>
      <c r="I106" s="4"/>
      <c r="J106" s="4"/>
      <c r="K106" s="4"/>
      <c r="L106" s="4"/>
      <c r="M106" s="7"/>
      <c r="N106" s="7"/>
      <c r="O106" s="7"/>
      <c r="P106" s="7"/>
      <c r="Q106" s="4"/>
      <c r="R106" s="7"/>
      <c r="S106" s="7"/>
      <c r="T106" s="7"/>
      <c r="U106" s="7"/>
      <c r="V106" s="7"/>
      <c r="W106" s="4"/>
      <c r="X106" s="7"/>
      <c r="Y106" s="7"/>
    </row>
    <row r="107">
      <c r="A107" s="4"/>
      <c r="B107" s="4"/>
      <c r="C107" s="8"/>
      <c r="D107" s="5"/>
      <c r="E107" s="6"/>
      <c r="F107" s="6"/>
      <c r="G107" s="6"/>
      <c r="H107" s="4"/>
      <c r="I107" s="4"/>
      <c r="J107" s="4"/>
      <c r="K107" s="4"/>
      <c r="L107" s="7"/>
      <c r="M107" s="4"/>
      <c r="N107" s="7"/>
      <c r="O107" s="7"/>
      <c r="P107" s="7"/>
      <c r="Q107" s="4"/>
      <c r="R107" s="7"/>
      <c r="S107" s="7"/>
      <c r="T107" s="7"/>
      <c r="U107" s="7"/>
      <c r="V107" s="7"/>
      <c r="W107" s="4"/>
      <c r="X107" s="7"/>
      <c r="Y107" s="7"/>
    </row>
    <row r="108">
      <c r="A108" s="4"/>
      <c r="B108" s="4"/>
      <c r="C108" s="8"/>
      <c r="D108" s="5"/>
      <c r="E108" s="6"/>
      <c r="F108" s="6"/>
      <c r="G108" s="6"/>
      <c r="H108" s="4"/>
      <c r="I108" s="4"/>
      <c r="J108" s="4"/>
      <c r="K108" s="4"/>
      <c r="L108" s="7"/>
      <c r="M108" s="4"/>
      <c r="N108" s="7"/>
      <c r="O108" s="7"/>
      <c r="P108" s="7"/>
      <c r="Q108" s="4"/>
      <c r="R108" s="7"/>
      <c r="S108" s="7"/>
      <c r="T108" s="7"/>
      <c r="U108" s="7"/>
      <c r="V108" s="7"/>
      <c r="W108" s="4"/>
      <c r="X108" s="7"/>
      <c r="Y108" s="7"/>
    </row>
    <row r="109">
      <c r="A109" s="4"/>
      <c r="B109" s="4"/>
      <c r="C109" s="8"/>
      <c r="D109" s="5"/>
      <c r="E109" s="6"/>
      <c r="F109" s="6"/>
      <c r="G109" s="6"/>
      <c r="H109" s="4"/>
      <c r="I109" s="4"/>
      <c r="J109" s="4"/>
      <c r="K109" s="4"/>
      <c r="L109" s="7"/>
      <c r="M109" s="7"/>
      <c r="N109" s="4"/>
      <c r="O109" s="7"/>
      <c r="P109" s="7"/>
      <c r="Q109" s="4"/>
      <c r="R109" s="7"/>
      <c r="S109" s="7"/>
      <c r="T109" s="7"/>
      <c r="U109" s="7"/>
      <c r="V109" s="7"/>
      <c r="W109" s="7"/>
      <c r="X109" s="7"/>
      <c r="Y109" s="7"/>
    </row>
    <row r="110">
      <c r="A110" s="4"/>
      <c r="B110" s="4"/>
      <c r="C110" s="8"/>
      <c r="D110" s="5"/>
      <c r="E110" s="6"/>
      <c r="F110" s="6"/>
      <c r="G110" s="6"/>
      <c r="H110" s="4"/>
      <c r="I110" s="4"/>
      <c r="J110" s="4"/>
      <c r="K110" s="4"/>
      <c r="L110" s="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4"/>
      <c r="B111" s="4"/>
      <c r="C111" s="8"/>
      <c r="D111" s="5"/>
      <c r="E111" s="6"/>
      <c r="F111" s="6"/>
      <c r="G111" s="6"/>
      <c r="H111" s="4"/>
      <c r="I111" s="4"/>
      <c r="J111" s="4"/>
      <c r="K111" s="4"/>
      <c r="L111" s="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4"/>
      <c r="B112" s="4"/>
      <c r="C112" s="8"/>
      <c r="D112" s="5"/>
      <c r="E112" s="6"/>
      <c r="F112" s="6"/>
      <c r="G112" s="6"/>
      <c r="H112" s="4"/>
      <c r="I112" s="4"/>
      <c r="J112" s="4"/>
      <c r="K112" s="4"/>
      <c r="L112" s="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4"/>
      <c r="B113" s="4"/>
      <c r="C113" s="8"/>
      <c r="D113" s="5"/>
      <c r="E113" s="6"/>
      <c r="F113" s="6"/>
      <c r="G113" s="6"/>
      <c r="H113" s="4"/>
      <c r="I113" s="4"/>
      <c r="J113" s="4"/>
      <c r="K113" s="4"/>
      <c r="L113" s="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4"/>
      <c r="B114" s="4"/>
      <c r="C114" s="8"/>
      <c r="D114" s="5"/>
      <c r="E114" s="6"/>
      <c r="F114" s="6"/>
      <c r="G114" s="6"/>
      <c r="H114" s="4"/>
      <c r="I114" s="4"/>
      <c r="J114" s="4"/>
      <c r="K114" s="4"/>
      <c r="L114" s="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4"/>
      <c r="B115" s="4"/>
      <c r="C115" s="8"/>
      <c r="D115" s="5"/>
      <c r="E115" s="6"/>
      <c r="F115" s="6"/>
      <c r="G115" s="6"/>
      <c r="H115" s="4"/>
      <c r="I115" s="4"/>
      <c r="J115" s="4"/>
      <c r="K115" s="4"/>
      <c r="L115" s="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4"/>
      <c r="B116" s="4"/>
      <c r="C116" s="8"/>
      <c r="D116" s="5"/>
      <c r="E116" s="6"/>
      <c r="F116" s="6"/>
      <c r="G116" s="6"/>
      <c r="H116" s="4"/>
      <c r="I116" s="4"/>
      <c r="J116" s="4"/>
      <c r="K116" s="4"/>
      <c r="L116" s="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4"/>
      <c r="B117" s="4"/>
      <c r="C117" s="8"/>
      <c r="D117" s="5"/>
      <c r="E117" s="6"/>
      <c r="F117" s="6"/>
      <c r="G117" s="6"/>
      <c r="H117" s="4"/>
      <c r="I117" s="4"/>
      <c r="J117" s="4"/>
      <c r="K117" s="4"/>
      <c r="L117" s="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4"/>
      <c r="B118" s="4"/>
      <c r="C118" s="8"/>
      <c r="D118" s="5"/>
      <c r="E118" s="6"/>
      <c r="F118" s="6"/>
      <c r="G118" s="6"/>
      <c r="H118" s="4"/>
      <c r="I118" s="4"/>
      <c r="J118" s="4"/>
      <c r="K118" s="4"/>
      <c r="L118" s="4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4"/>
      <c r="B119" s="4"/>
      <c r="C119" s="8"/>
      <c r="D119" s="5"/>
      <c r="E119" s="6"/>
      <c r="F119" s="6"/>
      <c r="G119" s="6"/>
      <c r="H119" s="4"/>
      <c r="I119" s="4"/>
      <c r="J119" s="4"/>
      <c r="K119" s="4"/>
      <c r="L119" s="4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4"/>
      <c r="B120" s="4"/>
      <c r="C120" s="8"/>
      <c r="D120" s="5"/>
      <c r="E120" s="6"/>
      <c r="F120" s="6"/>
      <c r="G120" s="6"/>
      <c r="H120" s="4"/>
      <c r="I120" s="4"/>
      <c r="J120" s="4"/>
      <c r="K120" s="4"/>
      <c r="L120" s="4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4"/>
      <c r="B121" s="4"/>
      <c r="C121" s="8"/>
      <c r="D121" s="5"/>
      <c r="E121" s="6"/>
      <c r="F121" s="6"/>
      <c r="G121" s="6"/>
      <c r="H121" s="4"/>
      <c r="I121" s="4"/>
      <c r="J121" s="4"/>
      <c r="K121" s="4"/>
      <c r="L121" s="4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"/>
      <c r="X121" s="7"/>
      <c r="Y121" s="7"/>
    </row>
    <row r="122">
      <c r="A122" s="4"/>
      <c r="B122" s="4"/>
      <c r="C122" s="8"/>
      <c r="D122" s="5"/>
      <c r="E122" s="6"/>
      <c r="F122" s="6"/>
      <c r="G122" s="6"/>
      <c r="H122" s="4"/>
      <c r="I122" s="4"/>
      <c r="J122" s="4"/>
      <c r="K122" s="4"/>
      <c r="L122" s="4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4"/>
      <c r="B123" s="4"/>
      <c r="C123" s="8"/>
      <c r="D123" s="5"/>
      <c r="E123" s="6"/>
      <c r="F123" s="6"/>
      <c r="G123" s="6"/>
      <c r="H123" s="4"/>
      <c r="I123" s="4"/>
      <c r="J123" s="4"/>
      <c r="K123" s="4"/>
      <c r="L123" s="4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"/>
      <c r="X123" s="7"/>
      <c r="Y123" s="7"/>
    </row>
    <row r="124">
      <c r="A124" s="4"/>
      <c r="B124" s="4"/>
      <c r="C124" s="8"/>
      <c r="D124" s="5"/>
      <c r="E124" s="6"/>
      <c r="F124" s="6"/>
      <c r="G124" s="6"/>
      <c r="H124" s="4"/>
      <c r="I124" s="4"/>
      <c r="J124" s="4"/>
      <c r="K124" s="4"/>
      <c r="L124" s="4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4"/>
      <c r="B125" s="4"/>
      <c r="C125" s="8"/>
      <c r="D125" s="5"/>
      <c r="E125" s="6"/>
      <c r="F125" s="6"/>
      <c r="G125" s="6"/>
      <c r="H125" s="4"/>
      <c r="I125" s="4"/>
      <c r="J125" s="4"/>
      <c r="K125" s="4"/>
      <c r="L125" s="4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4"/>
      <c r="B126" s="4"/>
      <c r="C126" s="8"/>
      <c r="D126" s="5"/>
      <c r="E126" s="6"/>
      <c r="F126" s="6"/>
      <c r="G126" s="6"/>
      <c r="H126" s="4"/>
      <c r="I126" s="4"/>
      <c r="J126" s="4"/>
      <c r="K126" s="4"/>
      <c r="L126" s="4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4"/>
      <c r="B127" s="4"/>
      <c r="C127" s="8"/>
      <c r="D127" s="5"/>
      <c r="E127" s="6"/>
      <c r="F127" s="6"/>
      <c r="G127" s="6"/>
      <c r="H127" s="4"/>
      <c r="I127" s="4"/>
      <c r="J127" s="4"/>
      <c r="K127" s="4"/>
      <c r="L127" s="7"/>
      <c r="M127" s="7"/>
      <c r="N127" s="7"/>
      <c r="O127" s="7"/>
      <c r="P127" s="7"/>
      <c r="Q127" s="4"/>
      <c r="R127" s="7"/>
      <c r="S127" s="7"/>
      <c r="T127" s="7"/>
      <c r="U127" s="7"/>
      <c r="V127" s="7"/>
      <c r="W127" s="7"/>
      <c r="X127" s="7"/>
      <c r="Y127" s="7"/>
    </row>
    <row r="128">
      <c r="A128" s="4"/>
      <c r="B128" s="4"/>
      <c r="C128" s="8"/>
      <c r="D128" s="5"/>
      <c r="E128" s="6"/>
      <c r="F128" s="6"/>
      <c r="G128" s="6"/>
      <c r="H128" s="4"/>
      <c r="I128" s="4"/>
      <c r="J128" s="4"/>
      <c r="K128" s="4"/>
      <c r="L128" s="7"/>
      <c r="M128" s="7"/>
      <c r="N128" s="7"/>
      <c r="O128" s="7"/>
      <c r="P128" s="7"/>
      <c r="Q128" s="4"/>
      <c r="R128" s="7"/>
      <c r="S128" s="7"/>
      <c r="T128" s="7"/>
      <c r="U128" s="7"/>
      <c r="V128" s="7"/>
      <c r="W128" s="4"/>
      <c r="X128" s="7"/>
      <c r="Y128" s="7"/>
    </row>
    <row r="129">
      <c r="A129" s="4"/>
      <c r="B129" s="4"/>
      <c r="C129" s="8"/>
      <c r="D129" s="5"/>
      <c r="E129" s="6"/>
      <c r="F129" s="6"/>
      <c r="G129" s="6"/>
      <c r="H129" s="4"/>
      <c r="I129" s="4"/>
      <c r="J129" s="4"/>
      <c r="K129" s="4"/>
      <c r="L129" s="7"/>
      <c r="M129" s="4"/>
      <c r="N129" s="7"/>
      <c r="O129" s="7"/>
      <c r="P129" s="7"/>
      <c r="Q129" s="4"/>
      <c r="R129" s="7"/>
      <c r="S129" s="7"/>
      <c r="T129" s="7"/>
      <c r="U129" s="7"/>
      <c r="V129" s="7"/>
      <c r="W129" s="4"/>
      <c r="X129" s="7"/>
      <c r="Y129" s="7"/>
    </row>
    <row r="130">
      <c r="A130" s="4"/>
      <c r="B130" s="4"/>
      <c r="C130" s="8"/>
      <c r="D130" s="5"/>
      <c r="E130" s="6"/>
      <c r="F130" s="6"/>
      <c r="G130" s="6"/>
      <c r="H130" s="4"/>
      <c r="I130" s="4"/>
      <c r="J130" s="4"/>
      <c r="K130" s="4"/>
      <c r="L130" s="7"/>
      <c r="M130" s="4"/>
      <c r="N130" s="7"/>
      <c r="O130" s="7"/>
      <c r="P130" s="7"/>
      <c r="Q130" s="4"/>
      <c r="R130" s="7"/>
      <c r="S130" s="7"/>
      <c r="T130" s="7"/>
      <c r="U130" s="7"/>
      <c r="V130" s="7"/>
      <c r="W130" s="4"/>
      <c r="X130" s="7"/>
      <c r="Y130" s="7"/>
    </row>
    <row r="131">
      <c r="A131" s="4"/>
      <c r="B131" s="4"/>
      <c r="C131" s="8"/>
      <c r="D131" s="5"/>
      <c r="E131" s="6"/>
      <c r="F131" s="6"/>
      <c r="G131" s="6"/>
      <c r="H131" s="4"/>
      <c r="I131" s="4"/>
      <c r="J131" s="4"/>
      <c r="K131" s="4"/>
      <c r="L131" s="7"/>
      <c r="M131" s="4"/>
      <c r="N131" s="7"/>
      <c r="O131" s="7"/>
      <c r="P131" s="7"/>
      <c r="Q131" s="4"/>
      <c r="R131" s="7"/>
      <c r="S131" s="7"/>
      <c r="T131" s="7"/>
      <c r="U131" s="7"/>
      <c r="V131" s="7"/>
      <c r="W131" s="4"/>
      <c r="X131" s="7"/>
      <c r="Y131" s="7"/>
    </row>
    <row r="132">
      <c r="A132" s="4"/>
      <c r="B132" s="4"/>
      <c r="C132" s="8"/>
      <c r="D132" s="5"/>
      <c r="E132" s="6"/>
      <c r="F132" s="6"/>
      <c r="G132" s="6"/>
      <c r="H132" s="4"/>
      <c r="I132" s="4"/>
      <c r="J132" s="4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"/>
      <c r="X132" s="4"/>
      <c r="Y132" s="4"/>
    </row>
    <row r="133">
      <c r="A133" s="4"/>
      <c r="B133" s="4"/>
      <c r="C133" s="8"/>
      <c r="D133" s="5"/>
      <c r="E133" s="6"/>
      <c r="F133" s="6"/>
      <c r="G133" s="6"/>
      <c r="H133" s="4"/>
      <c r="I133" s="4"/>
      <c r="J133" s="4"/>
      <c r="K133" s="4"/>
      <c r="L133" s="7"/>
      <c r="M133" s="7"/>
      <c r="N133" s="7"/>
      <c r="O133" s="7"/>
      <c r="P133" s="7"/>
      <c r="Q133" s="4"/>
      <c r="R133" s="7"/>
      <c r="S133" s="7"/>
      <c r="T133" s="7"/>
      <c r="U133" s="7"/>
      <c r="V133" s="7"/>
      <c r="W133" s="4"/>
      <c r="X133" s="4"/>
      <c r="Y133" s="4"/>
    </row>
    <row r="134">
      <c r="A134" s="4"/>
      <c r="B134" s="4"/>
      <c r="C134" s="8"/>
      <c r="D134" s="5"/>
      <c r="E134" s="6"/>
      <c r="F134" s="6"/>
      <c r="G134" s="6"/>
      <c r="H134" s="4"/>
      <c r="I134" s="4"/>
      <c r="J134" s="4"/>
      <c r="K134" s="4"/>
      <c r="L134" s="7"/>
      <c r="M134" s="7"/>
      <c r="N134" s="7"/>
      <c r="O134" s="7"/>
      <c r="P134" s="7"/>
      <c r="Q134" s="4"/>
      <c r="R134" s="7"/>
      <c r="S134" s="7"/>
      <c r="T134" s="7"/>
      <c r="U134" s="7"/>
      <c r="V134" s="7"/>
      <c r="W134" s="4"/>
      <c r="X134" s="7"/>
      <c r="Y134" s="7"/>
    </row>
    <row r="135">
      <c r="A135" s="4"/>
      <c r="B135" s="4"/>
      <c r="C135" s="8"/>
      <c r="D135" s="5"/>
      <c r="E135" s="6"/>
      <c r="F135" s="6"/>
      <c r="G135" s="6"/>
      <c r="H135" s="4"/>
      <c r="I135" s="4"/>
      <c r="J135" s="4"/>
      <c r="K135" s="4"/>
      <c r="L135" s="7"/>
      <c r="M135" s="7"/>
      <c r="N135" s="4"/>
      <c r="O135" s="7"/>
      <c r="P135" s="7"/>
      <c r="Q135" s="4"/>
      <c r="R135" s="7"/>
      <c r="S135" s="7"/>
      <c r="T135" s="7"/>
      <c r="U135" s="7"/>
      <c r="V135" s="7"/>
      <c r="W135" s="4"/>
      <c r="X135" s="7"/>
      <c r="Y135" s="7"/>
    </row>
    <row r="136">
      <c r="A136" s="4"/>
      <c r="B136" s="4"/>
      <c r="C136" s="8"/>
      <c r="D136" s="5"/>
      <c r="E136" s="6"/>
      <c r="F136" s="6"/>
      <c r="G136" s="6"/>
      <c r="H136" s="4"/>
      <c r="I136" s="4"/>
      <c r="J136" s="4"/>
      <c r="K136" s="4"/>
      <c r="L136" s="7"/>
      <c r="M136" s="7"/>
      <c r="N136" s="4"/>
      <c r="O136" s="7"/>
      <c r="P136" s="7"/>
      <c r="Q136" s="4"/>
      <c r="R136" s="7"/>
      <c r="S136" s="7"/>
      <c r="T136" s="7"/>
      <c r="U136" s="7"/>
      <c r="V136" s="7"/>
      <c r="W136" s="4"/>
      <c r="X136" s="7"/>
      <c r="Y136" s="7"/>
    </row>
    <row r="137">
      <c r="A137" s="4"/>
      <c r="B137" s="4"/>
      <c r="C137" s="8"/>
      <c r="D137" s="5"/>
      <c r="E137" s="6"/>
      <c r="F137" s="6"/>
      <c r="G137" s="6"/>
      <c r="H137" s="4"/>
      <c r="I137" s="4"/>
      <c r="J137" s="4"/>
      <c r="K137" s="4"/>
      <c r="L137" s="7"/>
      <c r="M137" s="7"/>
      <c r="N137" s="4"/>
      <c r="O137" s="7"/>
      <c r="P137" s="7"/>
      <c r="Q137" s="4"/>
      <c r="R137" s="7"/>
      <c r="S137" s="7"/>
      <c r="T137" s="7"/>
      <c r="U137" s="7"/>
      <c r="V137" s="7"/>
      <c r="W137" s="7"/>
      <c r="X137" s="7"/>
      <c r="Y137" s="7"/>
    </row>
    <row r="138">
      <c r="A138" s="4"/>
      <c r="B138" s="4"/>
      <c r="C138" s="8"/>
      <c r="D138" s="5"/>
      <c r="E138" s="6"/>
      <c r="F138" s="6"/>
      <c r="G138" s="6"/>
      <c r="H138" s="4"/>
      <c r="I138" s="4"/>
      <c r="J138" s="4"/>
      <c r="K138" s="4"/>
      <c r="L138" s="4"/>
      <c r="M138" s="7"/>
      <c r="N138" s="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4"/>
      <c r="B139" s="4"/>
      <c r="C139" s="8"/>
      <c r="D139" s="5"/>
      <c r="E139" s="6"/>
      <c r="F139" s="6"/>
      <c r="G139" s="6"/>
      <c r="H139" s="4"/>
      <c r="I139" s="4"/>
      <c r="J139" s="4"/>
      <c r="K139" s="4"/>
      <c r="L139" s="4"/>
      <c r="M139" s="7"/>
      <c r="N139" s="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4"/>
      <c r="B140" s="4"/>
      <c r="C140" s="8"/>
      <c r="D140" s="5"/>
      <c r="E140" s="6"/>
      <c r="F140" s="6"/>
      <c r="G140" s="6"/>
      <c r="H140" s="4"/>
      <c r="I140" s="4"/>
      <c r="J140" s="4"/>
      <c r="K140" s="4"/>
      <c r="L140" s="4"/>
      <c r="M140" s="7"/>
      <c r="N140" s="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4"/>
      <c r="B141" s="4"/>
      <c r="C141" s="8"/>
      <c r="D141" s="5"/>
      <c r="E141" s="6"/>
      <c r="F141" s="6"/>
      <c r="G141" s="6"/>
      <c r="H141" s="4"/>
      <c r="I141" s="4"/>
      <c r="J141" s="4"/>
      <c r="K141" s="4"/>
      <c r="L141" s="4"/>
      <c r="M141" s="7"/>
      <c r="N141" s="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4"/>
      <c r="B142" s="4"/>
      <c r="C142" s="8"/>
      <c r="D142" s="5"/>
      <c r="E142" s="6"/>
      <c r="F142" s="6"/>
      <c r="G142" s="6"/>
      <c r="H142" s="4"/>
      <c r="I142" s="4"/>
      <c r="J142" s="4"/>
      <c r="K142" s="4"/>
      <c r="L142" s="4"/>
      <c r="M142" s="7"/>
      <c r="N142" s="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4"/>
      <c r="B143" s="4"/>
      <c r="C143" s="8"/>
      <c r="D143" s="5"/>
      <c r="E143" s="6"/>
      <c r="F143" s="6"/>
      <c r="G143" s="6"/>
      <c r="H143" s="4"/>
      <c r="I143" s="4"/>
      <c r="J143" s="4"/>
      <c r="K143" s="4"/>
      <c r="L143" s="4"/>
      <c r="M143" s="7"/>
      <c r="N143" s="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4"/>
      <c r="B144" s="4"/>
      <c r="C144" s="8"/>
      <c r="D144" s="5"/>
      <c r="E144" s="6"/>
      <c r="F144" s="6"/>
      <c r="G144" s="6"/>
      <c r="H144" s="4"/>
      <c r="I144" s="4"/>
      <c r="J144" s="4"/>
      <c r="K144" s="4"/>
      <c r="L144" s="4"/>
      <c r="M144" s="7"/>
      <c r="N144" s="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4"/>
      <c r="B145" s="4"/>
      <c r="C145" s="8"/>
      <c r="D145" s="5"/>
      <c r="E145" s="6"/>
      <c r="F145" s="6"/>
      <c r="G145" s="6"/>
      <c r="H145" s="4"/>
      <c r="I145" s="4"/>
      <c r="J145" s="4"/>
      <c r="K145" s="4"/>
      <c r="L145" s="4"/>
      <c r="M145" s="7"/>
      <c r="N145" s="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4"/>
      <c r="B146" s="4"/>
      <c r="C146" s="4"/>
      <c r="D146" s="5"/>
      <c r="E146" s="6"/>
      <c r="F146" s="6"/>
      <c r="G146" s="6"/>
      <c r="H146" s="4"/>
      <c r="I146" s="4"/>
      <c r="J146" s="4"/>
      <c r="K146" s="4"/>
      <c r="L146" s="7"/>
      <c r="M146" s="7"/>
      <c r="N146" s="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4"/>
      <c r="B147" s="4"/>
      <c r="C147" s="8"/>
      <c r="D147" s="5"/>
      <c r="E147" s="6"/>
      <c r="F147" s="6"/>
      <c r="G147" s="6"/>
      <c r="H147" s="4"/>
      <c r="I147" s="4"/>
      <c r="J147" s="4"/>
      <c r="K147" s="4"/>
      <c r="L147" s="7"/>
      <c r="M147" s="7"/>
      <c r="N147" s="7"/>
      <c r="O147" s="7"/>
      <c r="P147" s="7"/>
      <c r="Q147" s="7"/>
      <c r="R147" s="7"/>
      <c r="S147" s="7"/>
      <c r="T147" s="4"/>
      <c r="U147" s="4"/>
      <c r="V147" s="7"/>
      <c r="W147" s="7"/>
      <c r="X147" s="7"/>
      <c r="Y147" s="7"/>
    </row>
    <row r="148">
      <c r="A148" s="4"/>
      <c r="B148" s="4"/>
      <c r="C148" s="8"/>
      <c r="D148" s="5"/>
      <c r="E148" s="6"/>
      <c r="F148" s="6"/>
      <c r="G148" s="6"/>
      <c r="H148" s="4"/>
      <c r="I148" s="4"/>
      <c r="J148" s="4"/>
      <c r="K148" s="4"/>
      <c r="L148" s="7"/>
      <c r="M148" s="7"/>
      <c r="N148" s="7"/>
      <c r="O148" s="7"/>
      <c r="P148" s="7"/>
      <c r="Q148" s="7"/>
      <c r="R148" s="7"/>
      <c r="S148" s="7"/>
      <c r="T148" s="4"/>
      <c r="U148" s="7"/>
      <c r="V148" s="7"/>
      <c r="W148" s="7"/>
      <c r="X148" s="7"/>
      <c r="Y148" s="7"/>
    </row>
    <row r="149">
      <c r="A149" s="4"/>
      <c r="B149" s="4"/>
      <c r="C149" s="8"/>
      <c r="D149" s="5"/>
      <c r="E149" s="6"/>
      <c r="F149" s="6"/>
      <c r="G149" s="6"/>
      <c r="H149" s="4"/>
      <c r="I149" s="4"/>
      <c r="J149" s="4"/>
      <c r="K149" s="4"/>
      <c r="L149" s="7"/>
      <c r="M149" s="7"/>
      <c r="N149" s="7"/>
      <c r="O149" s="4"/>
      <c r="P149" s="7"/>
      <c r="Q149" s="7"/>
      <c r="R149" s="7"/>
      <c r="S149" s="7"/>
      <c r="T149" s="7"/>
      <c r="U149" s="4"/>
      <c r="V149" s="7"/>
      <c r="W149" s="7"/>
      <c r="X149" s="7"/>
      <c r="Y149" s="7"/>
    </row>
    <row r="150">
      <c r="A150" s="4"/>
      <c r="B150" s="4"/>
      <c r="C150" s="8"/>
      <c r="D150" s="5"/>
      <c r="E150" s="6"/>
      <c r="F150" s="6"/>
      <c r="G150" s="6"/>
      <c r="H150" s="4"/>
      <c r="I150" s="4"/>
      <c r="J150" s="4"/>
      <c r="K150" s="4"/>
      <c r="L150" s="4"/>
      <c r="M150" s="7"/>
      <c r="N150" s="7"/>
      <c r="O150" s="7"/>
      <c r="P150" s="4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4"/>
      <c r="B151" s="4"/>
      <c r="C151" s="8"/>
      <c r="D151" s="5"/>
      <c r="E151" s="6"/>
      <c r="F151" s="6"/>
      <c r="G151" s="6"/>
      <c r="H151" s="4"/>
      <c r="I151" s="4"/>
      <c r="J151" s="4"/>
      <c r="K151" s="4"/>
      <c r="L151" s="7"/>
      <c r="M151" s="7"/>
      <c r="N151" s="7"/>
      <c r="O151" s="7"/>
      <c r="P151" s="7"/>
      <c r="Q151" s="4"/>
      <c r="R151" s="7"/>
      <c r="S151" s="7"/>
      <c r="T151" s="7"/>
      <c r="U151" s="7"/>
      <c r="V151" s="7"/>
      <c r="W151" s="7"/>
      <c r="X151" s="7"/>
      <c r="Y151" s="7"/>
    </row>
    <row r="152">
      <c r="A152" s="4"/>
      <c r="B152" s="4"/>
      <c r="C152" s="8"/>
      <c r="D152" s="5"/>
      <c r="E152" s="6"/>
      <c r="F152" s="6"/>
      <c r="G152" s="6"/>
      <c r="H152" s="4"/>
      <c r="I152" s="4"/>
      <c r="J152" s="4"/>
      <c r="K152" s="4"/>
      <c r="L152" s="7"/>
      <c r="M152" s="7"/>
      <c r="N152" s="4"/>
      <c r="O152" s="7"/>
      <c r="P152" s="4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4"/>
      <c r="B153" s="4"/>
      <c r="C153" s="8"/>
      <c r="D153" s="5"/>
      <c r="E153" s="6"/>
      <c r="F153" s="6"/>
      <c r="G153" s="6"/>
      <c r="H153" s="4"/>
      <c r="I153" s="4"/>
      <c r="J153" s="4"/>
      <c r="K153" s="4"/>
      <c r="L153" s="7"/>
      <c r="M153" s="7"/>
      <c r="N153" s="7"/>
      <c r="O153" s="7"/>
      <c r="P153" s="4"/>
      <c r="Q153" s="7"/>
      <c r="R153" s="7"/>
      <c r="S153" s="7"/>
      <c r="T153" s="4"/>
      <c r="U153" s="7"/>
      <c r="V153" s="7"/>
      <c r="W153" s="7"/>
      <c r="X153" s="7"/>
      <c r="Y153" s="7"/>
    </row>
    <row r="154">
      <c r="A154" s="4"/>
      <c r="B154" s="4"/>
      <c r="C154" s="8"/>
      <c r="D154" s="5"/>
      <c r="E154" s="6"/>
      <c r="F154" s="6"/>
      <c r="G154" s="6"/>
      <c r="H154" s="4"/>
      <c r="I154" s="4"/>
      <c r="J154" s="4"/>
      <c r="K154" s="4"/>
      <c r="L154" s="7"/>
      <c r="M154" s="7"/>
      <c r="N154" s="7"/>
      <c r="O154" s="7"/>
      <c r="P154" s="4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4"/>
      <c r="B155" s="4"/>
      <c r="C155" s="8"/>
      <c r="D155" s="5"/>
      <c r="E155" s="6"/>
      <c r="F155" s="6"/>
      <c r="G155" s="6"/>
      <c r="H155" s="4"/>
      <c r="I155" s="4"/>
      <c r="J155" s="4"/>
      <c r="K155" s="4"/>
      <c r="L155" s="7"/>
      <c r="M155" s="7"/>
      <c r="N155" s="7"/>
      <c r="O155" s="7"/>
      <c r="P155" s="7"/>
      <c r="Q155" s="4"/>
      <c r="R155" s="7"/>
      <c r="S155" s="4"/>
      <c r="T155" s="7"/>
      <c r="U155" s="7"/>
      <c r="V155" s="7"/>
      <c r="W155" s="7"/>
      <c r="X155" s="7"/>
      <c r="Y155" s="7"/>
    </row>
    <row r="156">
      <c r="A156" s="4"/>
      <c r="B156" s="4"/>
      <c r="C156" s="8"/>
      <c r="D156" s="5"/>
      <c r="E156" s="6"/>
      <c r="F156" s="6"/>
      <c r="G156" s="6"/>
      <c r="H156" s="4"/>
      <c r="I156" s="4"/>
      <c r="J156" s="4"/>
      <c r="K156" s="4"/>
      <c r="L156" s="7"/>
      <c r="M156" s="7"/>
      <c r="N156" s="4"/>
      <c r="O156" s="7"/>
      <c r="P156" s="4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4"/>
      <c r="B157" s="4"/>
      <c r="C157" s="8"/>
      <c r="D157" s="5"/>
      <c r="E157" s="6"/>
      <c r="F157" s="6"/>
      <c r="G157" s="6"/>
      <c r="H157" s="4"/>
      <c r="I157" s="4"/>
      <c r="J157" s="4"/>
      <c r="K157" s="4"/>
      <c r="L157" s="4"/>
      <c r="M157" s="7"/>
      <c r="N157" s="7"/>
      <c r="O157" s="7"/>
      <c r="P157" s="4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4"/>
      <c r="B158" s="4"/>
      <c r="C158" s="8"/>
      <c r="D158" s="5"/>
      <c r="E158" s="6"/>
      <c r="F158" s="6"/>
      <c r="G158" s="6"/>
      <c r="H158" s="4"/>
      <c r="I158" s="4"/>
      <c r="J158" s="4"/>
      <c r="K158" s="4"/>
      <c r="L158" s="7"/>
      <c r="M158" s="7"/>
      <c r="N158" s="7"/>
      <c r="O158" s="7"/>
      <c r="P158" s="4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4"/>
      <c r="B159" s="4"/>
      <c r="C159" s="8"/>
      <c r="D159" s="5"/>
      <c r="E159" s="6"/>
      <c r="F159" s="6"/>
      <c r="G159" s="6"/>
      <c r="H159" s="4"/>
      <c r="I159" s="4"/>
      <c r="J159" s="4"/>
      <c r="K159" s="4"/>
      <c r="L159" s="7"/>
      <c r="M159" s="7"/>
      <c r="N159" s="7"/>
      <c r="O159" s="7"/>
      <c r="P159" s="4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4"/>
      <c r="B160" s="4"/>
      <c r="C160" s="8"/>
      <c r="D160" s="5"/>
      <c r="E160" s="6"/>
      <c r="F160" s="6"/>
      <c r="G160" s="6"/>
      <c r="H160" s="4"/>
      <c r="I160" s="4"/>
      <c r="J160" s="4"/>
      <c r="K160" s="4"/>
      <c r="L160" s="4"/>
      <c r="M160" s="7"/>
      <c r="N160" s="7"/>
      <c r="O160" s="7"/>
      <c r="P160" s="4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4"/>
      <c r="B161" s="4"/>
      <c r="C161" s="8"/>
      <c r="D161" s="5"/>
      <c r="E161" s="6"/>
      <c r="F161" s="6"/>
      <c r="G161" s="6"/>
      <c r="H161" s="4"/>
      <c r="I161" s="4"/>
      <c r="J161" s="4"/>
      <c r="K161" s="4"/>
      <c r="L161" s="4"/>
      <c r="M161" s="7"/>
      <c r="N161" s="7"/>
      <c r="O161" s="7"/>
      <c r="P161" s="7"/>
      <c r="Q161" s="4"/>
      <c r="R161" s="7"/>
      <c r="S161" s="7"/>
      <c r="T161" s="7"/>
      <c r="U161" s="7"/>
      <c r="V161" s="7"/>
      <c r="W161" s="7"/>
      <c r="X161" s="7"/>
      <c r="Y161" s="7"/>
    </row>
    <row r="162">
      <c r="A162" s="4"/>
      <c r="B162" s="4"/>
      <c r="C162" s="8"/>
      <c r="D162" s="5"/>
      <c r="E162" s="6"/>
      <c r="F162" s="6"/>
      <c r="G162" s="6"/>
      <c r="H162" s="4"/>
      <c r="I162" s="4"/>
      <c r="J162" s="4"/>
      <c r="K162" s="4"/>
      <c r="L162" s="7"/>
      <c r="M162" s="7"/>
      <c r="N162" s="7"/>
      <c r="O162" s="7"/>
      <c r="P162" s="4"/>
      <c r="Q162" s="7"/>
      <c r="R162" s="4"/>
      <c r="S162" s="7"/>
      <c r="T162" s="7"/>
      <c r="U162" s="7"/>
      <c r="V162" s="7"/>
      <c r="W162" s="7"/>
      <c r="X162" s="7"/>
      <c r="Y162" s="7"/>
    </row>
    <row r="163">
      <c r="A163" s="4"/>
      <c r="B163" s="4"/>
      <c r="C163" s="8"/>
      <c r="D163" s="5"/>
      <c r="E163" s="6"/>
      <c r="F163" s="6"/>
      <c r="G163" s="6"/>
      <c r="H163" s="4"/>
      <c r="I163" s="4"/>
      <c r="J163" s="4"/>
      <c r="K163" s="4"/>
      <c r="L163" s="7"/>
      <c r="M163" s="7"/>
      <c r="N163" s="7"/>
      <c r="O163" s="7"/>
      <c r="P163" s="4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4"/>
      <c r="B164" s="4"/>
      <c r="C164" s="8"/>
      <c r="D164" s="5"/>
      <c r="E164" s="6"/>
      <c r="F164" s="6"/>
      <c r="G164" s="6"/>
      <c r="H164" s="4"/>
      <c r="I164" s="4"/>
      <c r="J164" s="4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"/>
      <c r="X164" s="7"/>
      <c r="Y164" s="7"/>
    </row>
    <row r="165">
      <c r="A165" s="4"/>
      <c r="B165" s="4"/>
      <c r="C165" s="8"/>
      <c r="D165" s="5"/>
      <c r="E165" s="6"/>
      <c r="F165" s="6"/>
      <c r="G165" s="6"/>
      <c r="H165" s="4"/>
      <c r="I165" s="4"/>
      <c r="J165" s="4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"/>
      <c r="X165" s="7"/>
      <c r="Y165" s="7"/>
    </row>
    <row r="166">
      <c r="A166" s="4"/>
      <c r="B166" s="8"/>
      <c r="C166" s="4"/>
      <c r="D166" s="5"/>
      <c r="E166" s="6"/>
      <c r="F166" s="6"/>
      <c r="G166" s="6"/>
      <c r="H166" s="4"/>
      <c r="I166" s="4"/>
      <c r="J166" s="4"/>
      <c r="K166" s="4"/>
      <c r="L166" s="7"/>
      <c r="M166" s="7"/>
      <c r="N166" s="7"/>
      <c r="O166" s="7"/>
      <c r="P166" s="4"/>
      <c r="Q166" s="7"/>
      <c r="R166" s="7"/>
      <c r="S166" s="7"/>
      <c r="T166" s="7"/>
      <c r="U166" s="7"/>
      <c r="V166" s="7"/>
      <c r="W166" s="4"/>
      <c r="X166" s="7"/>
      <c r="Y166" s="7"/>
    </row>
    <row r="167">
      <c r="A167" s="4"/>
      <c r="B167" s="8"/>
      <c r="C167" s="8"/>
      <c r="D167" s="5"/>
      <c r="E167" s="6"/>
      <c r="F167" s="6"/>
      <c r="G167" s="6"/>
      <c r="H167" s="4"/>
      <c r="I167" s="4"/>
      <c r="J167" s="4"/>
      <c r="K167" s="4"/>
      <c r="L167" s="7"/>
      <c r="M167" s="7"/>
      <c r="N167" s="7"/>
      <c r="O167" s="7"/>
      <c r="P167" s="4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4"/>
      <c r="B168" s="8"/>
      <c r="C168" s="8"/>
      <c r="D168" s="5"/>
      <c r="E168" s="6"/>
      <c r="F168" s="6"/>
      <c r="G168" s="6"/>
      <c r="H168" s="4"/>
      <c r="I168" s="4"/>
      <c r="J168" s="4"/>
      <c r="K168" s="4"/>
      <c r="L168" s="7"/>
      <c r="M168" s="7"/>
      <c r="N168" s="7"/>
      <c r="O168" s="7"/>
      <c r="P168" s="4"/>
      <c r="Q168" s="7"/>
      <c r="R168" s="7"/>
      <c r="S168" s="7"/>
      <c r="T168" s="7"/>
      <c r="U168" s="7"/>
      <c r="V168" s="7"/>
      <c r="W168" s="4"/>
      <c r="X168" s="7"/>
      <c r="Y168" s="7"/>
    </row>
    <row r="169">
      <c r="A169" s="4"/>
      <c r="B169" s="8"/>
      <c r="C169" s="8"/>
      <c r="D169" s="5"/>
      <c r="E169" s="6"/>
      <c r="F169" s="6"/>
      <c r="G169" s="6"/>
      <c r="H169" s="4"/>
      <c r="I169" s="4"/>
      <c r="J169" s="4"/>
      <c r="K169" s="4"/>
      <c r="L169" s="7"/>
      <c r="M169" s="7"/>
      <c r="N169" s="7"/>
      <c r="O169" s="7"/>
      <c r="P169" s="4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4"/>
      <c r="B170" s="4"/>
      <c r="C170" s="8"/>
      <c r="D170" s="5"/>
      <c r="E170" s="6"/>
      <c r="F170" s="6"/>
      <c r="G170" s="6"/>
      <c r="H170" s="4"/>
      <c r="I170" s="4"/>
      <c r="J170" s="4"/>
      <c r="K170" s="4"/>
      <c r="L170" s="7"/>
      <c r="M170" s="7"/>
      <c r="N170" s="7"/>
      <c r="O170" s="4"/>
      <c r="P170" s="7"/>
      <c r="Q170" s="4"/>
      <c r="R170" s="7"/>
      <c r="S170" s="7"/>
      <c r="T170" s="7"/>
      <c r="U170" s="7"/>
      <c r="V170" s="7"/>
      <c r="W170" s="7"/>
      <c r="X170" s="7"/>
      <c r="Y170" s="7"/>
    </row>
    <row r="171">
      <c r="A171" s="4"/>
      <c r="B171" s="4"/>
      <c r="C171" s="8"/>
      <c r="D171" s="5"/>
      <c r="E171" s="6"/>
      <c r="F171" s="6"/>
      <c r="G171" s="6"/>
      <c r="H171" s="4"/>
      <c r="I171" s="4"/>
      <c r="J171" s="4"/>
      <c r="K171" s="4"/>
      <c r="L171" s="7"/>
      <c r="M171" s="7"/>
      <c r="N171" s="4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7"/>
    </row>
    <row r="172">
      <c r="A172" s="4"/>
      <c r="B172" s="4"/>
      <c r="C172" s="8"/>
      <c r="D172" s="5"/>
      <c r="E172" s="6"/>
      <c r="F172" s="6"/>
      <c r="G172" s="6"/>
      <c r="H172" s="4"/>
      <c r="I172" s="4"/>
      <c r="J172" s="4"/>
      <c r="K172" s="4"/>
      <c r="L172" s="7"/>
      <c r="M172" s="7"/>
      <c r="N172" s="4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7"/>
    </row>
    <row r="173">
      <c r="A173" s="4"/>
      <c r="B173" s="4"/>
      <c r="C173" s="8"/>
      <c r="D173" s="5"/>
      <c r="E173" s="6"/>
      <c r="F173" s="6"/>
      <c r="G173" s="6"/>
      <c r="H173" s="4"/>
      <c r="I173" s="4"/>
      <c r="J173" s="4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7"/>
    </row>
    <row r="174">
      <c r="A174" s="4"/>
      <c r="B174" s="4"/>
      <c r="C174" s="8"/>
      <c r="D174" s="5"/>
      <c r="E174" s="6"/>
      <c r="F174" s="6"/>
      <c r="G174" s="6"/>
      <c r="H174" s="4"/>
      <c r="I174" s="4"/>
      <c r="J174" s="4"/>
      <c r="K174" s="4"/>
      <c r="L174" s="7"/>
      <c r="M174" s="7"/>
      <c r="N174" s="7"/>
      <c r="O174" s="4"/>
      <c r="P174" s="7"/>
      <c r="Q174" s="7"/>
      <c r="R174" s="7"/>
      <c r="S174" s="7"/>
      <c r="T174" s="7"/>
      <c r="U174" s="7"/>
      <c r="V174" s="7"/>
      <c r="W174" s="7"/>
      <c r="X174" s="4"/>
      <c r="Y174" s="7"/>
    </row>
    <row r="175">
      <c r="A175" s="4"/>
      <c r="B175" s="4"/>
      <c r="C175" s="8"/>
      <c r="D175" s="5"/>
      <c r="E175" s="6"/>
      <c r="F175" s="6"/>
      <c r="G175" s="6"/>
      <c r="H175" s="4"/>
      <c r="I175" s="4"/>
      <c r="J175" s="4"/>
      <c r="K175" s="4"/>
      <c r="L175" s="7"/>
      <c r="M175" s="7"/>
      <c r="N175" s="7"/>
      <c r="O175" s="4"/>
      <c r="P175" s="7"/>
      <c r="Q175" s="7"/>
      <c r="R175" s="7"/>
      <c r="S175" s="7"/>
      <c r="T175" s="7"/>
      <c r="U175" s="7"/>
      <c r="V175" s="7"/>
      <c r="W175" s="7"/>
      <c r="X175" s="4"/>
      <c r="Y175" s="7"/>
    </row>
    <row r="176">
      <c r="A176" s="4"/>
      <c r="B176" s="4"/>
      <c r="C176" s="8"/>
      <c r="D176" s="5"/>
      <c r="E176" s="6"/>
      <c r="F176" s="6"/>
      <c r="G176" s="6"/>
      <c r="H176" s="4"/>
      <c r="I176" s="4"/>
      <c r="J176" s="4"/>
      <c r="K176" s="4"/>
      <c r="L176" s="7"/>
      <c r="M176" s="7"/>
      <c r="N176" s="7"/>
      <c r="O176" s="4"/>
      <c r="P176" s="7"/>
      <c r="Q176" s="7"/>
      <c r="R176" s="7"/>
      <c r="S176" s="7"/>
      <c r="T176" s="7"/>
      <c r="U176" s="7"/>
      <c r="V176" s="7"/>
      <c r="W176" s="7"/>
      <c r="X176" s="4"/>
      <c r="Y176" s="7"/>
    </row>
    <row r="177">
      <c r="A177" s="4"/>
      <c r="B177" s="4"/>
      <c r="C177" s="8"/>
      <c r="D177" s="5"/>
      <c r="E177" s="6"/>
      <c r="F177" s="6"/>
      <c r="G177" s="6"/>
      <c r="H177" s="4"/>
      <c r="I177" s="4"/>
      <c r="J177" s="4"/>
      <c r="K177" s="4"/>
      <c r="L177" s="7"/>
      <c r="M177" s="7"/>
      <c r="N177" s="7"/>
      <c r="O177" s="4"/>
      <c r="P177" s="7"/>
      <c r="Q177" s="7"/>
      <c r="R177" s="7"/>
      <c r="S177" s="7"/>
      <c r="T177" s="7"/>
      <c r="U177" s="7"/>
      <c r="V177" s="7"/>
      <c r="W177" s="7"/>
      <c r="X177" s="4"/>
      <c r="Y177" s="7"/>
    </row>
    <row r="178">
      <c r="A178" s="4"/>
      <c r="B178" s="4"/>
      <c r="C178" s="8"/>
      <c r="D178" s="5"/>
      <c r="E178" s="6"/>
      <c r="F178" s="6"/>
      <c r="G178" s="6"/>
      <c r="H178" s="4"/>
      <c r="I178" s="4"/>
      <c r="J178" s="4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7"/>
    </row>
    <row r="179">
      <c r="A179" s="4"/>
      <c r="B179" s="4"/>
      <c r="C179" s="8"/>
      <c r="D179" s="5"/>
      <c r="E179" s="6"/>
      <c r="F179" s="6"/>
      <c r="G179" s="6"/>
      <c r="H179" s="4"/>
      <c r="I179" s="4"/>
      <c r="J179" s="4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7"/>
    </row>
    <row r="180">
      <c r="A180" s="4"/>
      <c r="B180" s="4"/>
      <c r="C180" s="8"/>
      <c r="D180" s="5"/>
      <c r="E180" s="6"/>
      <c r="F180" s="6"/>
      <c r="G180" s="6"/>
      <c r="H180" s="4"/>
      <c r="I180" s="4"/>
      <c r="J180" s="4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7"/>
    </row>
    <row r="181">
      <c r="A181" s="4"/>
      <c r="B181" s="4"/>
      <c r="C181" s="8"/>
      <c r="D181" s="5"/>
      <c r="E181" s="6"/>
      <c r="F181" s="6"/>
      <c r="G181" s="6"/>
      <c r="H181" s="4"/>
      <c r="I181" s="4"/>
      <c r="J181" s="4"/>
      <c r="K181" s="4"/>
      <c r="L181" s="7"/>
      <c r="M181" s="7"/>
      <c r="N181" s="7"/>
      <c r="O181" s="7"/>
      <c r="P181" s="7"/>
      <c r="Q181" s="4"/>
      <c r="R181" s="7"/>
      <c r="S181" s="7"/>
      <c r="T181" s="7"/>
      <c r="U181" s="7"/>
      <c r="V181" s="7"/>
      <c r="W181" s="4"/>
      <c r="X181" s="7"/>
      <c r="Y181" s="7"/>
    </row>
    <row r="182">
      <c r="A182" s="4"/>
      <c r="B182" s="4"/>
      <c r="C182" s="8"/>
      <c r="D182" s="5"/>
      <c r="E182" s="6"/>
      <c r="F182" s="6"/>
      <c r="G182" s="6"/>
      <c r="H182" s="4"/>
      <c r="I182" s="4"/>
      <c r="J182" s="4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"/>
      <c r="X182" s="7"/>
      <c r="Y182" s="7"/>
    </row>
    <row r="183">
      <c r="A183" s="4"/>
      <c r="B183" s="4"/>
      <c r="C183" s="8"/>
      <c r="D183" s="5"/>
      <c r="E183" s="6"/>
      <c r="F183" s="6"/>
      <c r="G183" s="6"/>
      <c r="H183" s="4"/>
      <c r="I183" s="4"/>
      <c r="J183" s="4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"/>
      <c r="X183" s="7"/>
      <c r="Y183" s="7"/>
    </row>
    <row r="184">
      <c r="A184" s="4"/>
      <c r="B184" s="4"/>
      <c r="C184" s="8"/>
      <c r="D184" s="5"/>
      <c r="E184" s="6"/>
      <c r="F184" s="6"/>
      <c r="G184" s="6"/>
      <c r="H184" s="4"/>
      <c r="I184" s="4"/>
      <c r="J184" s="4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4"/>
      <c r="W184" s="7"/>
      <c r="X184" s="7"/>
      <c r="Y184" s="7"/>
    </row>
    <row r="185">
      <c r="A185" s="4"/>
      <c r="B185" s="4"/>
      <c r="C185" s="8"/>
      <c r="D185" s="5"/>
      <c r="E185" s="6"/>
      <c r="F185" s="6"/>
      <c r="G185" s="6"/>
      <c r="H185" s="4"/>
      <c r="I185" s="4"/>
      <c r="J185" s="4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4"/>
      <c r="W185" s="7"/>
      <c r="X185" s="7"/>
      <c r="Y185" s="7"/>
    </row>
    <row r="186">
      <c r="A186" s="4"/>
      <c r="B186" s="4"/>
      <c r="C186" s="8"/>
      <c r="D186" s="5"/>
      <c r="E186" s="6"/>
      <c r="F186" s="6"/>
      <c r="G186" s="6"/>
      <c r="H186" s="4"/>
      <c r="I186" s="4"/>
      <c r="J186" s="4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4"/>
      <c r="W186" s="7"/>
      <c r="X186" s="7"/>
      <c r="Y186" s="7"/>
    </row>
    <row r="187">
      <c r="A187" s="4"/>
      <c r="B187" s="4"/>
      <c r="C187" s="8"/>
      <c r="D187" s="5"/>
      <c r="E187" s="6"/>
      <c r="F187" s="6"/>
      <c r="G187" s="6"/>
      <c r="H187" s="4"/>
      <c r="I187" s="4"/>
      <c r="J187" s="4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4"/>
      <c r="W187" s="7"/>
      <c r="X187" s="7"/>
      <c r="Y187" s="7"/>
    </row>
    <row r="188">
      <c r="A188" s="4"/>
      <c r="B188" s="4"/>
      <c r="C188" s="8"/>
      <c r="D188" s="5"/>
      <c r="E188" s="6"/>
      <c r="F188" s="6"/>
      <c r="G188" s="6"/>
      <c r="H188" s="4"/>
      <c r="I188" s="4"/>
      <c r="J188" s="4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4"/>
      <c r="W188" s="7"/>
      <c r="X188" s="7"/>
      <c r="Y188" s="7"/>
    </row>
    <row r="189">
      <c r="A189" s="4"/>
      <c r="B189" s="4"/>
      <c r="C189" s="8"/>
      <c r="D189" s="5"/>
      <c r="E189" s="6"/>
      <c r="F189" s="6"/>
      <c r="G189" s="6"/>
      <c r="H189" s="4"/>
      <c r="I189" s="4"/>
      <c r="J189" s="4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4"/>
      <c r="W189" s="7"/>
      <c r="X189" s="7"/>
      <c r="Y189" s="7"/>
    </row>
    <row r="190">
      <c r="A190" s="4"/>
      <c r="B190" s="4"/>
      <c r="C190" s="8"/>
      <c r="D190" s="5"/>
      <c r="E190" s="6"/>
      <c r="F190" s="6"/>
      <c r="G190" s="6"/>
      <c r="H190" s="4"/>
      <c r="I190" s="4"/>
      <c r="J190" s="4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4"/>
      <c r="W190" s="7"/>
      <c r="X190" s="7"/>
      <c r="Y190" s="7"/>
    </row>
    <row r="191">
      <c r="A191" s="4"/>
      <c r="B191" s="4"/>
      <c r="C191" s="8"/>
      <c r="D191" s="5"/>
      <c r="E191" s="6"/>
      <c r="F191" s="6"/>
      <c r="G191" s="6"/>
      <c r="H191" s="4"/>
      <c r="I191" s="4"/>
      <c r="J191" s="4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4"/>
      <c r="W191" s="7"/>
      <c r="X191" s="7"/>
      <c r="Y191" s="7"/>
    </row>
    <row r="192">
      <c r="A192" s="4"/>
      <c r="B192" s="4"/>
      <c r="C192" s="8"/>
      <c r="D192" s="5"/>
      <c r="E192" s="6"/>
      <c r="F192" s="6"/>
      <c r="G192" s="6"/>
      <c r="H192" s="4"/>
      <c r="I192" s="4"/>
      <c r="J192" s="4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4"/>
      <c r="W192" s="7"/>
      <c r="X192" s="7"/>
      <c r="Y192" s="7"/>
    </row>
    <row r="193">
      <c r="A193" s="4"/>
      <c r="B193" s="4"/>
      <c r="C193" s="8"/>
      <c r="D193" s="5"/>
      <c r="E193" s="6"/>
      <c r="F193" s="6"/>
      <c r="G193" s="6"/>
      <c r="H193" s="4"/>
      <c r="I193" s="4"/>
      <c r="J193" s="4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4"/>
      <c r="W193" s="7"/>
      <c r="X193" s="7"/>
      <c r="Y193" s="7"/>
    </row>
    <row r="194">
      <c r="A194" s="4"/>
      <c r="B194" s="4"/>
      <c r="C194" s="8"/>
      <c r="D194" s="5"/>
      <c r="E194" s="6"/>
      <c r="F194" s="6"/>
      <c r="G194" s="6"/>
      <c r="H194" s="4"/>
      <c r="I194" s="4"/>
      <c r="J194" s="4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4"/>
      <c r="W194" s="7"/>
      <c r="X194" s="7"/>
      <c r="Y194" s="7"/>
    </row>
    <row r="195">
      <c r="A195" s="4"/>
      <c r="B195" s="4"/>
      <c r="C195" s="8"/>
      <c r="D195" s="5"/>
      <c r="E195" s="6"/>
      <c r="F195" s="6"/>
      <c r="G195" s="6"/>
      <c r="H195" s="4"/>
      <c r="I195" s="4"/>
      <c r="J195" s="4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4"/>
      <c r="W195" s="7"/>
      <c r="X195" s="7"/>
      <c r="Y195" s="7"/>
    </row>
    <row r="196">
      <c r="A196" s="4"/>
      <c r="B196" s="4"/>
      <c r="C196" s="8"/>
      <c r="D196" s="5"/>
      <c r="E196" s="6"/>
      <c r="F196" s="6"/>
      <c r="G196" s="6"/>
      <c r="H196" s="4"/>
      <c r="I196" s="4"/>
      <c r="J196" s="4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4"/>
      <c r="W196" s="7"/>
      <c r="X196" s="7"/>
      <c r="Y196" s="7"/>
    </row>
    <row r="197">
      <c r="A197" s="4"/>
      <c r="B197" s="4"/>
      <c r="C197" s="8"/>
      <c r="D197" s="5"/>
      <c r="E197" s="6"/>
      <c r="F197" s="6"/>
      <c r="G197" s="6"/>
      <c r="H197" s="4"/>
      <c r="I197" s="4"/>
      <c r="J197" s="4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4"/>
      <c r="W197" s="7"/>
      <c r="X197" s="7"/>
      <c r="Y197" s="7"/>
    </row>
    <row r="198">
      <c r="A198" s="4"/>
      <c r="B198" s="4"/>
      <c r="C198" s="8"/>
      <c r="D198" s="5"/>
      <c r="E198" s="6"/>
      <c r="F198" s="6"/>
      <c r="G198" s="6"/>
      <c r="H198" s="4"/>
      <c r="I198" s="4"/>
      <c r="J198" s="4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4"/>
      <c r="W198" s="7"/>
      <c r="X198" s="7"/>
      <c r="Y198" s="7"/>
    </row>
    <row r="199">
      <c r="A199" s="4"/>
      <c r="B199" s="4"/>
      <c r="C199" s="8"/>
      <c r="D199" s="5"/>
      <c r="E199" s="6"/>
      <c r="F199" s="6"/>
      <c r="G199" s="6"/>
      <c r="H199" s="4"/>
      <c r="I199" s="4"/>
      <c r="J199" s="4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4"/>
      <c r="W199" s="7"/>
      <c r="X199" s="7"/>
      <c r="Y199" s="7"/>
    </row>
    <row r="200">
      <c r="A200" s="4"/>
      <c r="B200" s="4"/>
      <c r="C200" s="8"/>
      <c r="D200" s="5"/>
      <c r="E200" s="6"/>
      <c r="F200" s="6"/>
      <c r="G200" s="6"/>
      <c r="H200" s="4"/>
      <c r="I200" s="4"/>
      <c r="J200" s="4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4"/>
      <c r="W200" s="7"/>
      <c r="X200" s="7"/>
      <c r="Y200" s="7"/>
    </row>
    <row r="201">
      <c r="A201" s="4"/>
      <c r="B201" s="4"/>
      <c r="C201" s="8"/>
      <c r="D201" s="5"/>
      <c r="E201" s="6"/>
      <c r="F201" s="6"/>
      <c r="G201" s="6"/>
      <c r="H201" s="4"/>
      <c r="I201" s="4"/>
      <c r="J201" s="4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4"/>
      <c r="B202" s="4"/>
      <c r="C202" s="8"/>
      <c r="D202" s="5"/>
      <c r="E202" s="6"/>
      <c r="F202" s="6"/>
      <c r="G202" s="6"/>
      <c r="H202" s="4"/>
      <c r="I202" s="4"/>
      <c r="J202" s="4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4"/>
      <c r="B203" s="4"/>
      <c r="C203" s="8"/>
      <c r="D203" s="5"/>
      <c r="E203" s="6"/>
      <c r="F203" s="6"/>
      <c r="G203" s="6"/>
      <c r="H203" s="4"/>
      <c r="I203" s="4"/>
      <c r="J203" s="4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4"/>
      <c r="B204" s="4"/>
      <c r="C204" s="8"/>
      <c r="D204" s="5"/>
      <c r="E204" s="6"/>
      <c r="F204" s="6"/>
      <c r="G204" s="6"/>
      <c r="H204" s="4"/>
      <c r="I204" s="4"/>
      <c r="J204" s="4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4"/>
      <c r="B205" s="4"/>
      <c r="C205" s="8"/>
      <c r="D205" s="5"/>
      <c r="E205" s="6"/>
      <c r="F205" s="6"/>
      <c r="G205" s="6"/>
      <c r="H205" s="4"/>
      <c r="I205" s="4"/>
      <c r="J205" s="4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4"/>
      <c r="B206" s="4"/>
      <c r="C206" s="8"/>
      <c r="D206" s="5"/>
      <c r="E206" s="6"/>
      <c r="F206" s="6"/>
      <c r="G206" s="6"/>
      <c r="H206" s="4"/>
      <c r="I206" s="4"/>
      <c r="J206" s="4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4"/>
      <c r="B207" s="4"/>
      <c r="C207" s="8"/>
      <c r="D207" s="5"/>
      <c r="E207" s="6"/>
      <c r="F207" s="6"/>
      <c r="G207" s="6"/>
      <c r="H207" s="4"/>
      <c r="I207" s="4"/>
      <c r="J207" s="4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4"/>
      <c r="B208" s="4"/>
      <c r="C208" s="8"/>
      <c r="D208" s="5"/>
      <c r="E208" s="6"/>
      <c r="F208" s="6"/>
      <c r="G208" s="6"/>
      <c r="H208" s="4"/>
      <c r="I208" s="4"/>
      <c r="J208" s="4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4"/>
      <c r="B209" s="4"/>
      <c r="C209" s="8"/>
      <c r="D209" s="5"/>
      <c r="E209" s="6"/>
      <c r="F209" s="6"/>
      <c r="G209" s="6"/>
      <c r="H209" s="4"/>
      <c r="I209" s="4"/>
      <c r="J209" s="4"/>
      <c r="K209" s="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4"/>
      <c r="B210" s="4"/>
      <c r="C210" s="8"/>
      <c r="D210" s="5"/>
      <c r="E210" s="6"/>
      <c r="F210" s="6"/>
      <c r="G210" s="6"/>
      <c r="H210" s="4"/>
      <c r="I210" s="4"/>
      <c r="J210" s="4"/>
      <c r="K210" s="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4"/>
      <c r="B211" s="4"/>
      <c r="C211" s="8"/>
      <c r="D211" s="5"/>
      <c r="E211" s="6"/>
      <c r="F211" s="6"/>
      <c r="G211" s="6"/>
      <c r="H211" s="4"/>
      <c r="I211" s="4"/>
      <c r="J211" s="4"/>
      <c r="K211" s="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4"/>
      <c r="B212" s="4"/>
      <c r="C212" s="8"/>
      <c r="D212" s="5"/>
      <c r="E212" s="6"/>
      <c r="F212" s="6"/>
      <c r="G212" s="6"/>
      <c r="H212" s="4"/>
      <c r="I212" s="4"/>
      <c r="J212" s="4"/>
      <c r="K212" s="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4"/>
      <c r="B213" s="4"/>
      <c r="C213" s="8"/>
      <c r="D213" s="5"/>
      <c r="E213" s="6"/>
      <c r="F213" s="6"/>
      <c r="G213" s="6"/>
      <c r="H213" s="4"/>
      <c r="I213" s="4"/>
      <c r="J213" s="4"/>
      <c r="K213" s="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4"/>
      <c r="B214" s="4"/>
      <c r="C214" s="8"/>
      <c r="D214" s="5"/>
      <c r="E214" s="6"/>
      <c r="F214" s="6"/>
      <c r="G214" s="6"/>
      <c r="H214" s="4"/>
      <c r="I214" s="4"/>
      <c r="J214" s="4"/>
      <c r="K214" s="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4"/>
      <c r="B215" s="4"/>
      <c r="C215" s="8"/>
      <c r="D215" s="5"/>
      <c r="E215" s="6"/>
      <c r="F215" s="6"/>
      <c r="G215" s="6"/>
      <c r="H215" s="4"/>
      <c r="I215" s="4"/>
      <c r="J215" s="4"/>
      <c r="K215" s="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4"/>
      <c r="B216" s="4"/>
      <c r="C216" s="8"/>
      <c r="D216" s="5"/>
      <c r="E216" s="6"/>
      <c r="F216" s="6"/>
      <c r="G216" s="6"/>
      <c r="H216" s="4"/>
      <c r="I216" s="4"/>
      <c r="J216" s="4"/>
      <c r="K216" s="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4"/>
      <c r="B217" s="4"/>
      <c r="C217" s="8"/>
      <c r="D217" s="5"/>
      <c r="E217" s="6"/>
      <c r="F217" s="6"/>
      <c r="G217" s="6"/>
      <c r="H217" s="4"/>
      <c r="I217" s="4"/>
      <c r="J217" s="4"/>
      <c r="K217" s="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4"/>
      <c r="B218" s="4"/>
      <c r="C218" s="8"/>
      <c r="D218" s="5"/>
      <c r="E218" s="6"/>
      <c r="F218" s="6"/>
      <c r="G218" s="6"/>
      <c r="H218" s="4"/>
      <c r="I218" s="4"/>
      <c r="J218" s="4"/>
      <c r="K218" s="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4"/>
      <c r="B219" s="4"/>
      <c r="C219" s="8"/>
      <c r="D219" s="5"/>
      <c r="E219" s="6"/>
      <c r="F219" s="6"/>
      <c r="G219" s="6"/>
      <c r="H219" s="4"/>
      <c r="I219" s="4"/>
      <c r="J219" s="4"/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4"/>
      <c r="B220" s="4"/>
      <c r="C220" s="8"/>
      <c r="D220" s="5"/>
      <c r="E220" s="6"/>
      <c r="F220" s="6"/>
      <c r="G220" s="6"/>
      <c r="H220" s="4"/>
      <c r="I220" s="4"/>
      <c r="J220" s="4"/>
      <c r="K220" s="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4"/>
      <c r="B221" s="4"/>
      <c r="C221" s="8"/>
      <c r="D221" s="5"/>
      <c r="E221" s="6"/>
      <c r="F221" s="6"/>
      <c r="G221" s="6"/>
      <c r="H221" s="4"/>
      <c r="I221" s="4"/>
      <c r="J221" s="4"/>
      <c r="K221" s="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4"/>
      <c r="B222" s="4"/>
      <c r="C222" s="8"/>
      <c r="D222" s="5"/>
      <c r="E222" s="6"/>
      <c r="F222" s="6"/>
      <c r="G222" s="6"/>
      <c r="H222" s="4"/>
      <c r="I222" s="4"/>
      <c r="J222" s="4"/>
      <c r="K222" s="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4"/>
      <c r="B223" s="4"/>
      <c r="C223" s="8"/>
      <c r="D223" s="5"/>
      <c r="E223" s="6"/>
      <c r="F223" s="6"/>
      <c r="G223" s="6"/>
      <c r="H223" s="4"/>
      <c r="I223" s="4"/>
      <c r="J223" s="4"/>
      <c r="K223" s="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4"/>
      <c r="B224" s="4"/>
      <c r="C224" s="8"/>
      <c r="D224" s="5"/>
      <c r="E224" s="6"/>
      <c r="F224" s="6"/>
      <c r="G224" s="6"/>
      <c r="H224" s="4"/>
      <c r="I224" s="4"/>
      <c r="J224" s="4"/>
      <c r="K224" s="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4"/>
      <c r="B225" s="4"/>
      <c r="C225" s="8"/>
      <c r="D225" s="5"/>
      <c r="E225" s="6"/>
      <c r="F225" s="6"/>
      <c r="G225" s="6"/>
      <c r="H225" s="4"/>
      <c r="I225" s="4"/>
      <c r="J225" s="4"/>
      <c r="K225" s="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4"/>
      <c r="B226" s="4"/>
      <c r="C226" s="8"/>
      <c r="D226" s="5"/>
      <c r="E226" s="6"/>
      <c r="F226" s="6"/>
      <c r="G226" s="6"/>
      <c r="H226" s="4"/>
      <c r="I226" s="4"/>
      <c r="J226" s="4"/>
      <c r="K226" s="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4"/>
      <c r="B227" s="4"/>
      <c r="C227" s="8"/>
      <c r="D227" s="5"/>
      <c r="E227" s="6"/>
      <c r="F227" s="6"/>
      <c r="G227" s="6"/>
      <c r="H227" s="4"/>
      <c r="I227" s="4"/>
      <c r="J227" s="4"/>
      <c r="K227" s="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4"/>
      <c r="B228" s="4"/>
      <c r="C228" s="8"/>
      <c r="D228" s="5"/>
      <c r="E228" s="6"/>
      <c r="F228" s="6"/>
      <c r="G228" s="6"/>
      <c r="H228" s="4"/>
      <c r="I228" s="4"/>
      <c r="J228" s="4"/>
      <c r="K228" s="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4"/>
      <c r="B229" s="4"/>
      <c r="C229" s="8"/>
      <c r="D229" s="5"/>
      <c r="E229" s="6"/>
      <c r="F229" s="6"/>
      <c r="G229" s="6"/>
      <c r="H229" s="4"/>
      <c r="I229" s="4"/>
      <c r="J229" s="4"/>
      <c r="K229" s="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4"/>
      <c r="B230" s="4"/>
      <c r="C230" s="4"/>
      <c r="D230" s="5"/>
      <c r="E230" s="6"/>
      <c r="F230" s="6"/>
      <c r="G230" s="6"/>
      <c r="H230" s="4"/>
      <c r="I230" s="4"/>
      <c r="J230" s="4"/>
      <c r="K230" s="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4"/>
      <c r="B231" s="4"/>
      <c r="C231" s="4"/>
      <c r="D231" s="5"/>
      <c r="E231" s="6"/>
      <c r="F231" s="6"/>
      <c r="G231" s="6"/>
      <c r="H231" s="4"/>
      <c r="I231" s="4"/>
      <c r="J231" s="4"/>
      <c r="K231" s="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4"/>
      <c r="B232" s="4"/>
      <c r="C232" s="4"/>
      <c r="D232" s="5"/>
      <c r="E232" s="6"/>
      <c r="F232" s="6"/>
      <c r="G232" s="6"/>
      <c r="H232" s="4"/>
      <c r="I232" s="4"/>
      <c r="J232" s="4"/>
      <c r="K232" s="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4"/>
      <c r="B233" s="4"/>
      <c r="C233" s="8"/>
      <c r="D233" s="5"/>
      <c r="E233" s="6"/>
      <c r="F233" s="6"/>
      <c r="G233" s="6"/>
      <c r="H233" s="4"/>
      <c r="I233" s="4"/>
      <c r="J233" s="4"/>
      <c r="K233" s="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4"/>
      <c r="B234" s="4"/>
      <c r="C234" s="8"/>
      <c r="D234" s="5"/>
      <c r="E234" s="6"/>
      <c r="F234" s="6"/>
      <c r="G234" s="6"/>
      <c r="H234" s="4"/>
      <c r="I234" s="4"/>
      <c r="J234" s="4"/>
      <c r="K234" s="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4"/>
      <c r="B235" s="4"/>
      <c r="C235" s="8"/>
      <c r="D235" s="5"/>
      <c r="E235" s="6"/>
      <c r="F235" s="6"/>
      <c r="G235" s="6"/>
      <c r="H235" s="4"/>
      <c r="I235" s="4"/>
      <c r="J235" s="4"/>
      <c r="K235" s="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4"/>
      <c r="B236" s="4"/>
      <c r="C236" s="8"/>
      <c r="D236" s="5"/>
      <c r="E236" s="6"/>
      <c r="F236" s="6"/>
      <c r="G236" s="6"/>
      <c r="H236" s="4"/>
      <c r="I236" s="4"/>
      <c r="J236" s="4"/>
      <c r="K236" s="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4"/>
      <c r="B237" s="4"/>
      <c r="C237" s="8"/>
      <c r="D237" s="5"/>
      <c r="E237" s="6"/>
      <c r="F237" s="6"/>
      <c r="G237" s="6"/>
      <c r="H237" s="4"/>
      <c r="I237" s="4"/>
      <c r="J237" s="4"/>
      <c r="K237" s="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4"/>
      <c r="B238" s="4"/>
      <c r="C238" s="8"/>
      <c r="D238" s="5"/>
      <c r="E238" s="6"/>
      <c r="F238" s="6"/>
      <c r="G238" s="6"/>
      <c r="H238" s="4"/>
      <c r="I238" s="4"/>
      <c r="J238" s="4"/>
      <c r="K238" s="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4"/>
      <c r="B239" s="4"/>
      <c r="C239" s="8"/>
      <c r="D239" s="5"/>
      <c r="E239" s="6"/>
      <c r="F239" s="6"/>
      <c r="G239" s="6"/>
      <c r="H239" s="4"/>
      <c r="I239" s="4"/>
      <c r="J239" s="4"/>
      <c r="K239" s="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4"/>
      <c r="B240" s="4"/>
      <c r="C240" s="8"/>
      <c r="D240" s="9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11"/>
      <c r="D241" s="9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11"/>
      <c r="D242" s="9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11"/>
      <c r="D243" s="9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11"/>
      <c r="D244" s="9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11"/>
      <c r="D245" s="9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11"/>
      <c r="D246" s="9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11"/>
      <c r="D247" s="9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11"/>
      <c r="D248" s="9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11"/>
      <c r="D249" s="9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11"/>
      <c r="D250" s="9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11"/>
      <c r="D251" s="9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11"/>
      <c r="D252" s="9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11"/>
      <c r="D253" s="9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11"/>
      <c r="D254" s="9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11"/>
      <c r="D255" s="9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11"/>
      <c r="D256" s="9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11"/>
      <c r="D257" s="9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11"/>
      <c r="D258" s="9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11"/>
      <c r="D259" s="9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11"/>
      <c r="D260" s="9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11"/>
      <c r="D261" s="9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11"/>
      <c r="D262" s="9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11"/>
      <c r="D263" s="9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11"/>
      <c r="D264" s="9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11"/>
      <c r="D265" s="9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11"/>
      <c r="D266" s="9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11"/>
      <c r="D267" s="9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11"/>
      <c r="D268" s="9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11"/>
      <c r="D269" s="9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11"/>
      <c r="D270" s="9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11"/>
      <c r="D271" s="9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11"/>
      <c r="D272" s="9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11"/>
      <c r="D273" s="9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11"/>
      <c r="D274" s="9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11"/>
      <c r="D275" s="9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11"/>
      <c r="D276" s="9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11"/>
      <c r="D277" s="9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11"/>
      <c r="D278" s="9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11"/>
      <c r="D279" s="9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11"/>
      <c r="D280" s="9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11"/>
      <c r="D281" s="9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11"/>
      <c r="D282" s="9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11"/>
      <c r="D283" s="9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11"/>
      <c r="D284" s="9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11"/>
      <c r="D285" s="9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11"/>
      <c r="D286" s="9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11"/>
      <c r="D287" s="9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11"/>
      <c r="D288" s="9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11"/>
      <c r="D289" s="9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11"/>
      <c r="D290" s="9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11"/>
      <c r="D291" s="9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11"/>
      <c r="D292" s="9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11"/>
      <c r="D293" s="9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11"/>
      <c r="D294" s="9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11"/>
      <c r="D295" s="9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11"/>
      <c r="D296" s="9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11"/>
      <c r="D297" s="9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11"/>
      <c r="D298" s="9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11"/>
      <c r="D299" s="9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11"/>
      <c r="D300" s="9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11"/>
      <c r="D301" s="9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11"/>
      <c r="D302" s="9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11"/>
      <c r="D303" s="9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11"/>
      <c r="D304" s="9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11"/>
      <c r="D305" s="9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11"/>
      <c r="D306" s="9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11"/>
      <c r="D307" s="9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11"/>
      <c r="D308" s="9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11"/>
      <c r="D309" s="9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11"/>
      <c r="D310" s="9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11"/>
      <c r="D311" s="9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11"/>
      <c r="D312" s="9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11"/>
      <c r="D313" s="9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11"/>
      <c r="D314" s="9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11"/>
      <c r="D315" s="9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11"/>
      <c r="D316" s="9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11"/>
      <c r="D317" s="9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11"/>
      <c r="D318" s="9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11"/>
      <c r="D319" s="9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11"/>
      <c r="D320" s="9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11"/>
      <c r="D321" s="9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11"/>
      <c r="D322" s="9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11"/>
      <c r="D323" s="9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11"/>
      <c r="D324" s="9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11"/>
      <c r="D325" s="9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11"/>
      <c r="D326" s="9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11"/>
      <c r="D327" s="9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11"/>
      <c r="D328" s="9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11"/>
      <c r="D329" s="9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11"/>
      <c r="D330" s="9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11"/>
      <c r="D331" s="9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11"/>
      <c r="D332" s="9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11"/>
      <c r="D333" s="9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11"/>
      <c r="D334" s="9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11"/>
      <c r="D335" s="9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11"/>
      <c r="D336" s="9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11"/>
      <c r="D337" s="9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11"/>
      <c r="D338" s="9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11"/>
      <c r="D339" s="9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11"/>
      <c r="D340" s="9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11"/>
      <c r="D341" s="9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11"/>
      <c r="D342" s="9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11"/>
      <c r="D343" s="9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11"/>
      <c r="D344" s="9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11"/>
      <c r="D345" s="9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11"/>
      <c r="D346" s="9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11"/>
      <c r="D347" s="9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11"/>
      <c r="D348" s="9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11"/>
      <c r="D349" s="9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11"/>
      <c r="D350" s="9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11"/>
      <c r="D351" s="9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11"/>
      <c r="D352" s="9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11"/>
      <c r="D353" s="9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11"/>
      <c r="D354" s="9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11"/>
      <c r="D355" s="9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11"/>
      <c r="D356" s="9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11"/>
      <c r="D357" s="9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11"/>
      <c r="D358" s="9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11"/>
      <c r="D359" s="9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11"/>
      <c r="D360" s="9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11"/>
      <c r="D361" s="9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11"/>
      <c r="D362" s="9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11"/>
      <c r="D363" s="9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11"/>
      <c r="D364" s="9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11"/>
      <c r="D365" s="9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11"/>
      <c r="D366" s="9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11"/>
      <c r="D367" s="9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11"/>
      <c r="D368" s="9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11"/>
      <c r="D369" s="9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11"/>
      <c r="D370" s="9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11"/>
      <c r="D371" s="9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11"/>
      <c r="D372" s="9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11"/>
      <c r="D373" s="9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11"/>
      <c r="D374" s="9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11"/>
      <c r="D375" s="9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11"/>
      <c r="D376" s="9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11"/>
      <c r="D377" s="9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11"/>
      <c r="D378" s="9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11"/>
      <c r="D379" s="9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11"/>
      <c r="D380" s="9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11"/>
      <c r="D381" s="9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11"/>
      <c r="D382" s="9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11"/>
      <c r="D383" s="9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11"/>
      <c r="D384" s="9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11"/>
      <c r="D385" s="9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11"/>
      <c r="D386" s="9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11"/>
      <c r="D387" s="9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11"/>
      <c r="D388" s="9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11"/>
      <c r="D389" s="9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11"/>
      <c r="D390" s="9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11"/>
      <c r="D391" s="9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11"/>
      <c r="D392" s="9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11"/>
      <c r="D393" s="9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11"/>
      <c r="D394" s="9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11"/>
      <c r="D395" s="9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11"/>
      <c r="D396" s="9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11"/>
      <c r="D397" s="9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11"/>
      <c r="D398" s="9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11"/>
      <c r="D399" s="9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11"/>
      <c r="D400" s="9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11"/>
      <c r="D401" s="9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11"/>
      <c r="D402" s="9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11"/>
      <c r="D403" s="9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11"/>
      <c r="D404" s="9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11"/>
      <c r="D405" s="9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11"/>
      <c r="D406" s="9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11"/>
      <c r="D407" s="9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11"/>
      <c r="D408" s="9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11"/>
      <c r="D409" s="9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11"/>
      <c r="D410" s="9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11"/>
      <c r="D411" s="9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11"/>
      <c r="D412" s="9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11"/>
      <c r="D413" s="9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11"/>
      <c r="D414" s="9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11"/>
      <c r="D415" s="9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11"/>
      <c r="D416" s="9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11"/>
      <c r="D417" s="9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11"/>
      <c r="D418" s="9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11"/>
      <c r="D419" s="9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11"/>
      <c r="D420" s="9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11"/>
      <c r="D421" s="9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11"/>
      <c r="D422" s="9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11"/>
      <c r="D423" s="9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11"/>
      <c r="D424" s="9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11"/>
      <c r="D425" s="9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11"/>
      <c r="D426" s="9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11"/>
      <c r="D427" s="9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11"/>
      <c r="D428" s="9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11"/>
      <c r="D429" s="9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11"/>
      <c r="D430" s="9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11"/>
      <c r="D431" s="9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11"/>
      <c r="D432" s="9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11"/>
      <c r="D433" s="9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11"/>
      <c r="D434" s="9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11"/>
      <c r="D435" s="9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11"/>
      <c r="D436" s="9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11"/>
      <c r="D437" s="9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11"/>
      <c r="D438" s="9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11"/>
      <c r="D439" s="9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11"/>
      <c r="D440" s="9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11"/>
      <c r="D441" s="9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11"/>
      <c r="D442" s="9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11"/>
      <c r="D443" s="9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11"/>
      <c r="D444" s="9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11"/>
      <c r="D445" s="9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11"/>
      <c r="D446" s="9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11"/>
      <c r="D447" s="9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11"/>
      <c r="D448" s="9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11"/>
      <c r="D449" s="9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11"/>
      <c r="D450" s="9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11"/>
      <c r="D451" s="9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11"/>
      <c r="D452" s="9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11"/>
      <c r="D453" s="9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11"/>
      <c r="D454" s="9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11"/>
      <c r="D455" s="9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11"/>
      <c r="D456" s="9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11"/>
      <c r="D457" s="9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11"/>
      <c r="D458" s="9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11"/>
      <c r="D459" s="9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11"/>
      <c r="D460" s="9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11"/>
      <c r="D461" s="9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11"/>
      <c r="D462" s="9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11"/>
      <c r="D463" s="9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11"/>
      <c r="D464" s="9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11"/>
      <c r="D465" s="9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11"/>
      <c r="D466" s="9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11"/>
      <c r="D467" s="9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11"/>
      <c r="D468" s="9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11"/>
      <c r="D469" s="9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11"/>
      <c r="D470" s="9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11"/>
      <c r="D471" s="9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11"/>
      <c r="D472" s="9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11"/>
      <c r="D473" s="9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11"/>
      <c r="D474" s="9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11"/>
      <c r="D475" s="9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11"/>
      <c r="D476" s="9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11"/>
      <c r="D477" s="9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11"/>
      <c r="D478" s="9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11"/>
      <c r="D479" s="9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11"/>
      <c r="D480" s="9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11"/>
      <c r="D481" s="9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11"/>
      <c r="D482" s="9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11"/>
      <c r="D483" s="9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11"/>
      <c r="D484" s="9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11"/>
      <c r="D485" s="9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11"/>
      <c r="D486" s="9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11"/>
      <c r="D487" s="9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11"/>
      <c r="D488" s="9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11"/>
      <c r="D489" s="9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11"/>
      <c r="D490" s="9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11"/>
      <c r="D491" s="9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11"/>
      <c r="D492" s="9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11"/>
      <c r="D493" s="9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11"/>
      <c r="D494" s="9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11"/>
      <c r="D495" s="9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11"/>
      <c r="D496" s="9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11"/>
      <c r="D497" s="9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11"/>
      <c r="D498" s="9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11"/>
      <c r="D499" s="9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11"/>
      <c r="D500" s="9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11"/>
      <c r="D501" s="9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11"/>
      <c r="D502" s="9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11"/>
      <c r="D503" s="9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11"/>
      <c r="D504" s="9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11"/>
      <c r="D505" s="9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11"/>
      <c r="D506" s="9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11"/>
      <c r="D507" s="9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11"/>
      <c r="D508" s="9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11"/>
      <c r="D509" s="9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11"/>
      <c r="D510" s="9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11"/>
      <c r="D511" s="9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11"/>
      <c r="D512" s="9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11"/>
      <c r="D513" s="9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11"/>
      <c r="D514" s="9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11"/>
      <c r="D515" s="9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11"/>
      <c r="D516" s="9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11"/>
      <c r="D517" s="9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11"/>
      <c r="D518" s="9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11"/>
      <c r="D519" s="9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11"/>
      <c r="D520" s="9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11"/>
      <c r="D521" s="9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11"/>
      <c r="D522" s="9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11"/>
      <c r="D523" s="9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11"/>
      <c r="D524" s="9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11"/>
      <c r="D525" s="9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11"/>
      <c r="D526" s="9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11"/>
      <c r="D527" s="9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11"/>
      <c r="D528" s="9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11"/>
      <c r="D529" s="9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11"/>
      <c r="D530" s="9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11"/>
      <c r="D531" s="9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11"/>
      <c r="D532" s="9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11"/>
      <c r="D533" s="9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11"/>
      <c r="D534" s="9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11"/>
      <c r="D535" s="9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11"/>
      <c r="D536" s="9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11"/>
      <c r="D537" s="9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11"/>
      <c r="D538" s="9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11"/>
      <c r="D539" s="9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11"/>
      <c r="D540" s="9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11"/>
      <c r="D541" s="9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11"/>
      <c r="D542" s="9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11"/>
      <c r="D543" s="9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11"/>
      <c r="D544" s="9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11"/>
      <c r="D545" s="9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11"/>
      <c r="D546" s="9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11"/>
      <c r="D547" s="9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11"/>
      <c r="D548" s="9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11"/>
      <c r="D549" s="9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11"/>
      <c r="D550" s="9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11"/>
      <c r="D551" s="9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11"/>
      <c r="D552" s="9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11"/>
      <c r="D553" s="9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11"/>
      <c r="D554" s="9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11"/>
      <c r="D555" s="9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11"/>
      <c r="D556" s="9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11"/>
      <c r="D557" s="9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11"/>
      <c r="D558" s="9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11"/>
      <c r="D559" s="9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11"/>
      <c r="D560" s="9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11"/>
      <c r="D561" s="9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11"/>
      <c r="D562" s="9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11"/>
      <c r="D563" s="9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11"/>
      <c r="D564" s="9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11"/>
      <c r="D565" s="9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11"/>
      <c r="D566" s="9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11"/>
      <c r="D567" s="9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11"/>
      <c r="D568" s="9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11"/>
      <c r="D569" s="9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11"/>
      <c r="D570" s="9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11"/>
      <c r="D571" s="9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11"/>
      <c r="D572" s="9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11"/>
      <c r="D573" s="9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11"/>
      <c r="D574" s="9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11"/>
      <c r="D575" s="9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11"/>
      <c r="D576" s="9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11"/>
      <c r="D577" s="9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11"/>
      <c r="D578" s="9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11"/>
      <c r="D579" s="9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11"/>
      <c r="D580" s="9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11"/>
      <c r="D581" s="9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11"/>
      <c r="D582" s="9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11"/>
      <c r="D583" s="9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11"/>
      <c r="D584" s="9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11"/>
      <c r="D585" s="9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11"/>
      <c r="D586" s="9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11"/>
      <c r="D587" s="9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11"/>
      <c r="D588" s="9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11"/>
      <c r="D589" s="9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11"/>
      <c r="D590" s="9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11"/>
      <c r="D591" s="9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11"/>
      <c r="D592" s="9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11"/>
      <c r="D593" s="9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11"/>
      <c r="D594" s="9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11"/>
      <c r="D595" s="9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11"/>
      <c r="D596" s="9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11"/>
      <c r="D597" s="9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11"/>
      <c r="D598" s="9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11"/>
      <c r="D599" s="9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11"/>
      <c r="D600" s="9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11"/>
      <c r="D601" s="9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11"/>
      <c r="D602" s="9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11"/>
      <c r="D603" s="9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11"/>
      <c r="D604" s="9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11"/>
      <c r="D605" s="9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11"/>
      <c r="D606" s="9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11"/>
      <c r="D607" s="9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11"/>
      <c r="D608" s="9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11"/>
      <c r="D609" s="9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11"/>
      <c r="D610" s="9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11"/>
      <c r="D611" s="9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11"/>
      <c r="D612" s="9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11"/>
      <c r="D613" s="9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11"/>
      <c r="D614" s="9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11"/>
      <c r="D615" s="9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11"/>
      <c r="D616" s="9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11"/>
      <c r="D617" s="9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11"/>
      <c r="D618" s="9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11"/>
      <c r="D619" s="9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11"/>
      <c r="D620" s="9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11"/>
      <c r="D621" s="9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11"/>
      <c r="D622" s="9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11"/>
      <c r="D623" s="9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11"/>
      <c r="D624" s="9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11"/>
      <c r="D625" s="9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11"/>
      <c r="D626" s="9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11"/>
      <c r="D627" s="9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11"/>
      <c r="D628" s="9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11"/>
      <c r="D629" s="9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11"/>
      <c r="D630" s="9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11"/>
      <c r="D631" s="9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11"/>
      <c r="D632" s="9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11"/>
      <c r="D633" s="9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11"/>
      <c r="D634" s="9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11"/>
      <c r="D635" s="9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11"/>
      <c r="D636" s="9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11"/>
      <c r="D637" s="9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11"/>
      <c r="D638" s="9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11"/>
      <c r="D639" s="9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11"/>
      <c r="D640" s="9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11"/>
      <c r="D641" s="9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11"/>
      <c r="D642" s="9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11"/>
      <c r="D643" s="9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11"/>
      <c r="D644" s="9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11"/>
      <c r="D645" s="9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11"/>
      <c r="D646" s="9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11"/>
      <c r="D647" s="9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11"/>
      <c r="D648" s="9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11"/>
      <c r="D649" s="9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11"/>
      <c r="D650" s="9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11"/>
      <c r="D651" s="9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11"/>
      <c r="D652" s="9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11"/>
      <c r="D653" s="9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11"/>
      <c r="D654" s="9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11"/>
      <c r="D655" s="9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11"/>
      <c r="D656" s="9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11"/>
      <c r="D657" s="9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11"/>
      <c r="D658" s="9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11"/>
      <c r="D659" s="9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11"/>
      <c r="D660" s="9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11"/>
      <c r="D661" s="9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11"/>
      <c r="D662" s="9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11"/>
      <c r="D663" s="9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11"/>
      <c r="D664" s="9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11"/>
      <c r="D665" s="9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11"/>
      <c r="D666" s="9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11"/>
      <c r="D667" s="9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11"/>
      <c r="D668" s="9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11"/>
      <c r="D669" s="9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11"/>
      <c r="D670" s="9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11"/>
      <c r="D671" s="9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11"/>
      <c r="D672" s="9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11"/>
      <c r="D673" s="9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11"/>
      <c r="D674" s="9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11"/>
      <c r="D675" s="9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11"/>
      <c r="D676" s="9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11"/>
      <c r="D677" s="9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11"/>
      <c r="D678" s="9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11"/>
      <c r="D679" s="9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11"/>
      <c r="D680" s="9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11"/>
      <c r="D681" s="9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11"/>
      <c r="D682" s="9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11"/>
      <c r="D683" s="9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11"/>
      <c r="D684" s="9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11"/>
      <c r="D685" s="9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11"/>
      <c r="D686" s="9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11"/>
      <c r="D687" s="9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11"/>
      <c r="D688" s="9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11"/>
      <c r="D689" s="9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11"/>
      <c r="D690" s="9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11"/>
      <c r="D691" s="9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11"/>
      <c r="D692" s="9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11"/>
      <c r="D693" s="9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11"/>
      <c r="D694" s="9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11"/>
      <c r="D695" s="9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11"/>
      <c r="D696" s="9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11"/>
      <c r="D697" s="9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11"/>
      <c r="D698" s="9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11"/>
      <c r="D699" s="9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11"/>
      <c r="D700" s="9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11"/>
      <c r="D701" s="9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11"/>
      <c r="D702" s="9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11"/>
      <c r="D703" s="9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11"/>
      <c r="D704" s="9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11"/>
      <c r="D705" s="9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11"/>
      <c r="D706" s="9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11"/>
      <c r="D707" s="9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11"/>
      <c r="D708" s="9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11"/>
      <c r="D709" s="9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11"/>
      <c r="D710" s="9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11"/>
      <c r="D711" s="9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11"/>
      <c r="D712" s="9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11"/>
      <c r="D713" s="9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11"/>
      <c r="D714" s="9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11"/>
      <c r="D715" s="9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11"/>
      <c r="D716" s="9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11"/>
      <c r="D717" s="9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11"/>
      <c r="D718" s="9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11"/>
      <c r="D719" s="9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11"/>
      <c r="D720" s="9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11"/>
      <c r="D721" s="9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11"/>
      <c r="D722" s="9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11"/>
      <c r="D723" s="9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11"/>
      <c r="D724" s="9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11"/>
      <c r="D725" s="9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11"/>
      <c r="D726" s="9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11"/>
      <c r="D727" s="9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11"/>
      <c r="D728" s="9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11"/>
      <c r="D729" s="9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11"/>
      <c r="D730" s="9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11"/>
      <c r="D731" s="9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11"/>
      <c r="D732" s="9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11"/>
      <c r="D733" s="9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11"/>
      <c r="D734" s="9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11"/>
      <c r="D735" s="9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11"/>
      <c r="D736" s="9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11"/>
      <c r="D737" s="9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11"/>
      <c r="D738" s="9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11"/>
      <c r="D739" s="9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11"/>
      <c r="D740" s="9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11"/>
      <c r="D741" s="9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11"/>
      <c r="D742" s="9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11"/>
      <c r="D743" s="9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11"/>
      <c r="D744" s="9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11"/>
      <c r="D745" s="9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11"/>
      <c r="D746" s="9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11"/>
      <c r="D747" s="9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11"/>
      <c r="D748" s="9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11"/>
      <c r="D749" s="9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11"/>
      <c r="D750" s="9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11"/>
      <c r="D751" s="9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11"/>
      <c r="D752" s="9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11"/>
      <c r="D753" s="9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11"/>
      <c r="D754" s="9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11"/>
      <c r="D755" s="9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11"/>
      <c r="D756" s="9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11"/>
      <c r="D757" s="9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11"/>
      <c r="D758" s="9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11"/>
      <c r="D759" s="9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11"/>
      <c r="D760" s="9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11"/>
      <c r="D761" s="9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11"/>
      <c r="D762" s="9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11"/>
      <c r="D763" s="9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11"/>
      <c r="D764" s="9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11"/>
      <c r="D765" s="9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11"/>
      <c r="D766" s="9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11"/>
      <c r="D767" s="9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11"/>
      <c r="D768" s="9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11"/>
      <c r="D769" s="9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11"/>
      <c r="D770" s="9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11"/>
      <c r="D771" s="9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11"/>
      <c r="D772" s="9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11"/>
      <c r="D773" s="9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11"/>
      <c r="D774" s="9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11"/>
      <c r="D775" s="9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11"/>
      <c r="D776" s="9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11"/>
      <c r="D777" s="9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11"/>
      <c r="D778" s="9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11"/>
      <c r="D779" s="9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11"/>
      <c r="D780" s="9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11"/>
      <c r="D781" s="9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11"/>
      <c r="D782" s="9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11"/>
      <c r="D783" s="9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11"/>
      <c r="D784" s="9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11"/>
      <c r="D785" s="9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11"/>
      <c r="D786" s="9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11"/>
      <c r="D787" s="9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11"/>
      <c r="D788" s="9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11"/>
      <c r="D789" s="9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11"/>
      <c r="D790" s="9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11"/>
      <c r="D791" s="9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11"/>
      <c r="D792" s="9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11"/>
      <c r="D793" s="9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11"/>
      <c r="D794" s="9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11"/>
      <c r="D795" s="9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11"/>
      <c r="D796" s="9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11"/>
      <c r="D797" s="9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11"/>
      <c r="D798" s="9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11"/>
      <c r="D799" s="9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11"/>
      <c r="D800" s="9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11"/>
      <c r="D801" s="9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11"/>
      <c r="D802" s="9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11"/>
      <c r="D803" s="9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11"/>
      <c r="D804" s="9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11"/>
      <c r="D805" s="9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11"/>
      <c r="D806" s="9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11"/>
      <c r="D807" s="9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11"/>
      <c r="D808" s="9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11"/>
      <c r="D809" s="9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11"/>
      <c r="D810" s="9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11"/>
      <c r="D811" s="9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11"/>
      <c r="D812" s="9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11"/>
      <c r="D813" s="9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11"/>
      <c r="D814" s="9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11"/>
      <c r="D815" s="9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11"/>
      <c r="D816" s="9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11"/>
      <c r="D817" s="9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11"/>
      <c r="D818" s="9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11"/>
      <c r="D819" s="9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11"/>
      <c r="D820" s="9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11"/>
      <c r="D821" s="9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11"/>
      <c r="D822" s="9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11"/>
      <c r="D823" s="9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11"/>
      <c r="D824" s="9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11"/>
      <c r="D825" s="9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11"/>
      <c r="D826" s="9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11"/>
      <c r="D827" s="9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11"/>
      <c r="D828" s="9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11"/>
      <c r="D829" s="9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11"/>
      <c r="D830" s="9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11"/>
      <c r="D831" s="9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11"/>
      <c r="D832" s="9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11"/>
      <c r="D833" s="9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11"/>
      <c r="D834" s="9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11"/>
      <c r="D835" s="9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11"/>
      <c r="D836" s="9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11"/>
      <c r="D837" s="9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11"/>
      <c r="D838" s="9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11"/>
      <c r="D839" s="9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11"/>
      <c r="D840" s="9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11"/>
      <c r="D841" s="9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11"/>
      <c r="D842" s="9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11"/>
      <c r="D843" s="9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11"/>
      <c r="D844" s="9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11"/>
      <c r="D845" s="9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11"/>
      <c r="D846" s="9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11"/>
      <c r="D847" s="9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11"/>
      <c r="D848" s="9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11"/>
      <c r="D849" s="9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11"/>
      <c r="D850" s="9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11"/>
      <c r="D851" s="9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11"/>
      <c r="D852" s="9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11"/>
      <c r="D853" s="9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11"/>
      <c r="D854" s="9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11"/>
      <c r="D855" s="9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11"/>
      <c r="D856" s="9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11"/>
      <c r="D857" s="9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11"/>
      <c r="D858" s="9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11"/>
      <c r="D859" s="9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11"/>
      <c r="D860" s="9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11"/>
      <c r="D861" s="9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11"/>
      <c r="D862" s="9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11"/>
      <c r="D863" s="9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11"/>
      <c r="D864" s="9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11"/>
      <c r="D865" s="9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11"/>
      <c r="D866" s="9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11"/>
      <c r="D867" s="9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11"/>
      <c r="D868" s="9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11"/>
      <c r="D869" s="9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11"/>
      <c r="D870" s="9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11"/>
      <c r="D871" s="9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11"/>
      <c r="D872" s="9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11"/>
      <c r="D873" s="9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11"/>
      <c r="D874" s="9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11"/>
      <c r="D875" s="9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11"/>
      <c r="D876" s="9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11"/>
      <c r="D877" s="9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11"/>
      <c r="D878" s="9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11"/>
      <c r="D879" s="9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11"/>
      <c r="D880" s="9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11"/>
      <c r="D881" s="9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11"/>
      <c r="D882" s="9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11"/>
      <c r="D883" s="9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11"/>
      <c r="D884" s="9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11"/>
      <c r="D885" s="9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11"/>
      <c r="D886" s="9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11"/>
      <c r="D887" s="9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11"/>
      <c r="D888" s="9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11"/>
      <c r="D889" s="9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11"/>
      <c r="D890" s="9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11"/>
      <c r="D891" s="9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11"/>
      <c r="D892" s="9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11"/>
      <c r="D893" s="9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11"/>
      <c r="D894" s="9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11"/>
      <c r="D895" s="9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11"/>
      <c r="D896" s="9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11"/>
      <c r="D897" s="9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11"/>
      <c r="D898" s="9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11"/>
      <c r="D899" s="9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11"/>
      <c r="D900" s="9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11"/>
      <c r="D901" s="9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11"/>
      <c r="D902" s="9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11"/>
      <c r="D903" s="9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11"/>
      <c r="D904" s="9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11"/>
      <c r="D905" s="9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11"/>
      <c r="D906" s="9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11"/>
      <c r="D907" s="9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11"/>
      <c r="D908" s="9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11"/>
      <c r="D909" s="9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11"/>
      <c r="D910" s="9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11"/>
      <c r="D911" s="9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11"/>
      <c r="D912" s="9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11"/>
      <c r="D913" s="9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11"/>
      <c r="D914" s="9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11"/>
      <c r="D915" s="9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11"/>
      <c r="D916" s="9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11"/>
      <c r="D917" s="9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11"/>
      <c r="D918" s="9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11"/>
      <c r="D919" s="9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11"/>
      <c r="D920" s="9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11"/>
      <c r="D921" s="9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11"/>
      <c r="D922" s="9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11"/>
      <c r="D923" s="9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11"/>
      <c r="D924" s="9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11"/>
      <c r="D925" s="9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11"/>
      <c r="D926" s="9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11"/>
      <c r="D927" s="9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11"/>
      <c r="D928" s="9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11"/>
      <c r="D929" s="9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11"/>
      <c r="D930" s="9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11"/>
      <c r="D931" s="9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11"/>
      <c r="D932" s="9"/>
      <c r="E932" s="10"/>
      <c r="F932" s="10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11"/>
      <c r="D933" s="9"/>
      <c r="E933" s="10"/>
      <c r="F933" s="10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11"/>
      <c r="D934" s="9"/>
      <c r="E934" s="10"/>
      <c r="F934" s="10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11"/>
      <c r="D935" s="9"/>
      <c r="E935" s="10"/>
      <c r="F935" s="10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11"/>
      <c r="D936" s="9"/>
      <c r="E936" s="10"/>
      <c r="F936" s="10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11"/>
      <c r="D937" s="9"/>
      <c r="E937" s="10"/>
      <c r="F937" s="10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11"/>
      <c r="D938" s="9"/>
      <c r="E938" s="10"/>
      <c r="F938" s="10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11"/>
      <c r="D939" s="9"/>
      <c r="E939" s="10"/>
      <c r="F939" s="10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11"/>
      <c r="D940" s="9"/>
      <c r="E940" s="10"/>
      <c r="F940" s="10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11"/>
      <c r="D941" s="9"/>
      <c r="E941" s="10"/>
      <c r="F941" s="10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11"/>
      <c r="D942" s="9"/>
      <c r="E942" s="10"/>
      <c r="F942" s="10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11"/>
      <c r="D943" s="9"/>
      <c r="E943" s="10"/>
      <c r="F943" s="10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11"/>
      <c r="D944" s="9"/>
      <c r="E944" s="10"/>
      <c r="F944" s="10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11"/>
      <c r="D945" s="9"/>
      <c r="E945" s="10"/>
      <c r="F945" s="10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11"/>
      <c r="D946" s="9"/>
      <c r="E946" s="10"/>
      <c r="F946" s="10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11"/>
      <c r="D947" s="9"/>
      <c r="E947" s="10"/>
      <c r="F947" s="10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11"/>
      <c r="D948" s="9"/>
      <c r="E948" s="10"/>
      <c r="F948" s="10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11"/>
      <c r="D949" s="9"/>
      <c r="E949" s="10"/>
      <c r="F949" s="10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11"/>
      <c r="D950" s="9"/>
      <c r="E950" s="10"/>
      <c r="F950" s="10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11"/>
      <c r="D951" s="9"/>
      <c r="E951" s="10"/>
      <c r="F951" s="10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11"/>
      <c r="D952" s="9"/>
      <c r="E952" s="10"/>
      <c r="F952" s="10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11"/>
      <c r="D953" s="9"/>
      <c r="E953" s="10"/>
      <c r="F953" s="10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11"/>
      <c r="D954" s="9"/>
      <c r="E954" s="10"/>
      <c r="F954" s="10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11"/>
      <c r="D955" s="9"/>
      <c r="E955" s="10"/>
      <c r="F955" s="10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11"/>
      <c r="D956" s="9"/>
      <c r="E956" s="10"/>
      <c r="F956" s="10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11"/>
      <c r="D957" s="9"/>
      <c r="E957" s="10"/>
      <c r="F957" s="10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11"/>
      <c r="D958" s="9"/>
      <c r="E958" s="10"/>
      <c r="F958" s="10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11"/>
      <c r="D959" s="9"/>
      <c r="E959" s="10"/>
      <c r="F959" s="10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11"/>
      <c r="D960" s="9"/>
      <c r="E960" s="10"/>
      <c r="F960" s="10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11"/>
      <c r="D961" s="9"/>
      <c r="E961" s="10"/>
      <c r="F961" s="10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11"/>
      <c r="D962" s="9"/>
      <c r="E962" s="10"/>
      <c r="F962" s="10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11"/>
      <c r="D963" s="9"/>
      <c r="E963" s="10"/>
      <c r="F963" s="10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11"/>
      <c r="D964" s="9"/>
      <c r="E964" s="10"/>
      <c r="F964" s="10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11"/>
      <c r="D965" s="9"/>
      <c r="E965" s="10"/>
      <c r="F965" s="10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11"/>
      <c r="D966" s="9"/>
      <c r="E966" s="10"/>
      <c r="F966" s="10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11"/>
      <c r="D967" s="9"/>
      <c r="E967" s="10"/>
      <c r="F967" s="10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11"/>
      <c r="D968" s="9"/>
      <c r="E968" s="10"/>
      <c r="F968" s="10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11"/>
      <c r="D969" s="9"/>
      <c r="E969" s="10"/>
      <c r="F969" s="10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11"/>
      <c r="D970" s="9"/>
      <c r="E970" s="10"/>
      <c r="F970" s="10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11"/>
      <c r="D971" s="9"/>
      <c r="E971" s="10"/>
      <c r="F971" s="10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11"/>
      <c r="D972" s="9"/>
      <c r="E972" s="10"/>
      <c r="F972" s="10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11"/>
      <c r="D973" s="9"/>
      <c r="E973" s="10"/>
      <c r="F973" s="10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11"/>
      <c r="D974" s="9"/>
      <c r="E974" s="10"/>
      <c r="F974" s="10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11"/>
      <c r="D975" s="9"/>
      <c r="E975" s="10"/>
      <c r="F975" s="10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11"/>
      <c r="D976" s="9"/>
      <c r="E976" s="10"/>
      <c r="F976" s="10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11"/>
      <c r="D977" s="9"/>
      <c r="E977" s="10"/>
      <c r="F977" s="10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11"/>
      <c r="D978" s="9"/>
      <c r="E978" s="10"/>
      <c r="F978" s="10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11"/>
      <c r="D979" s="9"/>
      <c r="E979" s="10"/>
      <c r="F979" s="10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11"/>
      <c r="D980" s="9"/>
      <c r="E980" s="10"/>
      <c r="F980" s="10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11"/>
      <c r="D981" s="9"/>
      <c r="E981" s="10"/>
      <c r="F981" s="10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11"/>
      <c r="D982" s="9"/>
      <c r="E982" s="10"/>
      <c r="F982" s="10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11"/>
      <c r="D983" s="9"/>
      <c r="E983" s="10"/>
      <c r="F983" s="10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11"/>
      <c r="D984" s="9"/>
      <c r="E984" s="10"/>
      <c r="F984" s="10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11"/>
      <c r="D985" s="9"/>
      <c r="E985" s="10"/>
      <c r="F985" s="10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11"/>
      <c r="D986" s="9"/>
      <c r="E986" s="10"/>
      <c r="F986" s="10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11"/>
      <c r="D987" s="9"/>
      <c r="E987" s="10"/>
      <c r="F987" s="10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11"/>
      <c r="D988" s="9"/>
      <c r="E988" s="10"/>
      <c r="F988" s="10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11"/>
      <c r="D989" s="9"/>
      <c r="E989" s="10"/>
      <c r="F989" s="10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11"/>
      <c r="D990" s="9"/>
      <c r="E990" s="10"/>
      <c r="F990" s="10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11"/>
      <c r="D991" s="9"/>
      <c r="E991" s="10"/>
      <c r="F991" s="10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11"/>
      <c r="D992" s="9"/>
      <c r="E992" s="10"/>
      <c r="F992" s="10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11"/>
      <c r="D993" s="9"/>
      <c r="E993" s="10"/>
      <c r="F993" s="10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11"/>
      <c r="D994" s="9"/>
      <c r="E994" s="10"/>
      <c r="F994" s="10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11"/>
      <c r="D995" s="9"/>
      <c r="E995" s="10"/>
      <c r="F995" s="10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11"/>
      <c r="D996" s="9"/>
      <c r="E996" s="10"/>
      <c r="F996" s="10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11"/>
      <c r="D997" s="9"/>
      <c r="E997" s="10"/>
      <c r="F997" s="10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11"/>
      <c r="D998" s="9"/>
      <c r="E998" s="10"/>
      <c r="F998" s="10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11"/>
      <c r="D999" s="9"/>
      <c r="E999" s="10"/>
      <c r="F999" s="10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11"/>
      <c r="D1000" s="9"/>
      <c r="E1000" s="10"/>
      <c r="F1000" s="10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11"/>
      <c r="D1001" s="9"/>
      <c r="E1001" s="10"/>
      <c r="F1001" s="10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8.25"/>
    <col customWidth="1" min="3" max="3" width="28.88"/>
    <col customWidth="1" hidden="1" min="4" max="4" width="7.75"/>
    <col customWidth="1" min="5" max="7" width="11.88"/>
    <col customWidth="1" hidden="1" min="8" max="8" width="8.38"/>
    <col customWidth="1" min="9" max="11" width="8.38"/>
    <col customWidth="1" hidden="1" min="12" max="12" width="9.63"/>
    <col customWidth="1" hidden="1" min="13" max="13" width="7.5"/>
    <col customWidth="1" hidden="1" min="14" max="14" width="12.63"/>
    <col customWidth="1" hidden="1" min="15" max="15" width="6.88"/>
    <col customWidth="1" hidden="1" min="16" max="16" width="12.13"/>
    <col customWidth="1" hidden="1" min="17" max="17" width="10.63"/>
    <col customWidth="1" hidden="1" min="18" max="18" width="5.5"/>
    <col customWidth="1" hidden="1" min="19" max="19" width="7.38"/>
    <col customWidth="1" hidden="1" min="20" max="20" width="6.13"/>
    <col customWidth="1" hidden="1" min="21" max="21" width="6.63"/>
    <col customWidth="1" hidden="1" min="22" max="22" width="3.5"/>
    <col customWidth="1" hidden="1" min="23" max="23" width="7.13"/>
    <col customWidth="1" hidden="1" min="24" max="24" width="7.0"/>
    <col customWidth="1" hidden="1" min="25" max="25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tr">
        <f>IFERROR(__xludf.DUMMYFUNCTION("FILTER(Master!A:Z, Master!X:X = ""X"")"),"Tools")</f>
        <v>Tools</v>
      </c>
      <c r="B2" s="4" t="str">
        <f>IFERROR(__xludf.DUMMYFUNCTION("""COMPUTED_VALUE"""),"Musical Instrument")</f>
        <v>Musical Instrument</v>
      </c>
      <c r="C2" s="8" t="str">
        <f>IFERROR(__xludf.DUMMYFUNCTION("""COMPUTED_VALUE"""),"Bagpipes")</f>
        <v>Bagpipes</v>
      </c>
      <c r="D2" s="5">
        <f>IFERROR(__xludf.DUMMYFUNCTION("""COMPUTED_VALUE"""),6.0)</f>
        <v>6</v>
      </c>
      <c r="E2" s="6">
        <f>IFERROR(__xludf.DUMMYFUNCTION("""COMPUTED_VALUE"""),30.0)</f>
        <v>30</v>
      </c>
      <c r="F2" s="6">
        <f>IFERROR(__xludf.DUMMYFUNCTION("""COMPUTED_VALUE"""),22.5)</f>
        <v>22.5</v>
      </c>
      <c r="G2" s="6">
        <f>IFERROR(__xludf.DUMMYFUNCTION("""COMPUTED_VALUE"""),45.0)</f>
        <v>45</v>
      </c>
      <c r="H2" s="4" t="str">
        <f>IFERROR(__xludf.DUMMYFUNCTION("""COMPUTED_VALUE"""),"PHB 2024")</f>
        <v>PHB 2024</v>
      </c>
      <c r="I2" s="4"/>
      <c r="J2" s="4"/>
      <c r="K2" s="4" t="str">
        <f>IFERROR(__xludf.DUMMYFUNCTION("""COMPUTED_VALUE"""),"x")</f>
        <v>x</v>
      </c>
      <c r="L2" s="7"/>
      <c r="M2" s="7"/>
      <c r="N2" s="7" t="str">
        <f>IFERROR(__xludf.DUMMYFUNCTION("""COMPUTED_VALUE"""),"x")</f>
        <v>x</v>
      </c>
      <c r="O2" s="7"/>
      <c r="P2" s="7"/>
      <c r="Q2" s="7"/>
      <c r="R2" s="7"/>
      <c r="S2" s="7"/>
      <c r="T2" s="4"/>
      <c r="U2" s="7"/>
      <c r="V2" s="7"/>
      <c r="W2" s="7"/>
      <c r="X2" s="7" t="str">
        <f>IFERROR(__xludf.DUMMYFUNCTION("""COMPUTED_VALUE"""),"x")</f>
        <v>x</v>
      </c>
      <c r="Y2" s="7"/>
    </row>
    <row r="3">
      <c r="A3" s="4" t="str">
        <f>IFERROR(__xludf.DUMMYFUNCTION("""COMPUTED_VALUE"""),"Tools")</f>
        <v>Tools</v>
      </c>
      <c r="B3" s="4" t="str">
        <f>IFERROR(__xludf.DUMMYFUNCTION("""COMPUTED_VALUE"""),"Musical Instrument")</f>
        <v>Musical Instrument</v>
      </c>
      <c r="C3" s="8" t="str">
        <f>IFERROR(__xludf.DUMMYFUNCTION("""COMPUTED_VALUE"""),"Drum")</f>
        <v>Drum</v>
      </c>
      <c r="D3" s="5">
        <f>IFERROR(__xludf.DUMMYFUNCTION("""COMPUTED_VALUE"""),3.0)</f>
        <v>3</v>
      </c>
      <c r="E3" s="6">
        <f>IFERROR(__xludf.DUMMYFUNCTION("""COMPUTED_VALUE"""),6.0)</f>
        <v>6</v>
      </c>
      <c r="F3" s="6">
        <f>IFERROR(__xludf.DUMMYFUNCTION("""COMPUTED_VALUE"""),4.5)</f>
        <v>4.5</v>
      </c>
      <c r="G3" s="6">
        <f>IFERROR(__xludf.DUMMYFUNCTION("""COMPUTED_VALUE"""),9.0)</f>
        <v>9</v>
      </c>
      <c r="H3" s="4" t="str">
        <f>IFERROR(__xludf.DUMMYFUNCTION("""COMPUTED_VALUE"""),"PHB 2024")</f>
        <v>PHB 2024</v>
      </c>
      <c r="I3" s="4" t="str">
        <f>IFERROR(__xludf.DUMMYFUNCTION("""COMPUTED_VALUE"""),"x")</f>
        <v>x</v>
      </c>
      <c r="J3" s="4" t="str">
        <f>IFERROR(__xludf.DUMMYFUNCTION("""COMPUTED_VALUE"""),"x")</f>
        <v>x</v>
      </c>
      <c r="K3" s="4" t="str">
        <f>IFERROR(__xludf.DUMMYFUNCTION("""COMPUTED_VALUE"""),"x")</f>
        <v>x</v>
      </c>
      <c r="L3" s="7"/>
      <c r="M3" s="7"/>
      <c r="N3" s="7" t="str">
        <f>IFERROR(__xludf.DUMMYFUNCTION("""COMPUTED_VALUE"""),"x")</f>
        <v>x</v>
      </c>
      <c r="O3" s="7"/>
      <c r="P3" s="7"/>
      <c r="Q3" s="7"/>
      <c r="R3" s="7"/>
      <c r="S3" s="7"/>
      <c r="T3" s="4"/>
      <c r="U3" s="7"/>
      <c r="V3" s="7"/>
      <c r="W3" s="7"/>
      <c r="X3" s="7" t="str">
        <f>IFERROR(__xludf.DUMMYFUNCTION("""COMPUTED_VALUE"""),"x")</f>
        <v>x</v>
      </c>
      <c r="Y3" s="7"/>
    </row>
    <row r="4">
      <c r="A4" s="4" t="str">
        <f>IFERROR(__xludf.DUMMYFUNCTION("""COMPUTED_VALUE"""),"Tools")</f>
        <v>Tools</v>
      </c>
      <c r="B4" s="4" t="str">
        <f>IFERROR(__xludf.DUMMYFUNCTION("""COMPUTED_VALUE"""),"Musical Instrument")</f>
        <v>Musical Instrument</v>
      </c>
      <c r="C4" s="8" t="str">
        <f>IFERROR(__xludf.DUMMYFUNCTION("""COMPUTED_VALUE"""),"Dulcimer")</f>
        <v>Dulcimer</v>
      </c>
      <c r="D4" s="5">
        <f>IFERROR(__xludf.DUMMYFUNCTION("""COMPUTED_VALUE"""),10.0)</f>
        <v>10</v>
      </c>
      <c r="E4" s="6">
        <f>IFERROR(__xludf.DUMMYFUNCTION("""COMPUTED_VALUE"""),25.0)</f>
        <v>25</v>
      </c>
      <c r="F4" s="6">
        <f>IFERROR(__xludf.DUMMYFUNCTION("""COMPUTED_VALUE"""),18.75)</f>
        <v>18.75</v>
      </c>
      <c r="G4" s="6">
        <f>IFERROR(__xludf.DUMMYFUNCTION("""COMPUTED_VALUE"""),37.5)</f>
        <v>37.5</v>
      </c>
      <c r="H4" s="4" t="str">
        <f>IFERROR(__xludf.DUMMYFUNCTION("""COMPUTED_VALUE"""),"PHB 2024")</f>
        <v>PHB 2024</v>
      </c>
      <c r="I4" s="4"/>
      <c r="J4" s="4" t="str">
        <f>IFERROR(__xludf.DUMMYFUNCTION("""COMPUTED_VALUE"""),"x")</f>
        <v>x</v>
      </c>
      <c r="K4" s="4" t="str">
        <f>IFERROR(__xludf.DUMMYFUNCTION("""COMPUTED_VALUE"""),"x")</f>
        <v>x</v>
      </c>
      <c r="L4" s="7"/>
      <c r="M4" s="4"/>
      <c r="N4" s="7"/>
      <c r="O4" s="7"/>
      <c r="P4" s="7"/>
      <c r="Q4" s="4"/>
      <c r="R4" s="7"/>
      <c r="S4" s="7"/>
      <c r="T4" s="7"/>
      <c r="U4" s="7"/>
      <c r="V4" s="7"/>
      <c r="W4" s="7"/>
      <c r="X4" s="7" t="str">
        <f>IFERROR(__xludf.DUMMYFUNCTION("""COMPUTED_VALUE"""),"x")</f>
        <v>x</v>
      </c>
      <c r="Y4" s="7"/>
    </row>
    <row r="5">
      <c r="A5" s="4" t="str">
        <f>IFERROR(__xludf.DUMMYFUNCTION("""COMPUTED_VALUE"""),"Tools")</f>
        <v>Tools</v>
      </c>
      <c r="B5" s="4" t="str">
        <f>IFERROR(__xludf.DUMMYFUNCTION("""COMPUTED_VALUE"""),"Musical Instrument")</f>
        <v>Musical Instrument</v>
      </c>
      <c r="C5" s="8" t="str">
        <f>IFERROR(__xludf.DUMMYFUNCTION("""COMPUTED_VALUE"""),"Flute")</f>
        <v>Flute</v>
      </c>
      <c r="D5" s="5">
        <f>IFERROR(__xludf.DUMMYFUNCTION("""COMPUTED_VALUE"""),1.0)</f>
        <v>1</v>
      </c>
      <c r="E5" s="6">
        <f>IFERROR(__xludf.DUMMYFUNCTION("""COMPUTED_VALUE"""),2.0)</f>
        <v>2</v>
      </c>
      <c r="F5" s="6">
        <f>IFERROR(__xludf.DUMMYFUNCTION("""COMPUTED_VALUE"""),1.5)</f>
        <v>1.5</v>
      </c>
      <c r="G5" s="6">
        <f>IFERROR(__xludf.DUMMYFUNCTION("""COMPUTED_VALUE"""),3.0)</f>
        <v>3</v>
      </c>
      <c r="H5" s="4" t="str">
        <f>IFERROR(__xludf.DUMMYFUNCTION("""COMPUTED_VALUE"""),"PHB 2024")</f>
        <v>PHB 2024</v>
      </c>
      <c r="I5" s="4" t="str">
        <f>IFERROR(__xludf.DUMMYFUNCTION("""COMPUTED_VALUE"""),"x")</f>
        <v>x</v>
      </c>
      <c r="J5" s="4" t="str">
        <f>IFERROR(__xludf.DUMMYFUNCTION("""COMPUTED_VALUE"""),"x")</f>
        <v>x</v>
      </c>
      <c r="K5" s="4" t="str">
        <f>IFERROR(__xludf.DUMMYFUNCTION("""COMPUTED_VALUE"""),"x")</f>
        <v>x</v>
      </c>
      <c r="L5" s="7"/>
      <c r="M5" s="4"/>
      <c r="N5" s="7"/>
      <c r="O5" s="7" t="str">
        <f>IFERROR(__xludf.DUMMYFUNCTION("""COMPUTED_VALUE"""),"x")</f>
        <v>x</v>
      </c>
      <c r="P5" s="7"/>
      <c r="Q5" s="4"/>
      <c r="R5" s="7"/>
      <c r="S5" s="7"/>
      <c r="T5" s="7"/>
      <c r="U5" s="7"/>
      <c r="V5" s="7"/>
      <c r="W5" s="7"/>
      <c r="X5" s="7" t="str">
        <f>IFERROR(__xludf.DUMMYFUNCTION("""COMPUTED_VALUE"""),"x")</f>
        <v>x</v>
      </c>
      <c r="Y5" s="7"/>
    </row>
    <row r="6">
      <c r="A6" s="4" t="str">
        <f>IFERROR(__xludf.DUMMYFUNCTION("""COMPUTED_VALUE"""),"Tools")</f>
        <v>Tools</v>
      </c>
      <c r="B6" s="4" t="str">
        <f>IFERROR(__xludf.DUMMYFUNCTION("""COMPUTED_VALUE"""),"Musical Instrument")</f>
        <v>Musical Instrument</v>
      </c>
      <c r="C6" s="8" t="str">
        <f>IFERROR(__xludf.DUMMYFUNCTION("""COMPUTED_VALUE"""),"Horn")</f>
        <v>Horn</v>
      </c>
      <c r="D6" s="5">
        <f>IFERROR(__xludf.DUMMYFUNCTION("""COMPUTED_VALUE"""),2.0)</f>
        <v>2</v>
      </c>
      <c r="E6" s="6">
        <f>IFERROR(__xludf.DUMMYFUNCTION("""COMPUTED_VALUE"""),3.0)</f>
        <v>3</v>
      </c>
      <c r="F6" s="6">
        <f>IFERROR(__xludf.DUMMYFUNCTION("""COMPUTED_VALUE"""),2.25)</f>
        <v>2.25</v>
      </c>
      <c r="G6" s="6">
        <f>IFERROR(__xludf.DUMMYFUNCTION("""COMPUTED_VALUE"""),4.5)</f>
        <v>4.5</v>
      </c>
      <c r="H6" s="4" t="str">
        <f>IFERROR(__xludf.DUMMYFUNCTION("""COMPUTED_VALUE"""),"PHB 2024")</f>
        <v>PHB 2024</v>
      </c>
      <c r="I6" s="4"/>
      <c r="J6" s="4" t="str">
        <f>IFERROR(__xludf.DUMMYFUNCTION("""COMPUTED_VALUE"""),"x")</f>
        <v>x</v>
      </c>
      <c r="K6" s="4" t="str">
        <f>IFERROR(__xludf.DUMMYFUNCTION("""COMPUTED_VALUE"""),"x")</f>
        <v>x</v>
      </c>
      <c r="L6" s="7"/>
      <c r="M6" s="7"/>
      <c r="N6" s="7"/>
      <c r="O6" s="7" t="str">
        <f>IFERROR(__xludf.DUMMYFUNCTION("""COMPUTED_VALUE"""),"x")</f>
        <v>x</v>
      </c>
      <c r="P6" s="7"/>
      <c r="Q6" s="7"/>
      <c r="R6" s="7"/>
      <c r="S6" s="7"/>
      <c r="T6" s="7"/>
      <c r="U6" s="7"/>
      <c r="V6" s="7"/>
      <c r="W6" s="4"/>
      <c r="X6" s="4" t="str">
        <f>IFERROR(__xludf.DUMMYFUNCTION("""COMPUTED_VALUE"""),"x")</f>
        <v>x</v>
      </c>
      <c r="Y6" s="4"/>
    </row>
    <row r="7">
      <c r="A7" s="4" t="str">
        <f>IFERROR(__xludf.DUMMYFUNCTION("""COMPUTED_VALUE"""),"Tools")</f>
        <v>Tools</v>
      </c>
      <c r="B7" s="4" t="str">
        <f>IFERROR(__xludf.DUMMYFUNCTION("""COMPUTED_VALUE"""),"Musical Instrument")</f>
        <v>Musical Instrument</v>
      </c>
      <c r="C7" s="8" t="str">
        <f>IFERROR(__xludf.DUMMYFUNCTION("""COMPUTED_VALUE"""),"Lute")</f>
        <v>Lute</v>
      </c>
      <c r="D7" s="5">
        <f>IFERROR(__xludf.DUMMYFUNCTION("""COMPUTED_VALUE"""),2.0)</f>
        <v>2</v>
      </c>
      <c r="E7" s="6">
        <f>IFERROR(__xludf.DUMMYFUNCTION("""COMPUTED_VALUE"""),12.0)</f>
        <v>12</v>
      </c>
      <c r="F7" s="6">
        <f>IFERROR(__xludf.DUMMYFUNCTION("""COMPUTED_VALUE"""),9.0)</f>
        <v>9</v>
      </c>
      <c r="G7" s="6">
        <f>IFERROR(__xludf.DUMMYFUNCTION("""COMPUTED_VALUE"""),18.0)</f>
        <v>18</v>
      </c>
      <c r="H7" s="4" t="str">
        <f>IFERROR(__xludf.DUMMYFUNCTION("""COMPUTED_VALUE"""),"PHB 2024")</f>
        <v>PHB 2024</v>
      </c>
      <c r="I7" s="4" t="str">
        <f>IFERROR(__xludf.DUMMYFUNCTION("""COMPUTED_VALUE"""),"x")</f>
        <v>x</v>
      </c>
      <c r="J7" s="4" t="str">
        <f>IFERROR(__xludf.DUMMYFUNCTION("""COMPUTED_VALUE"""),"x")</f>
        <v>x</v>
      </c>
      <c r="K7" s="4" t="str">
        <f>IFERROR(__xludf.DUMMYFUNCTION("""COMPUTED_VALUE"""),"x")</f>
        <v>x</v>
      </c>
      <c r="L7" s="7"/>
      <c r="M7" s="7"/>
      <c r="N7" s="7"/>
      <c r="O7" s="7" t="str">
        <f>IFERROR(__xludf.DUMMYFUNCTION("""COMPUTED_VALUE"""),"x")</f>
        <v>x</v>
      </c>
      <c r="P7" s="7"/>
      <c r="Q7" s="4"/>
      <c r="R7" s="7"/>
      <c r="S7" s="7"/>
      <c r="T7" s="7"/>
      <c r="U7" s="7"/>
      <c r="V7" s="7"/>
      <c r="W7" s="7"/>
      <c r="X7" s="7" t="str">
        <f>IFERROR(__xludf.DUMMYFUNCTION("""COMPUTED_VALUE"""),"x")</f>
        <v>x</v>
      </c>
      <c r="Y7" s="7"/>
    </row>
    <row r="8">
      <c r="A8" s="4" t="str">
        <f>IFERROR(__xludf.DUMMYFUNCTION("""COMPUTED_VALUE"""),"Tools")</f>
        <v>Tools</v>
      </c>
      <c r="B8" s="4" t="str">
        <f>IFERROR(__xludf.DUMMYFUNCTION("""COMPUTED_VALUE"""),"Musical Instrument")</f>
        <v>Musical Instrument</v>
      </c>
      <c r="C8" s="8" t="str">
        <f>IFERROR(__xludf.DUMMYFUNCTION("""COMPUTED_VALUE"""),"Lyre")</f>
        <v>Lyre</v>
      </c>
      <c r="D8" s="5">
        <f>IFERROR(__xludf.DUMMYFUNCTION("""COMPUTED_VALUE"""),2.0)</f>
        <v>2</v>
      </c>
      <c r="E8" s="6">
        <f>IFERROR(__xludf.DUMMYFUNCTION("""COMPUTED_VALUE"""),20.0)</f>
        <v>20</v>
      </c>
      <c r="F8" s="6">
        <f>IFERROR(__xludf.DUMMYFUNCTION("""COMPUTED_VALUE"""),15.0)</f>
        <v>15</v>
      </c>
      <c r="G8" s="6">
        <f>IFERROR(__xludf.DUMMYFUNCTION("""COMPUTED_VALUE"""),30.0)</f>
        <v>30</v>
      </c>
      <c r="H8" s="4" t="str">
        <f>IFERROR(__xludf.DUMMYFUNCTION("""COMPUTED_VALUE"""),"PHB 2024")</f>
        <v>PHB 2024</v>
      </c>
      <c r="I8" s="4" t="str">
        <f>IFERROR(__xludf.DUMMYFUNCTION("""COMPUTED_VALUE"""),"x")</f>
        <v>x</v>
      </c>
      <c r="J8" s="4" t="str">
        <f>IFERROR(__xludf.DUMMYFUNCTION("""COMPUTED_VALUE"""),"x")</f>
        <v>x</v>
      </c>
      <c r="K8" s="4" t="str">
        <f>IFERROR(__xludf.DUMMYFUNCTION("""COMPUTED_VALUE"""),"x")</f>
        <v>x</v>
      </c>
      <c r="L8" s="7"/>
      <c r="M8" s="7"/>
      <c r="N8" s="7"/>
      <c r="O8" s="7" t="str">
        <f>IFERROR(__xludf.DUMMYFUNCTION("""COMPUTED_VALUE"""),"x")</f>
        <v>x</v>
      </c>
      <c r="P8" s="7"/>
      <c r="Q8" s="4"/>
      <c r="R8" s="7"/>
      <c r="S8" s="7"/>
      <c r="T8" s="7"/>
      <c r="U8" s="7"/>
      <c r="V8" s="7"/>
      <c r="W8" s="7"/>
      <c r="X8" s="7" t="str">
        <f>IFERROR(__xludf.DUMMYFUNCTION("""COMPUTED_VALUE"""),"x")</f>
        <v>x</v>
      </c>
      <c r="Y8" s="7"/>
    </row>
    <row r="9">
      <c r="A9" s="4" t="str">
        <f>IFERROR(__xludf.DUMMYFUNCTION("""COMPUTED_VALUE"""),"Tools")</f>
        <v>Tools</v>
      </c>
      <c r="B9" s="4" t="str">
        <f>IFERROR(__xludf.DUMMYFUNCTION("""COMPUTED_VALUE"""),"Musical Instrument")</f>
        <v>Musical Instrument</v>
      </c>
      <c r="C9" s="8" t="str">
        <f>IFERROR(__xludf.DUMMYFUNCTION("""COMPUTED_VALUE"""),"Pan Flute")</f>
        <v>Pan Flute</v>
      </c>
      <c r="D9" s="5">
        <f>IFERROR(__xludf.DUMMYFUNCTION("""COMPUTED_VALUE"""),2.0)</f>
        <v>2</v>
      </c>
      <c r="E9" s="6">
        <f>IFERROR(__xludf.DUMMYFUNCTION("""COMPUTED_VALUE"""),12.0)</f>
        <v>12</v>
      </c>
      <c r="F9" s="6">
        <f>IFERROR(__xludf.DUMMYFUNCTION("""COMPUTED_VALUE"""),9.0)</f>
        <v>9</v>
      </c>
      <c r="G9" s="6">
        <f>IFERROR(__xludf.DUMMYFUNCTION("""COMPUTED_VALUE"""),18.0)</f>
        <v>18</v>
      </c>
      <c r="H9" s="4" t="str">
        <f>IFERROR(__xludf.DUMMYFUNCTION("""COMPUTED_VALUE"""),"PHB 2024")</f>
        <v>PHB 2024</v>
      </c>
      <c r="I9" s="4" t="str">
        <f>IFERROR(__xludf.DUMMYFUNCTION("""COMPUTED_VALUE"""),"x")</f>
        <v>x</v>
      </c>
      <c r="J9" s="4" t="str">
        <f>IFERROR(__xludf.DUMMYFUNCTION("""COMPUTED_VALUE"""),"x")</f>
        <v>x</v>
      </c>
      <c r="K9" s="4" t="str">
        <f>IFERROR(__xludf.DUMMYFUNCTION("""COMPUTED_VALUE"""),"x")</f>
        <v>x</v>
      </c>
      <c r="L9" s="7"/>
      <c r="M9" s="7"/>
      <c r="N9" s="7"/>
      <c r="O9" s="7"/>
      <c r="P9" s="7"/>
      <c r="Q9" s="7"/>
      <c r="R9" s="7"/>
      <c r="S9" s="7"/>
      <c r="T9" s="4"/>
      <c r="U9" s="7"/>
      <c r="V9" s="7"/>
      <c r="W9" s="7"/>
      <c r="X9" s="7" t="str">
        <f>IFERROR(__xludf.DUMMYFUNCTION("""COMPUTED_VALUE"""),"x")</f>
        <v>x</v>
      </c>
      <c r="Y9" s="7"/>
    </row>
    <row r="10">
      <c r="A10" s="4" t="str">
        <f>IFERROR(__xludf.DUMMYFUNCTION("""COMPUTED_VALUE"""),"Tools")</f>
        <v>Tools</v>
      </c>
      <c r="B10" s="4" t="str">
        <f>IFERROR(__xludf.DUMMYFUNCTION("""COMPUTED_VALUE"""),"Musical Instrument")</f>
        <v>Musical Instrument</v>
      </c>
      <c r="C10" s="8" t="str">
        <f>IFERROR(__xludf.DUMMYFUNCTION("""COMPUTED_VALUE"""),"Shawm")</f>
        <v>Shawm</v>
      </c>
      <c r="D10" s="5">
        <f>IFERROR(__xludf.DUMMYFUNCTION("""COMPUTED_VALUE"""),1.0)</f>
        <v>1</v>
      </c>
      <c r="E10" s="6">
        <f>IFERROR(__xludf.DUMMYFUNCTION("""COMPUTED_VALUE"""),2.0)</f>
        <v>2</v>
      </c>
      <c r="F10" s="6">
        <f>IFERROR(__xludf.DUMMYFUNCTION("""COMPUTED_VALUE"""),1.5)</f>
        <v>1.5</v>
      </c>
      <c r="G10" s="6">
        <f>IFERROR(__xludf.DUMMYFUNCTION("""COMPUTED_VALUE"""),3.0)</f>
        <v>3</v>
      </c>
      <c r="H10" s="4" t="str">
        <f>IFERROR(__xludf.DUMMYFUNCTION("""COMPUTED_VALUE"""),"PHB 2024")</f>
        <v>PHB 2024</v>
      </c>
      <c r="I10" s="4" t="str">
        <f>IFERROR(__xludf.DUMMYFUNCTION("""COMPUTED_VALUE"""),"x")</f>
        <v>x</v>
      </c>
      <c r="J10" s="4" t="str">
        <f>IFERROR(__xludf.DUMMYFUNCTION("""COMPUTED_VALUE"""),"x")</f>
        <v>x</v>
      </c>
      <c r="K10" s="4" t="str">
        <f>IFERROR(__xludf.DUMMYFUNCTION("""COMPUTED_VALUE"""),"x")</f>
        <v>x</v>
      </c>
      <c r="L10" s="7"/>
      <c r="M10" s="7"/>
      <c r="N10" s="7"/>
      <c r="O10" s="7"/>
      <c r="P10" s="7"/>
      <c r="Q10" s="7"/>
      <c r="R10" s="7"/>
      <c r="S10" s="4"/>
      <c r="T10" s="7"/>
      <c r="U10" s="4"/>
      <c r="V10" s="7"/>
      <c r="W10" s="7"/>
      <c r="X10" s="7" t="str">
        <f>IFERROR(__xludf.DUMMYFUNCTION("""COMPUTED_VALUE"""),"x")</f>
        <v>x</v>
      </c>
      <c r="Y10" s="7"/>
    </row>
    <row r="11">
      <c r="A11" s="4" t="str">
        <f>IFERROR(__xludf.DUMMYFUNCTION("""COMPUTED_VALUE"""),"Tools")</f>
        <v>Tools</v>
      </c>
      <c r="B11" s="4" t="str">
        <f>IFERROR(__xludf.DUMMYFUNCTION("""COMPUTED_VALUE"""),"Musical Instrument")</f>
        <v>Musical Instrument</v>
      </c>
      <c r="C11" s="8" t="str">
        <f>IFERROR(__xludf.DUMMYFUNCTION("""COMPUTED_VALUE"""),"Viol")</f>
        <v>Viol</v>
      </c>
      <c r="D11" s="5">
        <f>IFERROR(__xludf.DUMMYFUNCTION("""COMPUTED_VALUE"""),1.0)</f>
        <v>1</v>
      </c>
      <c r="E11" s="6">
        <f>IFERROR(__xludf.DUMMYFUNCTION("""COMPUTED_VALUE"""),30.0)</f>
        <v>30</v>
      </c>
      <c r="F11" s="6">
        <f>IFERROR(__xludf.DUMMYFUNCTION("""COMPUTED_VALUE"""),22.5)</f>
        <v>22.5</v>
      </c>
      <c r="G11" s="6">
        <f>IFERROR(__xludf.DUMMYFUNCTION("""COMPUTED_VALUE"""),45.0)</f>
        <v>45</v>
      </c>
      <c r="H11" s="4" t="str">
        <f>IFERROR(__xludf.DUMMYFUNCTION("""COMPUTED_VALUE"""),"PHB 2024")</f>
        <v>PHB 2024</v>
      </c>
      <c r="I11" s="4"/>
      <c r="J11" s="4"/>
      <c r="K11" s="4" t="str">
        <f>IFERROR(__xludf.DUMMYFUNCTION("""COMPUTED_VALUE"""),"x")</f>
        <v>x</v>
      </c>
      <c r="L11" s="7"/>
      <c r="M11" s="7"/>
      <c r="N11" s="7"/>
      <c r="O11" s="7"/>
      <c r="P11" s="7"/>
      <c r="Q11" s="7"/>
      <c r="R11" s="7"/>
      <c r="S11" s="4"/>
      <c r="T11" s="7"/>
      <c r="U11" s="4"/>
      <c r="V11" s="7"/>
      <c r="W11" s="7"/>
      <c r="X11" s="7" t="str">
        <f>IFERROR(__xludf.DUMMYFUNCTION("""COMPUTED_VALUE"""),"x")</f>
        <v>x</v>
      </c>
      <c r="Y11" s="7"/>
    </row>
    <row r="12">
      <c r="A12" s="4"/>
      <c r="B12" s="4"/>
      <c r="C12" s="4"/>
      <c r="D12" s="5"/>
      <c r="E12" s="6"/>
      <c r="F12" s="6"/>
      <c r="G12" s="6"/>
      <c r="H12" s="4"/>
      <c r="I12" s="4"/>
      <c r="J12" s="4"/>
      <c r="K12" s="4"/>
      <c r="L12" s="7"/>
      <c r="M12" s="7"/>
      <c r="N12" s="7"/>
      <c r="O12" s="7"/>
      <c r="P12" s="7"/>
      <c r="Q12" s="7"/>
      <c r="R12" s="7"/>
      <c r="S12" s="7"/>
      <c r="T12" s="7"/>
      <c r="U12" s="4"/>
      <c r="V12" s="7"/>
      <c r="W12" s="7"/>
      <c r="X12" s="7"/>
      <c r="Y12" s="7"/>
    </row>
    <row r="13">
      <c r="A13" s="4"/>
      <c r="B13" s="4"/>
      <c r="C13" s="4"/>
      <c r="D13" s="5"/>
      <c r="E13" s="6"/>
      <c r="F13" s="6"/>
      <c r="G13" s="6"/>
      <c r="H13" s="4"/>
      <c r="I13" s="4"/>
      <c r="J13" s="4"/>
      <c r="K13" s="4"/>
      <c r="L13" s="7"/>
      <c r="M13" s="7"/>
      <c r="N13" s="7"/>
      <c r="O13" s="7"/>
      <c r="P13" s="7"/>
      <c r="Q13" s="7"/>
      <c r="R13" s="7"/>
      <c r="S13" s="7"/>
      <c r="T13" s="7"/>
      <c r="U13" s="4"/>
      <c r="V13" s="7"/>
      <c r="W13" s="7"/>
      <c r="X13" s="7"/>
      <c r="Y13" s="7"/>
    </row>
    <row r="14">
      <c r="A14" s="4"/>
      <c r="B14" s="4"/>
      <c r="C14" s="4"/>
      <c r="D14" s="5"/>
      <c r="E14" s="6"/>
      <c r="F14" s="6"/>
      <c r="G14" s="6"/>
      <c r="H14" s="4"/>
      <c r="I14" s="4"/>
      <c r="J14" s="4"/>
      <c r="K14" s="4"/>
      <c r="L14" s="7"/>
      <c r="M14" s="7"/>
      <c r="N14" s="7"/>
      <c r="O14" s="7"/>
      <c r="P14" s="7"/>
      <c r="Q14" s="7"/>
      <c r="R14" s="7"/>
      <c r="S14" s="7"/>
      <c r="T14" s="7"/>
      <c r="U14" s="4"/>
      <c r="V14" s="7"/>
      <c r="W14" s="7"/>
      <c r="X14" s="7"/>
      <c r="Y14" s="7"/>
    </row>
    <row r="15">
      <c r="A15" s="4"/>
      <c r="B15" s="4"/>
      <c r="C15" s="4"/>
      <c r="D15" s="5"/>
      <c r="E15" s="6"/>
      <c r="F15" s="6"/>
      <c r="G15" s="6"/>
      <c r="H15" s="4"/>
      <c r="I15" s="4"/>
      <c r="J15" s="4"/>
      <c r="K15" s="4"/>
      <c r="L15" s="7"/>
      <c r="M15" s="7"/>
      <c r="N15" s="7"/>
      <c r="O15" s="7"/>
      <c r="P15" s="7"/>
      <c r="Q15" s="4"/>
      <c r="R15" s="7"/>
      <c r="S15" s="7"/>
      <c r="T15" s="7"/>
      <c r="U15" s="7"/>
      <c r="V15" s="7"/>
      <c r="W15" s="7"/>
      <c r="X15" s="7"/>
      <c r="Y15" s="7"/>
    </row>
    <row r="16">
      <c r="A16" s="4"/>
      <c r="B16" s="4"/>
      <c r="C16" s="4"/>
      <c r="D16" s="5"/>
      <c r="E16" s="6"/>
      <c r="F16" s="6"/>
      <c r="G16" s="6"/>
      <c r="H16" s="4"/>
      <c r="I16" s="4"/>
      <c r="J16" s="4"/>
      <c r="K16" s="4"/>
      <c r="L16" s="4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4"/>
      <c r="B17" s="4"/>
      <c r="C17" s="4"/>
      <c r="D17" s="5"/>
      <c r="E17" s="6"/>
      <c r="F17" s="6"/>
      <c r="G17" s="6"/>
      <c r="H17" s="4"/>
      <c r="I17" s="4"/>
      <c r="J17" s="4"/>
      <c r="K17" s="4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</row>
    <row r="18">
      <c r="A18" s="4"/>
      <c r="B18" s="4"/>
      <c r="C18" s="4"/>
      <c r="D18" s="5"/>
      <c r="E18" s="6"/>
      <c r="F18" s="6"/>
      <c r="G18" s="6"/>
      <c r="H18" s="4"/>
      <c r="I18" s="4"/>
      <c r="J18" s="4"/>
      <c r="K18" s="4"/>
      <c r="L18" s="7"/>
      <c r="M18" s="7"/>
      <c r="N18" s="7"/>
      <c r="O18" s="7"/>
      <c r="P18" s="7"/>
      <c r="Q18" s="7"/>
      <c r="R18" s="4"/>
      <c r="S18" s="7"/>
      <c r="T18" s="7"/>
      <c r="U18" s="7"/>
      <c r="V18" s="7"/>
      <c r="W18" s="7"/>
      <c r="X18" s="7"/>
      <c r="Y18" s="7"/>
    </row>
    <row r="19">
      <c r="A19" s="4"/>
      <c r="B19" s="4"/>
      <c r="C19" s="4"/>
      <c r="D19" s="5"/>
      <c r="E19" s="6"/>
      <c r="F19" s="6"/>
      <c r="G19" s="6"/>
      <c r="H19" s="4"/>
      <c r="I19" s="4"/>
      <c r="J19" s="4"/>
      <c r="K19" s="4"/>
      <c r="L19" s="7"/>
      <c r="M19" s="7"/>
      <c r="N19" s="7"/>
      <c r="O19" s="7"/>
      <c r="P19" s="7"/>
      <c r="Q19" s="4"/>
      <c r="R19" s="7"/>
      <c r="S19" s="7"/>
      <c r="T19" s="7"/>
      <c r="U19" s="7"/>
      <c r="V19" s="7"/>
      <c r="W19" s="7"/>
      <c r="X19" s="7"/>
      <c r="Y19" s="7"/>
    </row>
    <row r="20">
      <c r="A20" s="4"/>
      <c r="B20" s="4"/>
      <c r="C20" s="4"/>
      <c r="D20" s="5"/>
      <c r="E20" s="6"/>
      <c r="F20" s="6"/>
      <c r="G20" s="6"/>
      <c r="H20" s="4"/>
      <c r="I20" s="4"/>
      <c r="J20" s="4"/>
      <c r="K20" s="4"/>
      <c r="L20" s="4"/>
      <c r="M20" s="7"/>
      <c r="N20" s="7"/>
      <c r="O20" s="4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4"/>
      <c r="B21" s="4"/>
      <c r="C21" s="4"/>
      <c r="D21" s="5"/>
      <c r="E21" s="6"/>
      <c r="F21" s="6"/>
      <c r="G21" s="6"/>
      <c r="H21" s="4"/>
      <c r="I21" s="4"/>
      <c r="J21" s="4"/>
      <c r="K21" s="4"/>
      <c r="L21" s="7"/>
      <c r="M21" s="7"/>
      <c r="N21" s="7"/>
      <c r="O21" s="4"/>
      <c r="P21" s="4"/>
      <c r="Q21" s="4"/>
      <c r="R21" s="7"/>
      <c r="S21" s="7"/>
      <c r="T21" s="7"/>
      <c r="U21" s="7"/>
      <c r="V21" s="7"/>
      <c r="W21" s="7"/>
      <c r="X21" s="7"/>
      <c r="Y21" s="7"/>
    </row>
    <row r="22">
      <c r="A22" s="4"/>
      <c r="B22" s="4"/>
      <c r="C22" s="4"/>
      <c r="D22" s="5"/>
      <c r="E22" s="6"/>
      <c r="F22" s="6"/>
      <c r="G22" s="6"/>
      <c r="H22" s="4"/>
      <c r="I22" s="4"/>
      <c r="J22" s="4"/>
      <c r="K22" s="4"/>
      <c r="L22" s="4"/>
      <c r="M22" s="7"/>
      <c r="N22" s="7"/>
      <c r="O22" s="7"/>
      <c r="P22" s="7"/>
      <c r="Q22" s="4"/>
      <c r="R22" s="7"/>
      <c r="S22" s="7"/>
      <c r="T22" s="7"/>
      <c r="U22" s="7"/>
      <c r="V22" s="7"/>
      <c r="W22" s="7"/>
      <c r="X22" s="7"/>
      <c r="Y22" s="7"/>
    </row>
    <row r="23">
      <c r="A23" s="4"/>
      <c r="B23" s="4"/>
      <c r="C23" s="4"/>
      <c r="D23" s="5"/>
      <c r="E23" s="6"/>
      <c r="F23" s="6"/>
      <c r="G23" s="6"/>
      <c r="H23" s="4"/>
      <c r="I23" s="4"/>
      <c r="J23" s="4"/>
      <c r="K23" s="4"/>
      <c r="L23" s="7"/>
      <c r="M23" s="7"/>
      <c r="N23" s="7"/>
      <c r="O23" s="4"/>
      <c r="P23" s="7"/>
      <c r="Q23" s="7"/>
      <c r="R23" s="7"/>
      <c r="S23" s="7"/>
      <c r="T23" s="7"/>
      <c r="U23" s="4"/>
      <c r="V23" s="7"/>
      <c r="W23" s="7"/>
      <c r="X23" s="7"/>
      <c r="Y23" s="7"/>
    </row>
    <row r="24">
      <c r="A24" s="4"/>
      <c r="B24" s="4"/>
      <c r="C24" s="4"/>
      <c r="D24" s="5"/>
      <c r="E24" s="6"/>
      <c r="F24" s="6"/>
      <c r="G24" s="6"/>
      <c r="H24" s="4"/>
      <c r="I24" s="4"/>
      <c r="J24" s="4"/>
      <c r="K24" s="4"/>
      <c r="L24" s="7"/>
      <c r="M24" s="7"/>
      <c r="N24" s="7"/>
      <c r="O24" s="7"/>
      <c r="P24" s="4"/>
      <c r="Q24" s="4"/>
      <c r="R24" s="7"/>
      <c r="S24" s="7"/>
      <c r="T24" s="7"/>
      <c r="U24" s="4"/>
      <c r="V24" s="7"/>
      <c r="W24" s="7"/>
      <c r="X24" s="7"/>
      <c r="Y24" s="7"/>
    </row>
    <row r="25">
      <c r="A25" s="4"/>
      <c r="B25" s="4"/>
      <c r="C25" s="4"/>
      <c r="D25" s="5"/>
      <c r="E25" s="6"/>
      <c r="F25" s="6"/>
      <c r="G25" s="6"/>
      <c r="H25" s="4"/>
      <c r="I25" s="4"/>
      <c r="J25" s="4"/>
      <c r="K25" s="4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</row>
    <row r="26">
      <c r="A26" s="4"/>
      <c r="B26" s="4"/>
      <c r="C26" s="4"/>
      <c r="D26" s="5"/>
      <c r="E26" s="6"/>
      <c r="F26" s="6"/>
      <c r="G26" s="6"/>
      <c r="H26" s="4"/>
      <c r="I26" s="4"/>
      <c r="J26" s="4"/>
      <c r="K26" s="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4"/>
      <c r="X26" s="7"/>
      <c r="Y26" s="7"/>
    </row>
    <row r="27">
      <c r="A27" s="4"/>
      <c r="B27" s="4"/>
      <c r="C27" s="4"/>
      <c r="D27" s="5"/>
      <c r="E27" s="6"/>
      <c r="F27" s="6"/>
      <c r="G27" s="6"/>
      <c r="H27" s="4"/>
      <c r="I27" s="4"/>
      <c r="J27" s="4"/>
      <c r="K27" s="4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4"/>
      <c r="X27" s="7"/>
      <c r="Y27" s="7"/>
    </row>
    <row r="28">
      <c r="A28" s="4"/>
      <c r="B28" s="4"/>
      <c r="C28" s="4"/>
      <c r="D28" s="5"/>
      <c r="E28" s="6"/>
      <c r="F28" s="6"/>
      <c r="G28" s="6"/>
      <c r="H28" s="4"/>
      <c r="I28" s="4"/>
      <c r="J28" s="4"/>
      <c r="K28" s="4"/>
      <c r="L28" s="7"/>
      <c r="M28" s="7"/>
      <c r="N28" s="7"/>
      <c r="O28" s="4"/>
      <c r="P28" s="4"/>
      <c r="Q28" s="4"/>
      <c r="R28" s="7"/>
      <c r="S28" s="7"/>
      <c r="T28" s="7"/>
      <c r="U28" s="4"/>
      <c r="V28" s="7"/>
      <c r="W28" s="7"/>
      <c r="X28" s="7"/>
      <c r="Y28" s="7"/>
    </row>
    <row r="29">
      <c r="A29" s="4"/>
      <c r="B29" s="4"/>
      <c r="C29" s="4"/>
      <c r="D29" s="5"/>
      <c r="E29" s="6"/>
      <c r="F29" s="6"/>
      <c r="G29" s="6"/>
      <c r="H29" s="4"/>
      <c r="I29" s="4"/>
      <c r="J29" s="4"/>
      <c r="K29" s="4"/>
      <c r="L29" s="7"/>
      <c r="M29" s="4"/>
      <c r="N29" s="7"/>
      <c r="O29" s="7"/>
      <c r="P29" s="7"/>
      <c r="Q29" s="4"/>
      <c r="R29" s="7"/>
      <c r="S29" s="7"/>
      <c r="T29" s="7"/>
      <c r="U29" s="7"/>
      <c r="V29" s="7"/>
      <c r="W29" s="7"/>
      <c r="X29" s="7"/>
      <c r="Y29" s="7"/>
    </row>
    <row r="30">
      <c r="A30" s="4"/>
      <c r="B30" s="4"/>
      <c r="C30" s="8"/>
      <c r="D30" s="5"/>
      <c r="E30" s="6"/>
      <c r="F30" s="6"/>
      <c r="G30" s="6"/>
      <c r="H30" s="4"/>
      <c r="I30" s="4"/>
      <c r="J30" s="4"/>
      <c r="K30" s="4"/>
      <c r="L30" s="7"/>
      <c r="M30" s="7"/>
      <c r="N30" s="7"/>
      <c r="O30" s="4"/>
      <c r="P30" s="7"/>
      <c r="Q30" s="4"/>
      <c r="R30" s="7"/>
      <c r="S30" s="7"/>
      <c r="T30" s="7"/>
      <c r="U30" s="4"/>
      <c r="V30" s="7"/>
      <c r="W30" s="7"/>
      <c r="X30" s="7"/>
      <c r="Y30" s="7"/>
    </row>
    <row r="31">
      <c r="A31" s="4"/>
      <c r="B31" s="4"/>
      <c r="C31" s="8"/>
      <c r="D31" s="5"/>
      <c r="E31" s="6"/>
      <c r="F31" s="6"/>
      <c r="G31" s="6"/>
      <c r="H31" s="4"/>
      <c r="I31" s="4"/>
      <c r="J31" s="4"/>
      <c r="K31" s="4"/>
      <c r="L31" s="4"/>
      <c r="M31" s="7"/>
      <c r="N31" s="7"/>
      <c r="O31" s="7"/>
      <c r="P31" s="7"/>
      <c r="Q31" s="4"/>
      <c r="R31" s="7"/>
      <c r="S31" s="7"/>
      <c r="T31" s="7"/>
      <c r="U31" s="7"/>
      <c r="V31" s="7"/>
      <c r="W31" s="7"/>
      <c r="X31" s="7"/>
      <c r="Y31" s="7"/>
    </row>
    <row r="32">
      <c r="A32" s="4"/>
      <c r="B32" s="4"/>
      <c r="C32" s="8"/>
      <c r="D32" s="5"/>
      <c r="E32" s="6"/>
      <c r="F32" s="6"/>
      <c r="G32" s="6"/>
      <c r="H32" s="4"/>
      <c r="I32" s="4"/>
      <c r="J32" s="4"/>
      <c r="K32" s="4"/>
      <c r="L32" s="7"/>
      <c r="M32" s="7"/>
      <c r="N32" s="7"/>
      <c r="O32" s="7"/>
      <c r="P32" s="4"/>
      <c r="Q32" s="4"/>
      <c r="R32" s="7"/>
      <c r="S32" s="7"/>
      <c r="T32" s="7"/>
      <c r="U32" s="7"/>
      <c r="V32" s="7"/>
      <c r="W32" s="7"/>
      <c r="X32" s="7"/>
      <c r="Y32" s="7"/>
    </row>
    <row r="33">
      <c r="A33" s="4"/>
      <c r="B33" s="4"/>
      <c r="C33" s="8"/>
      <c r="D33" s="5"/>
      <c r="E33" s="6"/>
      <c r="F33" s="6"/>
      <c r="G33" s="6"/>
      <c r="H33" s="4"/>
      <c r="I33" s="4"/>
      <c r="J33" s="4"/>
      <c r="K33" s="4"/>
      <c r="L33" s="7"/>
      <c r="M33" s="7"/>
      <c r="N33" s="7"/>
      <c r="O33" s="7"/>
      <c r="P33" s="7"/>
      <c r="Q33" s="4"/>
      <c r="R33" s="7"/>
      <c r="S33" s="7"/>
      <c r="T33" s="7"/>
      <c r="U33" s="7"/>
      <c r="V33" s="7"/>
      <c r="W33" s="7"/>
      <c r="X33" s="7"/>
      <c r="Y33" s="7"/>
    </row>
    <row r="34">
      <c r="A34" s="4"/>
      <c r="B34" s="4"/>
      <c r="C34" s="8"/>
      <c r="D34" s="5"/>
      <c r="E34" s="6"/>
      <c r="F34" s="6"/>
      <c r="G34" s="6"/>
      <c r="H34" s="4"/>
      <c r="I34" s="4"/>
      <c r="J34" s="4"/>
      <c r="K34" s="4"/>
      <c r="L34" s="7"/>
      <c r="M34" s="7"/>
      <c r="N34" s="7"/>
      <c r="O34" s="7"/>
      <c r="P34" s="4"/>
      <c r="Q34" s="7"/>
      <c r="R34" s="4"/>
      <c r="S34" s="7"/>
      <c r="T34" s="7"/>
      <c r="U34" s="7"/>
      <c r="V34" s="7"/>
      <c r="W34" s="7"/>
      <c r="X34" s="7"/>
      <c r="Y34" s="7"/>
    </row>
    <row r="35">
      <c r="A35" s="4"/>
      <c r="B35" s="4"/>
      <c r="C35" s="8"/>
      <c r="D35" s="5"/>
      <c r="E35" s="6"/>
      <c r="F35" s="6"/>
      <c r="G35" s="6"/>
      <c r="H35" s="4"/>
      <c r="I35" s="4"/>
      <c r="J35" s="4"/>
      <c r="K35" s="4"/>
      <c r="L35" s="7"/>
      <c r="M35" s="7"/>
      <c r="N35" s="7"/>
      <c r="O35" s="7"/>
      <c r="P35" s="7"/>
      <c r="Q35" s="4"/>
      <c r="R35" s="4"/>
      <c r="S35" s="7"/>
      <c r="T35" s="7"/>
      <c r="U35" s="7"/>
      <c r="V35" s="7"/>
      <c r="W35" s="7"/>
      <c r="X35" s="7"/>
      <c r="Y35" s="7"/>
    </row>
    <row r="36">
      <c r="A36" s="4"/>
      <c r="B36" s="4"/>
      <c r="C36" s="8"/>
      <c r="D36" s="5"/>
      <c r="E36" s="6"/>
      <c r="F36" s="6"/>
      <c r="G36" s="6"/>
      <c r="H36" s="4"/>
      <c r="I36" s="4"/>
      <c r="J36" s="4"/>
      <c r="K36" s="4"/>
      <c r="L36" s="7"/>
      <c r="M36" s="7"/>
      <c r="N36" s="7"/>
      <c r="O36" s="7"/>
      <c r="P36" s="7"/>
      <c r="Q36" s="7"/>
      <c r="R36" s="4"/>
      <c r="S36" s="7"/>
      <c r="T36" s="4"/>
      <c r="U36" s="4"/>
      <c r="V36" s="7"/>
      <c r="W36" s="7"/>
      <c r="X36" s="7"/>
      <c r="Y36" s="7"/>
    </row>
    <row r="37">
      <c r="A37" s="4"/>
      <c r="B37" s="4"/>
      <c r="C37" s="8"/>
      <c r="D37" s="5"/>
      <c r="E37" s="6"/>
      <c r="F37" s="6"/>
      <c r="G37" s="6"/>
      <c r="H37" s="4"/>
      <c r="I37" s="4"/>
      <c r="J37" s="4"/>
      <c r="K37" s="4"/>
      <c r="L37" s="7"/>
      <c r="M37" s="7"/>
      <c r="N37" s="7"/>
      <c r="O37" s="7"/>
      <c r="P37" s="7"/>
      <c r="Q37" s="7"/>
      <c r="R37" s="4"/>
      <c r="S37" s="7"/>
      <c r="T37" s="7"/>
      <c r="U37" s="7"/>
      <c r="V37" s="7"/>
      <c r="W37" s="4"/>
      <c r="X37" s="7"/>
      <c r="Y37" s="7"/>
    </row>
    <row r="38">
      <c r="A38" s="4"/>
      <c r="B38" s="4"/>
      <c r="C38" s="8"/>
      <c r="D38" s="5"/>
      <c r="E38" s="6"/>
      <c r="F38" s="6"/>
      <c r="G38" s="6"/>
      <c r="H38" s="4"/>
      <c r="I38" s="4"/>
      <c r="J38" s="4"/>
      <c r="K38" s="4"/>
      <c r="L38" s="4"/>
      <c r="M38" s="7"/>
      <c r="N38" s="7"/>
      <c r="O38" s="7"/>
      <c r="P38" s="7"/>
      <c r="Q38" s="4"/>
      <c r="R38" s="7"/>
      <c r="S38" s="7"/>
      <c r="T38" s="7"/>
      <c r="U38" s="7"/>
      <c r="V38" s="7"/>
      <c r="W38" s="4"/>
      <c r="X38" s="7"/>
      <c r="Y38" s="7"/>
    </row>
    <row r="39">
      <c r="A39" s="4"/>
      <c r="B39" s="4"/>
      <c r="C39" s="8"/>
      <c r="D39" s="5"/>
      <c r="E39" s="6"/>
      <c r="F39" s="6"/>
      <c r="G39" s="6"/>
      <c r="H39" s="4"/>
      <c r="I39" s="4"/>
      <c r="J39" s="4"/>
      <c r="K39" s="4"/>
      <c r="L39" s="7"/>
      <c r="M39" s="7"/>
      <c r="N39" s="7"/>
      <c r="O39" s="4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4"/>
      <c r="B40" s="8"/>
      <c r="C40" s="4"/>
      <c r="D40" s="5"/>
      <c r="E40" s="6"/>
      <c r="F40" s="6"/>
      <c r="G40" s="6"/>
      <c r="H40" s="4"/>
      <c r="I40" s="4"/>
      <c r="J40" s="4"/>
      <c r="K40" s="4"/>
      <c r="L40" s="7"/>
      <c r="M40" s="7"/>
      <c r="N40" s="7"/>
      <c r="O40" s="7"/>
      <c r="P40" s="7"/>
      <c r="Q40" s="7"/>
      <c r="R40" s="7"/>
      <c r="S40" s="7"/>
      <c r="T40" s="7"/>
      <c r="U40" s="4"/>
      <c r="V40" s="7"/>
      <c r="W40" s="7"/>
      <c r="X40" s="7"/>
      <c r="Y40" s="7"/>
    </row>
    <row r="41">
      <c r="A41" s="4"/>
      <c r="B41" s="8"/>
      <c r="C41" s="8"/>
      <c r="D41" s="5"/>
      <c r="E41" s="6"/>
      <c r="F41" s="6"/>
      <c r="G41" s="6"/>
      <c r="H41" s="4"/>
      <c r="I41" s="4"/>
      <c r="J41" s="4"/>
      <c r="K41" s="4"/>
      <c r="L41" s="7"/>
      <c r="M41" s="7"/>
      <c r="N41" s="7"/>
      <c r="O41" s="7"/>
      <c r="P41" s="7"/>
      <c r="Q41" s="7"/>
      <c r="R41" s="7"/>
      <c r="S41" s="7"/>
      <c r="T41" s="7"/>
      <c r="U41" s="4"/>
      <c r="V41" s="7"/>
      <c r="W41" s="7"/>
      <c r="X41" s="7"/>
      <c r="Y41" s="7"/>
    </row>
    <row r="42">
      <c r="A42" s="4"/>
      <c r="B42" s="8"/>
      <c r="C42" s="8"/>
      <c r="D42" s="5"/>
      <c r="E42" s="6"/>
      <c r="F42" s="6"/>
      <c r="G42" s="6"/>
      <c r="H42" s="4"/>
      <c r="I42" s="4"/>
      <c r="J42" s="4"/>
      <c r="K42" s="4"/>
      <c r="L42" s="7"/>
      <c r="M42" s="7"/>
      <c r="N42" s="7"/>
      <c r="O42" s="7"/>
      <c r="P42" s="7"/>
      <c r="Q42" s="7"/>
      <c r="R42" s="7"/>
      <c r="S42" s="7"/>
      <c r="T42" s="7"/>
      <c r="U42" s="4"/>
      <c r="V42" s="7"/>
      <c r="W42" s="7"/>
      <c r="X42" s="7"/>
      <c r="Y42" s="7"/>
    </row>
    <row r="43">
      <c r="A43" s="4"/>
      <c r="B43" s="4"/>
      <c r="C43" s="8"/>
      <c r="D43" s="5"/>
      <c r="E43" s="6"/>
      <c r="F43" s="6"/>
      <c r="G43" s="6"/>
      <c r="H43" s="4"/>
      <c r="I43" s="4"/>
      <c r="J43" s="4"/>
      <c r="K43" s="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4"/>
      <c r="B44" s="4"/>
      <c r="C44" s="8"/>
      <c r="D44" s="5"/>
      <c r="E44" s="6"/>
      <c r="F44" s="6"/>
      <c r="G44" s="6"/>
      <c r="H44" s="4"/>
      <c r="I44" s="4"/>
      <c r="J44" s="4"/>
      <c r="K44" s="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4"/>
      <c r="B45" s="4"/>
      <c r="C45" s="8"/>
      <c r="D45" s="5"/>
      <c r="E45" s="6"/>
      <c r="F45" s="6"/>
      <c r="G45" s="6"/>
      <c r="H45" s="4"/>
      <c r="I45" s="4"/>
      <c r="J45" s="4"/>
      <c r="K45" s="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4"/>
      <c r="B46" s="4"/>
      <c r="C46" s="8"/>
      <c r="D46" s="5"/>
      <c r="E46" s="6"/>
      <c r="F46" s="6"/>
      <c r="G46" s="6"/>
      <c r="H46" s="4"/>
      <c r="I46" s="4"/>
      <c r="J46" s="4"/>
      <c r="K46" s="4"/>
      <c r="L46" s="7"/>
      <c r="M46" s="7"/>
      <c r="N46" s="7"/>
      <c r="O46" s="4"/>
      <c r="P46" s="4"/>
      <c r="Q46" s="4"/>
      <c r="R46" s="7"/>
      <c r="S46" s="7"/>
      <c r="T46" s="4"/>
      <c r="U46" s="7"/>
      <c r="V46" s="7"/>
      <c r="W46" s="7"/>
      <c r="X46" s="7"/>
      <c r="Y46" s="7"/>
    </row>
    <row r="47">
      <c r="A47" s="4"/>
      <c r="B47" s="4"/>
      <c r="C47" s="8"/>
      <c r="D47" s="5"/>
      <c r="E47" s="6"/>
      <c r="F47" s="6"/>
      <c r="G47" s="6"/>
      <c r="H47" s="4"/>
      <c r="I47" s="4"/>
      <c r="J47" s="4"/>
      <c r="K47" s="4"/>
      <c r="L47" s="4"/>
      <c r="M47" s="7"/>
      <c r="N47" s="7"/>
      <c r="O47" s="7"/>
      <c r="P47" s="7"/>
      <c r="Q47" s="4"/>
      <c r="R47" s="7"/>
      <c r="S47" s="7"/>
      <c r="T47" s="7"/>
      <c r="U47" s="7"/>
      <c r="V47" s="7"/>
      <c r="W47" s="4"/>
      <c r="X47" s="7"/>
      <c r="Y47" s="7"/>
    </row>
    <row r="48">
      <c r="A48" s="4"/>
      <c r="B48" s="4"/>
      <c r="C48" s="8"/>
      <c r="D48" s="5"/>
      <c r="E48" s="6"/>
      <c r="F48" s="6"/>
      <c r="G48" s="6"/>
      <c r="H48" s="4"/>
      <c r="I48" s="4"/>
      <c r="J48" s="4"/>
      <c r="K48" s="4"/>
      <c r="L48" s="7"/>
      <c r="M48" s="7"/>
      <c r="N48" s="7"/>
      <c r="O48" s="4"/>
      <c r="P48" s="7"/>
      <c r="Q48" s="4"/>
      <c r="R48" s="7"/>
      <c r="S48" s="7"/>
      <c r="T48" s="7"/>
      <c r="U48" s="7"/>
      <c r="V48" s="7"/>
      <c r="W48" s="7"/>
      <c r="X48" s="7"/>
      <c r="Y48" s="7"/>
    </row>
    <row r="49">
      <c r="A49" s="4"/>
      <c r="B49" s="4"/>
      <c r="C49" s="8"/>
      <c r="D49" s="5"/>
      <c r="E49" s="6"/>
      <c r="F49" s="6"/>
      <c r="G49" s="6"/>
      <c r="H49" s="4"/>
      <c r="I49" s="4"/>
      <c r="J49" s="4"/>
      <c r="K49" s="4"/>
      <c r="L49" s="7"/>
      <c r="M49" s="7"/>
      <c r="N49" s="7"/>
      <c r="O49" s="4"/>
      <c r="P49" s="7"/>
      <c r="Q49" s="7"/>
      <c r="R49" s="7"/>
      <c r="S49" s="4"/>
      <c r="T49" s="7"/>
      <c r="U49" s="7"/>
      <c r="V49" s="7"/>
      <c r="W49" s="7"/>
      <c r="X49" s="7"/>
      <c r="Y49" s="7"/>
    </row>
    <row r="50">
      <c r="A50" s="4"/>
      <c r="B50" s="4"/>
      <c r="C50" s="8"/>
      <c r="D50" s="5"/>
      <c r="E50" s="6"/>
      <c r="F50" s="6"/>
      <c r="G50" s="6"/>
      <c r="H50" s="4"/>
      <c r="I50" s="4"/>
      <c r="J50" s="4"/>
      <c r="K50" s="4"/>
      <c r="L50" s="7"/>
      <c r="M50" s="7"/>
      <c r="N50" s="7"/>
      <c r="O50" s="4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4"/>
      <c r="B51" s="4"/>
      <c r="C51" s="8"/>
      <c r="D51" s="5"/>
      <c r="E51" s="6"/>
      <c r="F51" s="6"/>
      <c r="G51" s="6"/>
      <c r="H51" s="4"/>
      <c r="I51" s="4"/>
      <c r="J51" s="4"/>
      <c r="K51" s="4"/>
      <c r="L51" s="7"/>
      <c r="M51" s="7"/>
      <c r="N51" s="7"/>
      <c r="O51" s="4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4"/>
      <c r="B52" s="4"/>
      <c r="C52" s="8"/>
      <c r="D52" s="5"/>
      <c r="E52" s="6"/>
      <c r="F52" s="6"/>
      <c r="G52" s="6"/>
      <c r="H52" s="4"/>
      <c r="I52" s="4"/>
      <c r="J52" s="4"/>
      <c r="K52" s="4"/>
      <c r="L52" s="7"/>
      <c r="M52" s="7"/>
      <c r="N52" s="7"/>
      <c r="O52" s="4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4"/>
      <c r="B53" s="4"/>
      <c r="C53" s="8"/>
      <c r="D53" s="5"/>
      <c r="E53" s="6"/>
      <c r="F53" s="6"/>
      <c r="G53" s="6"/>
      <c r="H53" s="4"/>
      <c r="I53" s="4"/>
      <c r="J53" s="4"/>
      <c r="K53" s="4"/>
      <c r="L53" s="4"/>
      <c r="M53" s="7"/>
      <c r="N53" s="7"/>
      <c r="O53" s="7"/>
      <c r="P53" s="7"/>
      <c r="Q53" s="4"/>
      <c r="R53" s="7"/>
      <c r="S53" s="7"/>
      <c r="T53" s="7"/>
      <c r="U53" s="7"/>
      <c r="V53" s="7"/>
      <c r="W53" s="7"/>
      <c r="X53" s="7"/>
      <c r="Y53" s="7"/>
    </row>
    <row r="54">
      <c r="A54" s="4"/>
      <c r="B54" s="4"/>
      <c r="C54" s="8"/>
      <c r="D54" s="5"/>
      <c r="E54" s="6"/>
      <c r="F54" s="6"/>
      <c r="G54" s="6"/>
      <c r="H54" s="4"/>
      <c r="I54" s="4"/>
      <c r="J54" s="4"/>
      <c r="K54" s="4"/>
      <c r="L54" s="7"/>
      <c r="M54" s="7"/>
      <c r="N54" s="7"/>
      <c r="O54" s="4"/>
      <c r="P54" s="4"/>
      <c r="Q54" s="4"/>
      <c r="R54" s="7"/>
      <c r="S54" s="7"/>
      <c r="T54" s="7"/>
      <c r="U54" s="4"/>
      <c r="V54" s="7"/>
      <c r="W54" s="4"/>
      <c r="X54" s="7"/>
      <c r="Y54" s="7"/>
    </row>
    <row r="55">
      <c r="A55" s="4"/>
      <c r="B55" s="4"/>
      <c r="C55" s="8"/>
      <c r="D55" s="5"/>
      <c r="E55" s="6"/>
      <c r="F55" s="6"/>
      <c r="G55" s="6"/>
      <c r="H55" s="4"/>
      <c r="I55" s="4"/>
      <c r="J55" s="4"/>
      <c r="K55" s="4"/>
      <c r="L55" s="7"/>
      <c r="M55" s="7"/>
      <c r="N55" s="7"/>
      <c r="O55" s="4"/>
      <c r="P55" s="4"/>
      <c r="Q55" s="4"/>
      <c r="R55" s="7"/>
      <c r="S55" s="7"/>
      <c r="T55" s="7"/>
      <c r="U55" s="4"/>
      <c r="V55" s="7"/>
      <c r="W55" s="4"/>
      <c r="X55" s="7"/>
      <c r="Y55" s="7"/>
    </row>
    <row r="56">
      <c r="A56" s="4"/>
      <c r="B56" s="4"/>
      <c r="C56" s="8"/>
      <c r="D56" s="5"/>
      <c r="E56" s="6"/>
      <c r="F56" s="6"/>
      <c r="G56" s="6"/>
      <c r="H56" s="4"/>
      <c r="I56" s="4"/>
      <c r="J56" s="4"/>
      <c r="K56" s="4"/>
      <c r="L56" s="7"/>
      <c r="M56" s="7"/>
      <c r="N56" s="7"/>
      <c r="O56" s="7"/>
      <c r="P56" s="4"/>
      <c r="Q56" s="4"/>
      <c r="R56" s="7"/>
      <c r="S56" s="7"/>
      <c r="T56" s="7"/>
      <c r="U56" s="7"/>
      <c r="V56" s="7"/>
      <c r="W56" s="7"/>
      <c r="X56" s="7"/>
      <c r="Y56" s="7"/>
    </row>
    <row r="57">
      <c r="A57" s="4"/>
      <c r="B57" s="4"/>
      <c r="C57" s="8"/>
      <c r="D57" s="5"/>
      <c r="E57" s="6"/>
      <c r="F57" s="6"/>
      <c r="G57" s="6"/>
      <c r="H57" s="4"/>
      <c r="I57" s="4"/>
      <c r="J57" s="4"/>
      <c r="K57" s="4"/>
      <c r="L57" s="7"/>
      <c r="M57" s="7"/>
      <c r="N57" s="7"/>
      <c r="O57" s="7"/>
      <c r="P57" s="4"/>
      <c r="Q57" s="4"/>
      <c r="R57" s="7"/>
      <c r="S57" s="7"/>
      <c r="T57" s="7"/>
      <c r="U57" s="7"/>
      <c r="V57" s="7"/>
      <c r="W57" s="7"/>
      <c r="X57" s="7"/>
      <c r="Y57" s="7"/>
    </row>
    <row r="58">
      <c r="A58" s="4"/>
      <c r="B58" s="4"/>
      <c r="C58" s="8"/>
      <c r="D58" s="5"/>
      <c r="E58" s="6"/>
      <c r="F58" s="6"/>
      <c r="G58" s="6"/>
      <c r="H58" s="4"/>
      <c r="I58" s="4"/>
      <c r="J58" s="4"/>
      <c r="K58" s="4"/>
      <c r="L58" s="4"/>
      <c r="M58" s="7"/>
      <c r="N58" s="7"/>
      <c r="O58" s="4"/>
      <c r="P58" s="4"/>
      <c r="Q58" s="7"/>
      <c r="R58" s="7"/>
      <c r="S58" s="7"/>
      <c r="T58" s="7"/>
      <c r="U58" s="7"/>
      <c r="V58" s="7"/>
      <c r="W58" s="7"/>
      <c r="X58" s="7"/>
      <c r="Y58" s="7"/>
    </row>
    <row r="59">
      <c r="A59" s="4"/>
      <c r="B59" s="4"/>
      <c r="C59" s="8"/>
      <c r="D59" s="5"/>
      <c r="E59" s="6"/>
      <c r="F59" s="6"/>
      <c r="G59" s="6"/>
      <c r="H59" s="4"/>
      <c r="I59" s="4"/>
      <c r="J59" s="4"/>
      <c r="K59" s="4"/>
      <c r="L59" s="4"/>
      <c r="M59" s="7"/>
      <c r="N59" s="7"/>
      <c r="O59" s="7"/>
      <c r="P59" s="7"/>
      <c r="Q59" s="4"/>
      <c r="R59" s="7"/>
      <c r="S59" s="7"/>
      <c r="T59" s="7"/>
      <c r="U59" s="7"/>
      <c r="V59" s="7"/>
      <c r="W59" s="4"/>
      <c r="X59" s="7"/>
      <c r="Y59" s="7"/>
    </row>
    <row r="60">
      <c r="A60" s="4"/>
      <c r="B60" s="4"/>
      <c r="C60" s="8"/>
      <c r="D60" s="5"/>
      <c r="E60" s="6"/>
      <c r="F60" s="6"/>
      <c r="G60" s="6"/>
      <c r="H60" s="4"/>
      <c r="I60" s="4"/>
      <c r="J60" s="4"/>
      <c r="K60" s="4"/>
      <c r="L60" s="4"/>
      <c r="M60" s="7"/>
      <c r="N60" s="7"/>
      <c r="O60" s="4"/>
      <c r="P60" s="4"/>
      <c r="Q60" s="4"/>
      <c r="R60" s="7"/>
      <c r="S60" s="7"/>
      <c r="T60" s="7"/>
      <c r="U60" s="7"/>
      <c r="V60" s="7"/>
      <c r="W60" s="7"/>
      <c r="X60" s="7"/>
      <c r="Y60" s="7"/>
    </row>
    <row r="61">
      <c r="A61" s="4"/>
      <c r="B61" s="4"/>
      <c r="C61" s="8"/>
      <c r="D61" s="5"/>
      <c r="E61" s="6"/>
      <c r="F61" s="6"/>
      <c r="G61" s="6"/>
      <c r="H61" s="4"/>
      <c r="I61" s="4"/>
      <c r="J61" s="4"/>
      <c r="K61" s="4"/>
      <c r="L61" s="4"/>
      <c r="M61" s="7"/>
      <c r="N61" s="7"/>
      <c r="O61" s="7"/>
      <c r="P61" s="4"/>
      <c r="Q61" s="4"/>
      <c r="R61" s="7"/>
      <c r="S61" s="7"/>
      <c r="T61" s="7"/>
      <c r="U61" s="7"/>
      <c r="V61" s="7"/>
      <c r="W61" s="4"/>
      <c r="X61" s="7"/>
      <c r="Y61" s="7"/>
    </row>
    <row r="62">
      <c r="A62" s="4"/>
      <c r="B62" s="4"/>
      <c r="C62" s="8"/>
      <c r="D62" s="5"/>
      <c r="E62" s="6"/>
      <c r="F62" s="6"/>
      <c r="G62" s="6"/>
      <c r="H62" s="4"/>
      <c r="I62" s="4"/>
      <c r="J62" s="4"/>
      <c r="K62" s="4"/>
      <c r="L62" s="7"/>
      <c r="M62" s="7"/>
      <c r="N62" s="7"/>
      <c r="O62" s="4"/>
      <c r="P62" s="7"/>
      <c r="Q62" s="7"/>
      <c r="R62" s="7"/>
      <c r="S62" s="4"/>
      <c r="T62" s="7"/>
      <c r="U62" s="7"/>
      <c r="V62" s="7"/>
      <c r="W62" s="7"/>
      <c r="X62" s="7"/>
      <c r="Y62" s="7"/>
    </row>
    <row r="63">
      <c r="A63" s="4"/>
      <c r="B63" s="4"/>
      <c r="C63" s="8"/>
      <c r="D63" s="5"/>
      <c r="E63" s="6"/>
      <c r="F63" s="6"/>
      <c r="G63" s="6"/>
      <c r="H63" s="4"/>
      <c r="I63" s="4"/>
      <c r="J63" s="4"/>
      <c r="K63" s="4"/>
      <c r="L63" s="4"/>
      <c r="M63" s="7"/>
      <c r="N63" s="7"/>
      <c r="O63" s="7"/>
      <c r="P63" s="7"/>
      <c r="Q63" s="7"/>
      <c r="R63" s="7"/>
      <c r="S63" s="7"/>
      <c r="T63" s="7"/>
      <c r="U63" s="7"/>
      <c r="V63" s="7"/>
      <c r="W63" s="4"/>
      <c r="X63" s="7"/>
      <c r="Y63" s="7"/>
    </row>
    <row r="64">
      <c r="A64" s="4"/>
      <c r="B64" s="4"/>
      <c r="C64" s="8"/>
      <c r="D64" s="5"/>
      <c r="E64" s="6"/>
      <c r="F64" s="6"/>
      <c r="G64" s="6"/>
      <c r="H64" s="4"/>
      <c r="I64" s="4"/>
      <c r="J64" s="4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4"/>
      <c r="B65" s="4"/>
      <c r="C65" s="8"/>
      <c r="D65" s="5"/>
      <c r="E65" s="6"/>
      <c r="F65" s="6"/>
      <c r="G65" s="6"/>
      <c r="H65" s="4"/>
      <c r="I65" s="4"/>
      <c r="J65" s="4"/>
      <c r="K65" s="4"/>
      <c r="L65" s="4"/>
      <c r="M65" s="7"/>
      <c r="N65" s="7"/>
      <c r="O65" s="7"/>
      <c r="P65" s="4"/>
      <c r="Q65" s="4"/>
      <c r="R65" s="7"/>
      <c r="S65" s="7"/>
      <c r="T65" s="7"/>
      <c r="U65" s="7"/>
      <c r="V65" s="7"/>
      <c r="W65" s="7"/>
      <c r="X65" s="7"/>
      <c r="Y65" s="7"/>
    </row>
    <row r="66">
      <c r="A66" s="4"/>
      <c r="B66" s="4"/>
      <c r="C66" s="8"/>
      <c r="D66" s="5"/>
      <c r="E66" s="6"/>
      <c r="F66" s="6"/>
      <c r="G66" s="6"/>
      <c r="H66" s="4"/>
      <c r="I66" s="4"/>
      <c r="J66" s="4"/>
      <c r="K66" s="4"/>
      <c r="L66" s="7"/>
      <c r="M66" s="7"/>
      <c r="N66" s="7"/>
      <c r="O66" s="7"/>
      <c r="P66" s="4"/>
      <c r="Q66" s="7"/>
      <c r="R66" s="7"/>
      <c r="S66" s="7"/>
      <c r="T66" s="7"/>
      <c r="U66" s="7"/>
      <c r="V66" s="7"/>
      <c r="W66" s="7"/>
      <c r="X66" s="7"/>
      <c r="Y66" s="7"/>
    </row>
    <row r="67">
      <c r="A67" s="4"/>
      <c r="B67" s="4"/>
      <c r="C67" s="8"/>
      <c r="D67" s="5"/>
      <c r="E67" s="6"/>
      <c r="F67" s="6"/>
      <c r="G67" s="6"/>
      <c r="H67" s="4"/>
      <c r="I67" s="4"/>
      <c r="J67" s="4"/>
      <c r="K67" s="4"/>
      <c r="L67" s="7"/>
      <c r="M67" s="7"/>
      <c r="N67" s="7"/>
      <c r="O67" s="4"/>
      <c r="P67" s="7"/>
      <c r="Q67" s="7"/>
      <c r="R67" s="7"/>
      <c r="S67" s="7"/>
      <c r="T67" s="4"/>
      <c r="U67" s="7"/>
      <c r="V67" s="7"/>
      <c r="W67" s="4"/>
      <c r="X67" s="7"/>
      <c r="Y67" s="7"/>
    </row>
    <row r="68">
      <c r="A68" s="4"/>
      <c r="B68" s="4"/>
      <c r="C68" s="8"/>
      <c r="D68" s="5"/>
      <c r="E68" s="6"/>
      <c r="F68" s="6"/>
      <c r="G68" s="6"/>
      <c r="H68" s="4"/>
      <c r="I68" s="4"/>
      <c r="J68" s="4"/>
      <c r="K68" s="4"/>
      <c r="L68" s="7"/>
      <c r="M68" s="7"/>
      <c r="N68" s="7"/>
      <c r="O68" s="4"/>
      <c r="P68" s="4"/>
      <c r="Q68" s="4"/>
      <c r="R68" s="7"/>
      <c r="S68" s="7"/>
      <c r="T68" s="7"/>
      <c r="U68" s="4"/>
      <c r="V68" s="7"/>
      <c r="W68" s="7"/>
      <c r="X68" s="7"/>
      <c r="Y68" s="7"/>
    </row>
    <row r="69">
      <c r="A69" s="4"/>
      <c r="B69" s="4"/>
      <c r="C69" s="8"/>
      <c r="D69" s="5"/>
      <c r="E69" s="6"/>
      <c r="F69" s="6"/>
      <c r="G69" s="6"/>
      <c r="H69" s="4"/>
      <c r="I69" s="4"/>
      <c r="J69" s="4"/>
      <c r="K69" s="4"/>
      <c r="L69" s="7"/>
      <c r="M69" s="7"/>
      <c r="N69" s="7"/>
      <c r="O69" s="4"/>
      <c r="P69" s="4"/>
      <c r="Q69" s="4"/>
      <c r="R69" s="7"/>
      <c r="S69" s="7"/>
      <c r="T69" s="7"/>
      <c r="U69" s="4"/>
      <c r="V69" s="7"/>
      <c r="W69" s="7"/>
      <c r="X69" s="7"/>
      <c r="Y69" s="7"/>
    </row>
    <row r="70">
      <c r="A70" s="4"/>
      <c r="B70" s="4"/>
      <c r="C70" s="8"/>
      <c r="D70" s="5"/>
      <c r="E70" s="6"/>
      <c r="F70" s="6"/>
      <c r="G70" s="6"/>
      <c r="H70" s="4"/>
      <c r="I70" s="4"/>
      <c r="J70" s="4"/>
      <c r="K70" s="4"/>
      <c r="L70" s="7"/>
      <c r="M70" s="7"/>
      <c r="N70" s="7"/>
      <c r="O70" s="4"/>
      <c r="P70" s="7"/>
      <c r="Q70" s="7"/>
      <c r="R70" s="7"/>
      <c r="S70" s="7"/>
      <c r="T70" s="4"/>
      <c r="U70" s="7"/>
      <c r="V70" s="7"/>
      <c r="W70" s="7"/>
      <c r="X70" s="7"/>
      <c r="Y70" s="7"/>
    </row>
    <row r="71">
      <c r="A71" s="4"/>
      <c r="B71" s="4"/>
      <c r="C71" s="8"/>
      <c r="D71" s="5"/>
      <c r="E71" s="6"/>
      <c r="F71" s="6"/>
      <c r="G71" s="6"/>
      <c r="H71" s="4"/>
      <c r="I71" s="4"/>
      <c r="J71" s="4"/>
      <c r="K71" s="4"/>
      <c r="L71" s="7"/>
      <c r="M71" s="7"/>
      <c r="N71" s="7"/>
      <c r="O71" s="7"/>
      <c r="P71" s="7"/>
      <c r="Q71" s="7"/>
      <c r="R71" s="7"/>
      <c r="S71" s="7"/>
      <c r="T71" s="4"/>
      <c r="U71" s="7"/>
      <c r="V71" s="7"/>
      <c r="W71" s="4"/>
      <c r="X71" s="7"/>
      <c r="Y71" s="7"/>
    </row>
    <row r="72">
      <c r="A72" s="4"/>
      <c r="B72" s="4"/>
      <c r="C72" s="8"/>
      <c r="D72" s="5"/>
      <c r="E72" s="6"/>
      <c r="F72" s="6"/>
      <c r="G72" s="6"/>
      <c r="H72" s="4"/>
      <c r="I72" s="4"/>
      <c r="J72" s="4"/>
      <c r="K72" s="4"/>
      <c r="L72" s="7"/>
      <c r="M72" s="7"/>
      <c r="N72" s="7"/>
      <c r="O72" s="7"/>
      <c r="P72" s="7"/>
      <c r="Q72" s="4"/>
      <c r="R72" s="7"/>
      <c r="S72" s="7"/>
      <c r="T72" s="7"/>
      <c r="U72" s="7"/>
      <c r="V72" s="7"/>
      <c r="W72" s="7"/>
      <c r="X72" s="7"/>
      <c r="Y72" s="7"/>
    </row>
    <row r="73">
      <c r="A73" s="4"/>
      <c r="B73" s="4"/>
      <c r="C73" s="8"/>
      <c r="D73" s="5"/>
      <c r="E73" s="6"/>
      <c r="F73" s="6"/>
      <c r="G73" s="6"/>
      <c r="H73" s="4"/>
      <c r="I73" s="4"/>
      <c r="J73" s="4"/>
      <c r="K73" s="4"/>
      <c r="L73" s="4"/>
      <c r="M73" s="7"/>
      <c r="N73" s="7"/>
      <c r="O73" s="7"/>
      <c r="P73" s="4"/>
      <c r="Q73" s="4"/>
      <c r="R73" s="7"/>
      <c r="S73" s="7"/>
      <c r="T73" s="7"/>
      <c r="U73" s="7"/>
      <c r="V73" s="7"/>
      <c r="W73" s="7"/>
      <c r="X73" s="7"/>
      <c r="Y73" s="7"/>
    </row>
    <row r="74">
      <c r="A74" s="4"/>
      <c r="B74" s="4"/>
      <c r="C74" s="8"/>
      <c r="D74" s="5"/>
      <c r="E74" s="6"/>
      <c r="F74" s="6"/>
      <c r="G74" s="6"/>
      <c r="H74" s="4"/>
      <c r="I74" s="4"/>
      <c r="J74" s="4"/>
      <c r="K74" s="4"/>
      <c r="L74" s="7"/>
      <c r="M74" s="7"/>
      <c r="N74" s="7"/>
      <c r="O74" s="4"/>
      <c r="P74" s="7"/>
      <c r="Q74" s="7"/>
      <c r="R74" s="7"/>
      <c r="S74" s="7"/>
      <c r="T74" s="4"/>
      <c r="U74" s="7"/>
      <c r="V74" s="7"/>
      <c r="W74" s="7"/>
      <c r="X74" s="7"/>
      <c r="Y74" s="7"/>
    </row>
    <row r="75">
      <c r="A75" s="4"/>
      <c r="B75" s="4"/>
      <c r="C75" s="8"/>
      <c r="D75" s="5"/>
      <c r="E75" s="6"/>
      <c r="F75" s="6"/>
      <c r="G75" s="6"/>
      <c r="H75" s="4"/>
      <c r="I75" s="4"/>
      <c r="J75" s="4"/>
      <c r="K75" s="4"/>
      <c r="L75" s="7"/>
      <c r="M75" s="7"/>
      <c r="N75" s="7"/>
      <c r="O75" s="7"/>
      <c r="P75" s="4"/>
      <c r="Q75" s="4"/>
      <c r="R75" s="4"/>
      <c r="S75" s="7"/>
      <c r="T75" s="4"/>
      <c r="U75" s="4"/>
      <c r="V75" s="7"/>
      <c r="W75" s="4"/>
      <c r="X75" s="4"/>
      <c r="Y75" s="4"/>
    </row>
    <row r="76">
      <c r="A76" s="4"/>
      <c r="B76" s="4"/>
      <c r="C76" s="8"/>
      <c r="D76" s="5"/>
      <c r="E76" s="6"/>
      <c r="F76" s="6"/>
      <c r="G76" s="6"/>
      <c r="H76" s="4"/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4"/>
      <c r="B77" s="4"/>
      <c r="C77" s="8"/>
      <c r="D77" s="5"/>
      <c r="E77" s="6"/>
      <c r="F77" s="6"/>
      <c r="G77" s="6"/>
      <c r="H77" s="4"/>
      <c r="I77" s="4"/>
      <c r="J77" s="4"/>
      <c r="K77" s="4"/>
      <c r="L77" s="7"/>
      <c r="M77" s="4"/>
      <c r="N77" s="7"/>
      <c r="O77" s="7"/>
      <c r="P77" s="7"/>
      <c r="Q77" s="4"/>
      <c r="R77" s="7"/>
      <c r="S77" s="7"/>
      <c r="T77" s="7"/>
      <c r="U77" s="7"/>
      <c r="V77" s="7"/>
      <c r="W77" s="7"/>
      <c r="X77" s="7"/>
      <c r="Y77" s="7"/>
    </row>
    <row r="78">
      <c r="A78" s="4"/>
      <c r="B78" s="4"/>
      <c r="C78" s="8"/>
      <c r="D78" s="5"/>
      <c r="E78" s="6"/>
      <c r="F78" s="6"/>
      <c r="G78" s="6"/>
      <c r="H78" s="4"/>
      <c r="I78" s="4"/>
      <c r="J78" s="4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"/>
      <c r="X78" s="7"/>
      <c r="Y78" s="7"/>
    </row>
    <row r="79">
      <c r="A79" s="4"/>
      <c r="B79" s="4"/>
      <c r="C79" s="8"/>
      <c r="D79" s="5"/>
      <c r="E79" s="6"/>
      <c r="F79" s="6"/>
      <c r="G79" s="6"/>
      <c r="H79" s="4"/>
      <c r="I79" s="4"/>
      <c r="J79" s="4"/>
      <c r="K79" s="4"/>
      <c r="L79" s="7"/>
      <c r="M79" s="7"/>
      <c r="N79" s="7"/>
      <c r="O79" s="4"/>
      <c r="P79" s="7"/>
      <c r="Q79" s="4"/>
      <c r="R79" s="4"/>
      <c r="S79" s="7"/>
      <c r="T79" s="7"/>
      <c r="U79" s="4"/>
      <c r="V79" s="7"/>
      <c r="W79" s="7"/>
      <c r="X79" s="7"/>
      <c r="Y79" s="7"/>
    </row>
    <row r="80">
      <c r="A80" s="4"/>
      <c r="B80" s="4"/>
      <c r="C80" s="8"/>
      <c r="D80" s="5"/>
      <c r="E80" s="6"/>
      <c r="F80" s="6"/>
      <c r="G80" s="6"/>
      <c r="H80" s="4"/>
      <c r="I80" s="4"/>
      <c r="J80" s="4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4"/>
      <c r="B81" s="4"/>
      <c r="C81" s="8"/>
      <c r="D81" s="5"/>
      <c r="E81" s="6"/>
      <c r="F81" s="6"/>
      <c r="G81" s="6"/>
      <c r="H81" s="4"/>
      <c r="I81" s="4"/>
      <c r="J81" s="4"/>
      <c r="K81" s="4"/>
      <c r="L81" s="7"/>
      <c r="M81" s="7"/>
      <c r="N81" s="7"/>
      <c r="O81" s="7"/>
      <c r="P81" s="4"/>
      <c r="Q81" s="4"/>
      <c r="R81" s="7"/>
      <c r="S81" s="7"/>
      <c r="T81" s="7"/>
      <c r="U81" s="7"/>
      <c r="V81" s="7"/>
      <c r="W81" s="4"/>
      <c r="X81" s="7"/>
      <c r="Y81" s="7"/>
    </row>
    <row r="82">
      <c r="A82" s="4"/>
      <c r="B82" s="4"/>
      <c r="C82" s="8"/>
      <c r="D82" s="5"/>
      <c r="E82" s="6"/>
      <c r="F82" s="6"/>
      <c r="G82" s="6"/>
      <c r="H82" s="4"/>
      <c r="I82" s="4"/>
      <c r="J82" s="4"/>
      <c r="K82" s="4"/>
      <c r="L82" s="7"/>
      <c r="M82" s="7"/>
      <c r="N82" s="7"/>
      <c r="O82" s="7"/>
      <c r="P82" s="4"/>
      <c r="Q82" s="4"/>
      <c r="R82" s="4"/>
      <c r="S82" s="7"/>
      <c r="T82" s="7"/>
      <c r="U82" s="7"/>
      <c r="V82" s="7"/>
      <c r="W82" s="7"/>
      <c r="X82" s="7"/>
      <c r="Y82" s="7"/>
    </row>
    <row r="83">
      <c r="A83" s="4"/>
      <c r="B83" s="4"/>
      <c r="C83" s="8"/>
      <c r="D83" s="5"/>
      <c r="E83" s="6"/>
      <c r="F83" s="6"/>
      <c r="G83" s="6"/>
      <c r="H83" s="4"/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4"/>
      <c r="B84" s="4"/>
      <c r="C84" s="8"/>
      <c r="D84" s="5"/>
      <c r="E84" s="6"/>
      <c r="F84" s="6"/>
      <c r="G84" s="6"/>
      <c r="H84" s="4"/>
      <c r="I84" s="4"/>
      <c r="J84" s="4"/>
      <c r="K84" s="4"/>
      <c r="L84" s="7"/>
      <c r="M84" s="7"/>
      <c r="N84" s="7"/>
      <c r="O84" s="7"/>
      <c r="P84" s="4"/>
      <c r="Q84" s="4"/>
      <c r="R84" s="7"/>
      <c r="S84" s="7"/>
      <c r="T84" s="7"/>
      <c r="U84" s="7"/>
      <c r="V84" s="7"/>
      <c r="W84" s="7"/>
      <c r="X84" s="7"/>
      <c r="Y84" s="7"/>
    </row>
    <row r="85">
      <c r="A85" s="4"/>
      <c r="B85" s="4"/>
      <c r="C85" s="8"/>
      <c r="D85" s="5"/>
      <c r="E85" s="6"/>
      <c r="F85" s="6"/>
      <c r="G85" s="6"/>
      <c r="H85" s="4"/>
      <c r="I85" s="4"/>
      <c r="J85" s="4"/>
      <c r="K85" s="4"/>
      <c r="L85" s="7"/>
      <c r="M85" s="7"/>
      <c r="N85" s="7"/>
      <c r="O85" s="7"/>
      <c r="P85" s="7"/>
      <c r="Q85" s="4"/>
      <c r="R85" s="7"/>
      <c r="S85" s="7"/>
      <c r="T85" s="7"/>
      <c r="U85" s="7"/>
      <c r="V85" s="7"/>
      <c r="W85" s="7"/>
      <c r="X85" s="7"/>
      <c r="Y85" s="7"/>
    </row>
    <row r="86">
      <c r="A86" s="4"/>
      <c r="B86" s="4"/>
      <c r="C86" s="8"/>
      <c r="D86" s="5"/>
      <c r="E86" s="6"/>
      <c r="F86" s="6"/>
      <c r="G86" s="6"/>
      <c r="H86" s="4"/>
      <c r="I86" s="4"/>
      <c r="J86" s="4"/>
      <c r="K86" s="4"/>
      <c r="L86" s="7"/>
      <c r="M86" s="7"/>
      <c r="N86" s="7"/>
      <c r="O86" s="7"/>
      <c r="P86" s="7"/>
      <c r="Q86" s="7"/>
      <c r="R86" s="7"/>
      <c r="S86" s="7"/>
      <c r="T86" s="7"/>
      <c r="U86" s="4"/>
      <c r="V86" s="7"/>
      <c r="W86" s="7"/>
      <c r="X86" s="7"/>
      <c r="Y86" s="7"/>
    </row>
    <row r="87">
      <c r="A87" s="4"/>
      <c r="B87" s="4"/>
      <c r="C87" s="8"/>
      <c r="D87" s="5"/>
      <c r="E87" s="6"/>
      <c r="F87" s="6"/>
      <c r="G87" s="6"/>
      <c r="H87" s="4"/>
      <c r="I87" s="4"/>
      <c r="J87" s="4"/>
      <c r="K87" s="4"/>
      <c r="L87" s="7"/>
      <c r="M87" s="7"/>
      <c r="N87" s="7"/>
      <c r="O87" s="7"/>
      <c r="P87" s="7"/>
      <c r="Q87" s="7"/>
      <c r="R87" s="7"/>
      <c r="S87" s="7"/>
      <c r="T87" s="7"/>
      <c r="U87" s="4"/>
      <c r="V87" s="7"/>
      <c r="W87" s="7"/>
      <c r="X87" s="7"/>
      <c r="Y87" s="7"/>
    </row>
    <row r="88">
      <c r="A88" s="4"/>
      <c r="B88" s="4"/>
      <c r="C88" s="8"/>
      <c r="D88" s="5"/>
      <c r="E88" s="6"/>
      <c r="F88" s="6"/>
      <c r="G88" s="6"/>
      <c r="H88" s="4"/>
      <c r="I88" s="4"/>
      <c r="J88" s="4"/>
      <c r="K88" s="4"/>
      <c r="L88" s="4"/>
      <c r="M88" s="7"/>
      <c r="N88" s="7"/>
      <c r="O88" s="7"/>
      <c r="P88" s="7"/>
      <c r="Q88" s="7"/>
      <c r="R88" s="7"/>
      <c r="S88" s="7"/>
      <c r="T88" s="7"/>
      <c r="U88" s="7"/>
      <c r="V88" s="7"/>
      <c r="W88" s="4"/>
      <c r="X88" s="7"/>
      <c r="Y88" s="7"/>
    </row>
    <row r="89">
      <c r="A89" s="4"/>
      <c r="B89" s="4"/>
      <c r="C89" s="8"/>
      <c r="D89" s="5"/>
      <c r="E89" s="6"/>
      <c r="F89" s="6"/>
      <c r="G89" s="6"/>
      <c r="H89" s="4"/>
      <c r="I89" s="4"/>
      <c r="J89" s="4"/>
      <c r="K89" s="4"/>
      <c r="L89" s="7"/>
      <c r="M89" s="7"/>
      <c r="N89" s="7"/>
      <c r="O89" s="7"/>
      <c r="P89" s="7"/>
      <c r="Q89" s="4"/>
      <c r="R89" s="7"/>
      <c r="S89" s="7"/>
      <c r="T89" s="7"/>
      <c r="U89" s="7"/>
      <c r="V89" s="7"/>
      <c r="W89" s="7"/>
      <c r="X89" s="7"/>
      <c r="Y89" s="7"/>
    </row>
    <row r="90">
      <c r="A90" s="4"/>
      <c r="B90" s="4"/>
      <c r="C90" s="8"/>
      <c r="D90" s="5"/>
      <c r="E90" s="6"/>
      <c r="F90" s="6"/>
      <c r="G90" s="6"/>
      <c r="H90" s="4"/>
      <c r="I90" s="4"/>
      <c r="J90" s="4"/>
      <c r="K90" s="4"/>
      <c r="L90" s="7"/>
      <c r="M90" s="7"/>
      <c r="N90" s="7"/>
      <c r="O90" s="7"/>
      <c r="P90" s="4"/>
      <c r="Q90" s="7"/>
      <c r="R90" s="7"/>
      <c r="S90" s="7"/>
      <c r="T90" s="7"/>
      <c r="U90" s="7"/>
      <c r="V90" s="7"/>
      <c r="W90" s="7"/>
      <c r="X90" s="7"/>
      <c r="Y90" s="7"/>
    </row>
    <row r="91">
      <c r="A91" s="4"/>
      <c r="B91" s="4"/>
      <c r="C91" s="8"/>
      <c r="D91" s="5"/>
      <c r="E91" s="6"/>
      <c r="F91" s="6"/>
      <c r="G91" s="6"/>
      <c r="H91" s="4"/>
      <c r="I91" s="4"/>
      <c r="J91" s="4"/>
      <c r="K91" s="4"/>
      <c r="L91" s="7"/>
      <c r="M91" s="7"/>
      <c r="N91" s="7"/>
      <c r="O91" s="7"/>
      <c r="P91" s="7"/>
      <c r="Q91" s="4"/>
      <c r="R91" s="4"/>
      <c r="S91" s="7"/>
      <c r="T91" s="7"/>
      <c r="U91" s="7"/>
      <c r="V91" s="7"/>
      <c r="W91" s="7"/>
      <c r="X91" s="7"/>
      <c r="Y91" s="7"/>
    </row>
    <row r="92">
      <c r="A92" s="4"/>
      <c r="B92" s="4"/>
      <c r="C92" s="8"/>
      <c r="D92" s="5"/>
      <c r="E92" s="6"/>
      <c r="F92" s="6"/>
      <c r="G92" s="6"/>
      <c r="H92" s="4"/>
      <c r="I92" s="4"/>
      <c r="J92" s="4"/>
      <c r="K92" s="4"/>
      <c r="L92" s="7"/>
      <c r="M92" s="7"/>
      <c r="N92" s="7"/>
      <c r="O92" s="7"/>
      <c r="P92" s="7"/>
      <c r="Q92" s="4"/>
      <c r="R92" s="7"/>
      <c r="S92" s="7"/>
      <c r="T92" s="7"/>
      <c r="U92" s="7"/>
      <c r="V92" s="7"/>
      <c r="W92" s="7"/>
      <c r="X92" s="7"/>
      <c r="Y92" s="7"/>
    </row>
    <row r="93">
      <c r="A93" s="4"/>
      <c r="B93" s="4"/>
      <c r="C93" s="8"/>
      <c r="D93" s="5"/>
      <c r="E93" s="6"/>
      <c r="F93" s="6"/>
      <c r="G93" s="6"/>
      <c r="H93" s="4"/>
      <c r="I93" s="4"/>
      <c r="J93" s="4"/>
      <c r="K93" s="4"/>
      <c r="L93" s="7"/>
      <c r="M93" s="7"/>
      <c r="N93" s="7"/>
      <c r="O93" s="4"/>
      <c r="P93" s="7"/>
      <c r="Q93" s="4"/>
      <c r="R93" s="7"/>
      <c r="S93" s="7"/>
      <c r="T93" s="7"/>
      <c r="U93" s="7"/>
      <c r="V93" s="7"/>
      <c r="W93" s="7"/>
      <c r="X93" s="7"/>
      <c r="Y93" s="7"/>
    </row>
    <row r="94">
      <c r="A94" s="4"/>
      <c r="B94" s="4"/>
      <c r="C94" s="8"/>
      <c r="D94" s="5"/>
      <c r="E94" s="6"/>
      <c r="F94" s="6"/>
      <c r="G94" s="6"/>
      <c r="H94" s="4"/>
      <c r="I94" s="4"/>
      <c r="J94" s="4"/>
      <c r="K94" s="4"/>
      <c r="L94" s="7"/>
      <c r="M94" s="7"/>
      <c r="N94" s="7"/>
      <c r="O94" s="4"/>
      <c r="P94" s="4"/>
      <c r="Q94" s="4"/>
      <c r="R94" s="7"/>
      <c r="S94" s="7"/>
      <c r="T94" s="4"/>
      <c r="U94" s="4"/>
      <c r="V94" s="7"/>
      <c r="W94" s="4"/>
      <c r="X94" s="7"/>
      <c r="Y94" s="7"/>
    </row>
    <row r="95">
      <c r="A95" s="4"/>
      <c r="B95" s="4"/>
      <c r="C95" s="8"/>
      <c r="D95" s="5"/>
      <c r="E95" s="6"/>
      <c r="F95" s="6"/>
      <c r="G95" s="6"/>
      <c r="H95" s="4"/>
      <c r="I95" s="4"/>
      <c r="J95" s="4"/>
      <c r="K95" s="4"/>
      <c r="L95" s="7"/>
      <c r="M95" s="7"/>
      <c r="N95" s="4"/>
      <c r="O95" s="4"/>
      <c r="P95" s="7"/>
      <c r="Q95" s="4"/>
      <c r="R95" s="7"/>
      <c r="S95" s="7"/>
      <c r="T95" s="7"/>
      <c r="U95" s="7"/>
      <c r="V95" s="7"/>
      <c r="W95" s="7"/>
      <c r="X95" s="7"/>
      <c r="Y95" s="7"/>
    </row>
    <row r="96">
      <c r="A96" s="4"/>
      <c r="B96" s="4"/>
      <c r="C96" s="8"/>
      <c r="D96" s="5"/>
      <c r="E96" s="6"/>
      <c r="F96" s="6"/>
      <c r="G96" s="6"/>
      <c r="H96" s="4"/>
      <c r="I96" s="4"/>
      <c r="J96" s="4"/>
      <c r="K96" s="4"/>
      <c r="L96" s="7"/>
      <c r="M96" s="7"/>
      <c r="N96" s="7"/>
      <c r="O96" s="7"/>
      <c r="P96" s="7"/>
      <c r="Q96" s="4"/>
      <c r="R96" s="7"/>
      <c r="S96" s="7"/>
      <c r="T96" s="7"/>
      <c r="U96" s="7"/>
      <c r="V96" s="7"/>
      <c r="W96" s="7"/>
      <c r="X96" s="7"/>
      <c r="Y96" s="7"/>
    </row>
    <row r="97">
      <c r="A97" s="4"/>
      <c r="B97" s="4"/>
      <c r="C97" s="8"/>
      <c r="D97" s="5"/>
      <c r="E97" s="6"/>
      <c r="F97" s="6"/>
      <c r="G97" s="6"/>
      <c r="H97" s="4"/>
      <c r="I97" s="4"/>
      <c r="J97" s="4"/>
      <c r="K97" s="4"/>
      <c r="L97" s="4"/>
      <c r="M97" s="7"/>
      <c r="N97" s="7"/>
      <c r="O97" s="7"/>
      <c r="P97" s="7"/>
      <c r="Q97" s="4"/>
      <c r="R97" s="7"/>
      <c r="S97" s="7"/>
      <c r="T97" s="7"/>
      <c r="U97" s="7"/>
      <c r="V97" s="7"/>
      <c r="W97" s="4"/>
      <c r="X97" s="7"/>
      <c r="Y97" s="7"/>
    </row>
    <row r="98">
      <c r="A98" s="4"/>
      <c r="B98" s="4"/>
      <c r="C98" s="8"/>
      <c r="D98" s="5"/>
      <c r="E98" s="6"/>
      <c r="F98" s="6"/>
      <c r="G98" s="6"/>
      <c r="H98" s="4"/>
      <c r="I98" s="4"/>
      <c r="J98" s="4"/>
      <c r="K98" s="4"/>
      <c r="L98" s="7"/>
      <c r="M98" s="7"/>
      <c r="N98" s="7"/>
      <c r="O98" s="7"/>
      <c r="P98" s="7"/>
      <c r="Q98" s="4"/>
      <c r="R98" s="7"/>
      <c r="S98" s="7"/>
      <c r="T98" s="7"/>
      <c r="U98" s="7"/>
      <c r="V98" s="7"/>
      <c r="W98" s="7"/>
      <c r="X98" s="7"/>
      <c r="Y98" s="7"/>
    </row>
    <row r="99">
      <c r="A99" s="4"/>
      <c r="B99" s="4"/>
      <c r="C99" s="8"/>
      <c r="D99" s="5"/>
      <c r="E99" s="6"/>
      <c r="F99" s="6"/>
      <c r="G99" s="6"/>
      <c r="H99" s="4"/>
      <c r="I99" s="4"/>
      <c r="J99" s="4"/>
      <c r="K99" s="4"/>
      <c r="L99" s="4"/>
      <c r="M99" s="7"/>
      <c r="N99" s="7"/>
      <c r="O99" s="7"/>
      <c r="P99" s="7"/>
      <c r="Q99" s="4"/>
      <c r="R99" s="7"/>
      <c r="S99" s="7"/>
      <c r="T99" s="7"/>
      <c r="U99" s="7"/>
      <c r="V99" s="7"/>
      <c r="W99" s="7"/>
      <c r="X99" s="7"/>
      <c r="Y99" s="7"/>
    </row>
    <row r="100">
      <c r="A100" s="4"/>
      <c r="B100" s="4"/>
      <c r="C100" s="8"/>
      <c r="D100" s="5"/>
      <c r="E100" s="6"/>
      <c r="F100" s="6"/>
      <c r="G100" s="6"/>
      <c r="H100" s="4"/>
      <c r="I100" s="4"/>
      <c r="J100" s="4"/>
      <c r="K100" s="4"/>
      <c r="L100" s="4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4"/>
      <c r="B101" s="4"/>
      <c r="C101" s="8"/>
      <c r="D101" s="5"/>
      <c r="E101" s="6"/>
      <c r="F101" s="6"/>
      <c r="G101" s="6"/>
      <c r="H101" s="4"/>
      <c r="I101" s="4"/>
      <c r="J101" s="4"/>
      <c r="K101" s="4"/>
      <c r="L101" s="4"/>
      <c r="M101" s="7"/>
      <c r="N101" s="7"/>
      <c r="O101" s="7"/>
      <c r="P101" s="7"/>
      <c r="Q101" s="4"/>
      <c r="R101" s="7"/>
      <c r="S101" s="7"/>
      <c r="T101" s="7"/>
      <c r="U101" s="7"/>
      <c r="V101" s="7"/>
      <c r="W101" s="7"/>
      <c r="X101" s="7"/>
      <c r="Y101" s="7"/>
    </row>
    <row r="102">
      <c r="A102" s="4"/>
      <c r="B102" s="4"/>
      <c r="C102" s="8"/>
      <c r="D102" s="5"/>
      <c r="E102" s="6"/>
      <c r="F102" s="6"/>
      <c r="G102" s="6"/>
      <c r="H102" s="4"/>
      <c r="I102" s="4"/>
      <c r="J102" s="4"/>
      <c r="K102" s="4"/>
      <c r="L102" s="4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4"/>
      <c r="B103" s="4"/>
      <c r="C103" s="8"/>
      <c r="D103" s="5"/>
      <c r="E103" s="6"/>
      <c r="F103" s="6"/>
      <c r="G103" s="6"/>
      <c r="H103" s="4"/>
      <c r="I103" s="4"/>
      <c r="J103" s="4"/>
      <c r="K103" s="4"/>
      <c r="L103" s="7"/>
      <c r="M103" s="7"/>
      <c r="N103" s="7"/>
      <c r="O103" s="7"/>
      <c r="P103" s="7"/>
      <c r="Q103" s="4"/>
      <c r="R103" s="7"/>
      <c r="S103" s="7"/>
      <c r="T103" s="7"/>
      <c r="U103" s="4"/>
      <c r="V103" s="7"/>
      <c r="W103" s="7"/>
      <c r="X103" s="7"/>
      <c r="Y103" s="7"/>
    </row>
    <row r="104">
      <c r="A104" s="4"/>
      <c r="B104" s="4"/>
      <c r="C104" s="8"/>
      <c r="D104" s="5"/>
      <c r="E104" s="6"/>
      <c r="F104" s="6"/>
      <c r="G104" s="6"/>
      <c r="H104" s="4"/>
      <c r="I104" s="4"/>
      <c r="J104" s="4"/>
      <c r="K104" s="4"/>
      <c r="L104" s="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4"/>
      <c r="B105" s="4"/>
      <c r="C105" s="8"/>
      <c r="D105" s="5"/>
      <c r="E105" s="6"/>
      <c r="F105" s="6"/>
      <c r="G105" s="6"/>
      <c r="H105" s="4"/>
      <c r="I105" s="4"/>
      <c r="J105" s="4"/>
      <c r="K105" s="4"/>
      <c r="L105" s="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4"/>
      <c r="B106" s="4"/>
      <c r="C106" s="8"/>
      <c r="D106" s="5"/>
      <c r="E106" s="6"/>
      <c r="F106" s="6"/>
      <c r="G106" s="6"/>
      <c r="H106" s="4"/>
      <c r="I106" s="4"/>
      <c r="J106" s="4"/>
      <c r="K106" s="4"/>
      <c r="L106" s="4"/>
      <c r="M106" s="7"/>
      <c r="N106" s="7"/>
      <c r="O106" s="7"/>
      <c r="P106" s="7"/>
      <c r="Q106" s="4"/>
      <c r="R106" s="7"/>
      <c r="S106" s="7"/>
      <c r="T106" s="7"/>
      <c r="U106" s="7"/>
      <c r="V106" s="7"/>
      <c r="W106" s="4"/>
      <c r="X106" s="7"/>
      <c r="Y106" s="7"/>
    </row>
    <row r="107">
      <c r="A107" s="4"/>
      <c r="B107" s="4"/>
      <c r="C107" s="8"/>
      <c r="D107" s="5"/>
      <c r="E107" s="6"/>
      <c r="F107" s="6"/>
      <c r="G107" s="6"/>
      <c r="H107" s="4"/>
      <c r="I107" s="4"/>
      <c r="J107" s="4"/>
      <c r="K107" s="4"/>
      <c r="L107" s="7"/>
      <c r="M107" s="4"/>
      <c r="N107" s="7"/>
      <c r="O107" s="7"/>
      <c r="P107" s="7"/>
      <c r="Q107" s="4"/>
      <c r="R107" s="7"/>
      <c r="S107" s="7"/>
      <c r="T107" s="7"/>
      <c r="U107" s="7"/>
      <c r="V107" s="7"/>
      <c r="W107" s="4"/>
      <c r="X107" s="7"/>
      <c r="Y107" s="7"/>
    </row>
    <row r="108">
      <c r="A108" s="4"/>
      <c r="B108" s="4"/>
      <c r="C108" s="8"/>
      <c r="D108" s="5"/>
      <c r="E108" s="6"/>
      <c r="F108" s="6"/>
      <c r="G108" s="6"/>
      <c r="H108" s="4"/>
      <c r="I108" s="4"/>
      <c r="J108" s="4"/>
      <c r="K108" s="4"/>
      <c r="L108" s="7"/>
      <c r="M108" s="4"/>
      <c r="N108" s="7"/>
      <c r="O108" s="7"/>
      <c r="P108" s="7"/>
      <c r="Q108" s="4"/>
      <c r="R108" s="7"/>
      <c r="S108" s="7"/>
      <c r="T108" s="7"/>
      <c r="U108" s="7"/>
      <c r="V108" s="7"/>
      <c r="W108" s="4"/>
      <c r="X108" s="7"/>
      <c r="Y108" s="7"/>
    </row>
    <row r="109">
      <c r="A109" s="4"/>
      <c r="B109" s="4"/>
      <c r="C109" s="8"/>
      <c r="D109" s="5"/>
      <c r="E109" s="6"/>
      <c r="F109" s="6"/>
      <c r="G109" s="6"/>
      <c r="H109" s="4"/>
      <c r="I109" s="4"/>
      <c r="J109" s="4"/>
      <c r="K109" s="4"/>
      <c r="L109" s="7"/>
      <c r="M109" s="7"/>
      <c r="N109" s="4"/>
      <c r="O109" s="7"/>
      <c r="P109" s="7"/>
      <c r="Q109" s="4"/>
      <c r="R109" s="7"/>
      <c r="S109" s="7"/>
      <c r="T109" s="7"/>
      <c r="U109" s="7"/>
      <c r="V109" s="7"/>
      <c r="W109" s="7"/>
      <c r="X109" s="7"/>
      <c r="Y109" s="7"/>
    </row>
    <row r="110">
      <c r="A110" s="4"/>
      <c r="B110" s="4"/>
      <c r="C110" s="8"/>
      <c r="D110" s="5"/>
      <c r="E110" s="6"/>
      <c r="F110" s="6"/>
      <c r="G110" s="6"/>
      <c r="H110" s="4"/>
      <c r="I110" s="4"/>
      <c r="J110" s="4"/>
      <c r="K110" s="4"/>
      <c r="L110" s="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4"/>
      <c r="B111" s="4"/>
      <c r="C111" s="8"/>
      <c r="D111" s="5"/>
      <c r="E111" s="6"/>
      <c r="F111" s="6"/>
      <c r="G111" s="6"/>
      <c r="H111" s="4"/>
      <c r="I111" s="4"/>
      <c r="J111" s="4"/>
      <c r="K111" s="4"/>
      <c r="L111" s="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4"/>
      <c r="B112" s="4"/>
      <c r="C112" s="8"/>
      <c r="D112" s="5"/>
      <c r="E112" s="6"/>
      <c r="F112" s="6"/>
      <c r="G112" s="6"/>
      <c r="H112" s="4"/>
      <c r="I112" s="4"/>
      <c r="J112" s="4"/>
      <c r="K112" s="4"/>
      <c r="L112" s="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4"/>
      <c r="B113" s="4"/>
      <c r="C113" s="8"/>
      <c r="D113" s="5"/>
      <c r="E113" s="6"/>
      <c r="F113" s="6"/>
      <c r="G113" s="6"/>
      <c r="H113" s="4"/>
      <c r="I113" s="4"/>
      <c r="J113" s="4"/>
      <c r="K113" s="4"/>
      <c r="L113" s="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4"/>
      <c r="B114" s="4"/>
      <c r="C114" s="8"/>
      <c r="D114" s="5"/>
      <c r="E114" s="6"/>
      <c r="F114" s="6"/>
      <c r="G114" s="6"/>
      <c r="H114" s="4"/>
      <c r="I114" s="4"/>
      <c r="J114" s="4"/>
      <c r="K114" s="4"/>
      <c r="L114" s="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4"/>
      <c r="B115" s="4"/>
      <c r="C115" s="8"/>
      <c r="D115" s="5"/>
      <c r="E115" s="6"/>
      <c r="F115" s="6"/>
      <c r="G115" s="6"/>
      <c r="H115" s="4"/>
      <c r="I115" s="4"/>
      <c r="J115" s="4"/>
      <c r="K115" s="4"/>
      <c r="L115" s="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4"/>
      <c r="B116" s="4"/>
      <c r="C116" s="8"/>
      <c r="D116" s="5"/>
      <c r="E116" s="6"/>
      <c r="F116" s="6"/>
      <c r="G116" s="6"/>
      <c r="H116" s="4"/>
      <c r="I116" s="4"/>
      <c r="J116" s="4"/>
      <c r="K116" s="4"/>
      <c r="L116" s="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4"/>
      <c r="B117" s="4"/>
      <c r="C117" s="8"/>
      <c r="D117" s="5"/>
      <c r="E117" s="6"/>
      <c r="F117" s="6"/>
      <c r="G117" s="6"/>
      <c r="H117" s="4"/>
      <c r="I117" s="4"/>
      <c r="J117" s="4"/>
      <c r="K117" s="4"/>
      <c r="L117" s="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4"/>
      <c r="B118" s="4"/>
      <c r="C118" s="8"/>
      <c r="D118" s="5"/>
      <c r="E118" s="6"/>
      <c r="F118" s="6"/>
      <c r="G118" s="6"/>
      <c r="H118" s="4"/>
      <c r="I118" s="4"/>
      <c r="J118" s="4"/>
      <c r="K118" s="4"/>
      <c r="L118" s="4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4"/>
      <c r="B119" s="4"/>
      <c r="C119" s="8"/>
      <c r="D119" s="5"/>
      <c r="E119" s="6"/>
      <c r="F119" s="6"/>
      <c r="G119" s="6"/>
      <c r="H119" s="4"/>
      <c r="I119" s="4"/>
      <c r="J119" s="4"/>
      <c r="K119" s="4"/>
      <c r="L119" s="4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4"/>
      <c r="B120" s="4"/>
      <c r="C120" s="8"/>
      <c r="D120" s="5"/>
      <c r="E120" s="6"/>
      <c r="F120" s="6"/>
      <c r="G120" s="6"/>
      <c r="H120" s="4"/>
      <c r="I120" s="4"/>
      <c r="J120" s="4"/>
      <c r="K120" s="4"/>
      <c r="L120" s="4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4"/>
      <c r="B121" s="4"/>
      <c r="C121" s="8"/>
      <c r="D121" s="5"/>
      <c r="E121" s="6"/>
      <c r="F121" s="6"/>
      <c r="G121" s="6"/>
      <c r="H121" s="4"/>
      <c r="I121" s="4"/>
      <c r="J121" s="4"/>
      <c r="K121" s="4"/>
      <c r="L121" s="4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"/>
      <c r="X121" s="7"/>
      <c r="Y121" s="7"/>
    </row>
    <row r="122">
      <c r="A122" s="4"/>
      <c r="B122" s="4"/>
      <c r="C122" s="8"/>
      <c r="D122" s="5"/>
      <c r="E122" s="6"/>
      <c r="F122" s="6"/>
      <c r="G122" s="6"/>
      <c r="H122" s="4"/>
      <c r="I122" s="4"/>
      <c r="J122" s="4"/>
      <c r="K122" s="4"/>
      <c r="L122" s="4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4"/>
      <c r="B123" s="4"/>
      <c r="C123" s="8"/>
      <c r="D123" s="5"/>
      <c r="E123" s="6"/>
      <c r="F123" s="6"/>
      <c r="G123" s="6"/>
      <c r="H123" s="4"/>
      <c r="I123" s="4"/>
      <c r="J123" s="4"/>
      <c r="K123" s="4"/>
      <c r="L123" s="4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"/>
      <c r="X123" s="7"/>
      <c r="Y123" s="7"/>
    </row>
    <row r="124">
      <c r="A124" s="4"/>
      <c r="B124" s="4"/>
      <c r="C124" s="8"/>
      <c r="D124" s="5"/>
      <c r="E124" s="6"/>
      <c r="F124" s="6"/>
      <c r="G124" s="6"/>
      <c r="H124" s="4"/>
      <c r="I124" s="4"/>
      <c r="J124" s="4"/>
      <c r="K124" s="4"/>
      <c r="L124" s="4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4"/>
      <c r="B125" s="4"/>
      <c r="C125" s="8"/>
      <c r="D125" s="5"/>
      <c r="E125" s="6"/>
      <c r="F125" s="6"/>
      <c r="G125" s="6"/>
      <c r="H125" s="4"/>
      <c r="I125" s="4"/>
      <c r="J125" s="4"/>
      <c r="K125" s="4"/>
      <c r="L125" s="4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4"/>
      <c r="B126" s="4"/>
      <c r="C126" s="8"/>
      <c r="D126" s="5"/>
      <c r="E126" s="6"/>
      <c r="F126" s="6"/>
      <c r="G126" s="6"/>
      <c r="H126" s="4"/>
      <c r="I126" s="4"/>
      <c r="J126" s="4"/>
      <c r="K126" s="4"/>
      <c r="L126" s="4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4"/>
      <c r="B127" s="4"/>
      <c r="C127" s="8"/>
      <c r="D127" s="5"/>
      <c r="E127" s="6"/>
      <c r="F127" s="6"/>
      <c r="G127" s="6"/>
      <c r="H127" s="4"/>
      <c r="I127" s="4"/>
      <c r="J127" s="4"/>
      <c r="K127" s="4"/>
      <c r="L127" s="7"/>
      <c r="M127" s="7"/>
      <c r="N127" s="7"/>
      <c r="O127" s="7"/>
      <c r="P127" s="7"/>
      <c r="Q127" s="4"/>
      <c r="R127" s="7"/>
      <c r="S127" s="7"/>
      <c r="T127" s="7"/>
      <c r="U127" s="7"/>
      <c r="V127" s="7"/>
      <c r="W127" s="7"/>
      <c r="X127" s="7"/>
      <c r="Y127" s="7"/>
    </row>
    <row r="128">
      <c r="A128" s="4"/>
      <c r="B128" s="4"/>
      <c r="C128" s="8"/>
      <c r="D128" s="5"/>
      <c r="E128" s="6"/>
      <c r="F128" s="6"/>
      <c r="G128" s="6"/>
      <c r="H128" s="4"/>
      <c r="I128" s="4"/>
      <c r="J128" s="4"/>
      <c r="K128" s="4"/>
      <c r="L128" s="7"/>
      <c r="M128" s="7"/>
      <c r="N128" s="7"/>
      <c r="O128" s="7"/>
      <c r="P128" s="7"/>
      <c r="Q128" s="4"/>
      <c r="R128" s="7"/>
      <c r="S128" s="7"/>
      <c r="T128" s="7"/>
      <c r="U128" s="7"/>
      <c r="V128" s="7"/>
      <c r="W128" s="4"/>
      <c r="X128" s="7"/>
      <c r="Y128" s="7"/>
    </row>
    <row r="129">
      <c r="A129" s="4"/>
      <c r="B129" s="4"/>
      <c r="C129" s="8"/>
      <c r="D129" s="5"/>
      <c r="E129" s="6"/>
      <c r="F129" s="6"/>
      <c r="G129" s="6"/>
      <c r="H129" s="4"/>
      <c r="I129" s="4"/>
      <c r="J129" s="4"/>
      <c r="K129" s="4"/>
      <c r="L129" s="7"/>
      <c r="M129" s="4"/>
      <c r="N129" s="7"/>
      <c r="O129" s="7"/>
      <c r="P129" s="7"/>
      <c r="Q129" s="4"/>
      <c r="R129" s="7"/>
      <c r="S129" s="7"/>
      <c r="T129" s="7"/>
      <c r="U129" s="7"/>
      <c r="V129" s="7"/>
      <c r="W129" s="4"/>
      <c r="X129" s="7"/>
      <c r="Y129" s="7"/>
    </row>
    <row r="130">
      <c r="A130" s="4"/>
      <c r="B130" s="4"/>
      <c r="C130" s="8"/>
      <c r="D130" s="5"/>
      <c r="E130" s="6"/>
      <c r="F130" s="6"/>
      <c r="G130" s="6"/>
      <c r="H130" s="4"/>
      <c r="I130" s="4"/>
      <c r="J130" s="4"/>
      <c r="K130" s="4"/>
      <c r="L130" s="7"/>
      <c r="M130" s="4"/>
      <c r="N130" s="7"/>
      <c r="O130" s="7"/>
      <c r="P130" s="7"/>
      <c r="Q130" s="4"/>
      <c r="R130" s="7"/>
      <c r="S130" s="7"/>
      <c r="T130" s="7"/>
      <c r="U130" s="7"/>
      <c r="V130" s="7"/>
      <c r="W130" s="4"/>
      <c r="X130" s="7"/>
      <c r="Y130" s="7"/>
    </row>
    <row r="131">
      <c r="A131" s="4"/>
      <c r="B131" s="4"/>
      <c r="C131" s="8"/>
      <c r="D131" s="5"/>
      <c r="E131" s="6"/>
      <c r="F131" s="6"/>
      <c r="G131" s="6"/>
      <c r="H131" s="4"/>
      <c r="I131" s="4"/>
      <c r="J131" s="4"/>
      <c r="K131" s="4"/>
      <c r="L131" s="7"/>
      <c r="M131" s="4"/>
      <c r="N131" s="7"/>
      <c r="O131" s="7"/>
      <c r="P131" s="7"/>
      <c r="Q131" s="4"/>
      <c r="R131" s="7"/>
      <c r="S131" s="7"/>
      <c r="T131" s="7"/>
      <c r="U131" s="7"/>
      <c r="V131" s="7"/>
      <c r="W131" s="4"/>
      <c r="X131" s="7"/>
      <c r="Y131" s="7"/>
    </row>
    <row r="132">
      <c r="A132" s="4"/>
      <c r="B132" s="4"/>
      <c r="C132" s="8"/>
      <c r="D132" s="5"/>
      <c r="E132" s="6"/>
      <c r="F132" s="6"/>
      <c r="G132" s="6"/>
      <c r="H132" s="4"/>
      <c r="I132" s="4"/>
      <c r="J132" s="4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"/>
      <c r="X132" s="4"/>
      <c r="Y132" s="4"/>
    </row>
    <row r="133">
      <c r="A133" s="4"/>
      <c r="B133" s="4"/>
      <c r="C133" s="8"/>
      <c r="D133" s="5"/>
      <c r="E133" s="6"/>
      <c r="F133" s="6"/>
      <c r="G133" s="6"/>
      <c r="H133" s="4"/>
      <c r="I133" s="4"/>
      <c r="J133" s="4"/>
      <c r="K133" s="4"/>
      <c r="L133" s="7"/>
      <c r="M133" s="7"/>
      <c r="N133" s="7"/>
      <c r="O133" s="7"/>
      <c r="P133" s="7"/>
      <c r="Q133" s="4"/>
      <c r="R133" s="7"/>
      <c r="S133" s="7"/>
      <c r="T133" s="7"/>
      <c r="U133" s="7"/>
      <c r="V133" s="7"/>
      <c r="W133" s="4"/>
      <c r="X133" s="4"/>
      <c r="Y133" s="4"/>
    </row>
    <row r="134">
      <c r="A134" s="4"/>
      <c r="B134" s="4"/>
      <c r="C134" s="8"/>
      <c r="D134" s="5"/>
      <c r="E134" s="6"/>
      <c r="F134" s="6"/>
      <c r="G134" s="6"/>
      <c r="H134" s="4"/>
      <c r="I134" s="4"/>
      <c r="J134" s="4"/>
      <c r="K134" s="4"/>
      <c r="L134" s="7"/>
      <c r="M134" s="7"/>
      <c r="N134" s="7"/>
      <c r="O134" s="7"/>
      <c r="P134" s="7"/>
      <c r="Q134" s="4"/>
      <c r="R134" s="7"/>
      <c r="S134" s="7"/>
      <c r="T134" s="7"/>
      <c r="U134" s="7"/>
      <c r="V134" s="7"/>
      <c r="W134" s="4"/>
      <c r="X134" s="7"/>
      <c r="Y134" s="7"/>
    </row>
    <row r="135">
      <c r="A135" s="4"/>
      <c r="B135" s="4"/>
      <c r="C135" s="8"/>
      <c r="D135" s="5"/>
      <c r="E135" s="6"/>
      <c r="F135" s="6"/>
      <c r="G135" s="6"/>
      <c r="H135" s="4"/>
      <c r="I135" s="4"/>
      <c r="J135" s="4"/>
      <c r="K135" s="4"/>
      <c r="L135" s="7"/>
      <c r="M135" s="7"/>
      <c r="N135" s="4"/>
      <c r="O135" s="7"/>
      <c r="P135" s="7"/>
      <c r="Q135" s="4"/>
      <c r="R135" s="7"/>
      <c r="S135" s="7"/>
      <c r="T135" s="7"/>
      <c r="U135" s="7"/>
      <c r="V135" s="7"/>
      <c r="W135" s="4"/>
      <c r="X135" s="7"/>
      <c r="Y135" s="7"/>
    </row>
    <row r="136">
      <c r="A136" s="4"/>
      <c r="B136" s="4"/>
      <c r="C136" s="8"/>
      <c r="D136" s="5"/>
      <c r="E136" s="6"/>
      <c r="F136" s="6"/>
      <c r="G136" s="6"/>
      <c r="H136" s="4"/>
      <c r="I136" s="4"/>
      <c r="J136" s="4"/>
      <c r="K136" s="4"/>
      <c r="L136" s="7"/>
      <c r="M136" s="7"/>
      <c r="N136" s="4"/>
      <c r="O136" s="7"/>
      <c r="P136" s="7"/>
      <c r="Q136" s="4"/>
      <c r="R136" s="7"/>
      <c r="S136" s="7"/>
      <c r="T136" s="7"/>
      <c r="U136" s="7"/>
      <c r="V136" s="7"/>
      <c r="W136" s="4"/>
      <c r="X136" s="7"/>
      <c r="Y136" s="7"/>
    </row>
    <row r="137">
      <c r="A137" s="4"/>
      <c r="B137" s="4"/>
      <c r="C137" s="8"/>
      <c r="D137" s="5"/>
      <c r="E137" s="6"/>
      <c r="F137" s="6"/>
      <c r="G137" s="6"/>
      <c r="H137" s="4"/>
      <c r="I137" s="4"/>
      <c r="J137" s="4"/>
      <c r="K137" s="4"/>
      <c r="L137" s="7"/>
      <c r="M137" s="7"/>
      <c r="N137" s="4"/>
      <c r="O137" s="7"/>
      <c r="P137" s="7"/>
      <c r="Q137" s="4"/>
      <c r="R137" s="7"/>
      <c r="S137" s="7"/>
      <c r="T137" s="7"/>
      <c r="U137" s="7"/>
      <c r="V137" s="7"/>
      <c r="W137" s="7"/>
      <c r="X137" s="7"/>
      <c r="Y137" s="7"/>
    </row>
    <row r="138">
      <c r="A138" s="4"/>
      <c r="B138" s="4"/>
      <c r="C138" s="8"/>
      <c r="D138" s="5"/>
      <c r="E138" s="6"/>
      <c r="F138" s="6"/>
      <c r="G138" s="6"/>
      <c r="H138" s="4"/>
      <c r="I138" s="4"/>
      <c r="J138" s="4"/>
      <c r="K138" s="4"/>
      <c r="L138" s="4"/>
      <c r="M138" s="7"/>
      <c r="N138" s="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4"/>
      <c r="B139" s="4"/>
      <c r="C139" s="8"/>
      <c r="D139" s="5"/>
      <c r="E139" s="6"/>
      <c r="F139" s="6"/>
      <c r="G139" s="6"/>
      <c r="H139" s="4"/>
      <c r="I139" s="4"/>
      <c r="J139" s="4"/>
      <c r="K139" s="4"/>
      <c r="L139" s="4"/>
      <c r="M139" s="7"/>
      <c r="N139" s="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4"/>
      <c r="B140" s="4"/>
      <c r="C140" s="8"/>
      <c r="D140" s="5"/>
      <c r="E140" s="6"/>
      <c r="F140" s="6"/>
      <c r="G140" s="6"/>
      <c r="H140" s="4"/>
      <c r="I140" s="4"/>
      <c r="J140" s="4"/>
      <c r="K140" s="4"/>
      <c r="L140" s="4"/>
      <c r="M140" s="7"/>
      <c r="N140" s="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4"/>
      <c r="B141" s="4"/>
      <c r="C141" s="8"/>
      <c r="D141" s="5"/>
      <c r="E141" s="6"/>
      <c r="F141" s="6"/>
      <c r="G141" s="6"/>
      <c r="H141" s="4"/>
      <c r="I141" s="4"/>
      <c r="J141" s="4"/>
      <c r="K141" s="4"/>
      <c r="L141" s="4"/>
      <c r="M141" s="7"/>
      <c r="N141" s="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4"/>
      <c r="B142" s="4"/>
      <c r="C142" s="8"/>
      <c r="D142" s="5"/>
      <c r="E142" s="6"/>
      <c r="F142" s="6"/>
      <c r="G142" s="6"/>
      <c r="H142" s="4"/>
      <c r="I142" s="4"/>
      <c r="J142" s="4"/>
      <c r="K142" s="4"/>
      <c r="L142" s="4"/>
      <c r="M142" s="7"/>
      <c r="N142" s="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4"/>
      <c r="B143" s="4"/>
      <c r="C143" s="8"/>
      <c r="D143" s="5"/>
      <c r="E143" s="6"/>
      <c r="F143" s="6"/>
      <c r="G143" s="6"/>
      <c r="H143" s="4"/>
      <c r="I143" s="4"/>
      <c r="J143" s="4"/>
      <c r="K143" s="4"/>
      <c r="L143" s="4"/>
      <c r="M143" s="7"/>
      <c r="N143" s="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4"/>
      <c r="B144" s="4"/>
      <c r="C144" s="8"/>
      <c r="D144" s="5"/>
      <c r="E144" s="6"/>
      <c r="F144" s="6"/>
      <c r="G144" s="6"/>
      <c r="H144" s="4"/>
      <c r="I144" s="4"/>
      <c r="J144" s="4"/>
      <c r="K144" s="4"/>
      <c r="L144" s="4"/>
      <c r="M144" s="7"/>
      <c r="N144" s="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4"/>
      <c r="B145" s="4"/>
      <c r="C145" s="8"/>
      <c r="D145" s="5"/>
      <c r="E145" s="6"/>
      <c r="F145" s="6"/>
      <c r="G145" s="6"/>
      <c r="H145" s="4"/>
      <c r="I145" s="4"/>
      <c r="J145" s="4"/>
      <c r="K145" s="4"/>
      <c r="L145" s="4"/>
      <c r="M145" s="7"/>
      <c r="N145" s="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4"/>
      <c r="B146" s="4"/>
      <c r="C146" s="4"/>
      <c r="D146" s="5"/>
      <c r="E146" s="6"/>
      <c r="F146" s="6"/>
      <c r="G146" s="6"/>
      <c r="H146" s="4"/>
      <c r="I146" s="4"/>
      <c r="J146" s="4"/>
      <c r="K146" s="4"/>
      <c r="L146" s="7"/>
      <c r="M146" s="7"/>
      <c r="N146" s="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4"/>
      <c r="B147" s="4"/>
      <c r="C147" s="8"/>
      <c r="D147" s="5"/>
      <c r="E147" s="6"/>
      <c r="F147" s="6"/>
      <c r="G147" s="6"/>
      <c r="H147" s="4"/>
      <c r="I147" s="4"/>
      <c r="J147" s="4"/>
      <c r="K147" s="4"/>
      <c r="L147" s="7"/>
      <c r="M147" s="7"/>
      <c r="N147" s="7"/>
      <c r="O147" s="7"/>
      <c r="P147" s="7"/>
      <c r="Q147" s="7"/>
      <c r="R147" s="7"/>
      <c r="S147" s="7"/>
      <c r="T147" s="4"/>
      <c r="U147" s="4"/>
      <c r="V147" s="7"/>
      <c r="W147" s="7"/>
      <c r="X147" s="7"/>
      <c r="Y147" s="7"/>
    </row>
    <row r="148">
      <c r="A148" s="4"/>
      <c r="B148" s="4"/>
      <c r="C148" s="8"/>
      <c r="D148" s="5"/>
      <c r="E148" s="6"/>
      <c r="F148" s="6"/>
      <c r="G148" s="6"/>
      <c r="H148" s="4"/>
      <c r="I148" s="4"/>
      <c r="J148" s="4"/>
      <c r="K148" s="4"/>
      <c r="L148" s="7"/>
      <c r="M148" s="7"/>
      <c r="N148" s="7"/>
      <c r="O148" s="7"/>
      <c r="P148" s="7"/>
      <c r="Q148" s="7"/>
      <c r="R148" s="7"/>
      <c r="S148" s="7"/>
      <c r="T148" s="4"/>
      <c r="U148" s="7"/>
      <c r="V148" s="7"/>
      <c r="W148" s="7"/>
      <c r="X148" s="7"/>
      <c r="Y148" s="7"/>
    </row>
    <row r="149">
      <c r="A149" s="4"/>
      <c r="B149" s="4"/>
      <c r="C149" s="8"/>
      <c r="D149" s="5"/>
      <c r="E149" s="6"/>
      <c r="F149" s="6"/>
      <c r="G149" s="6"/>
      <c r="H149" s="4"/>
      <c r="I149" s="4"/>
      <c r="J149" s="4"/>
      <c r="K149" s="4"/>
      <c r="L149" s="7"/>
      <c r="M149" s="7"/>
      <c r="N149" s="7"/>
      <c r="O149" s="4"/>
      <c r="P149" s="7"/>
      <c r="Q149" s="7"/>
      <c r="R149" s="7"/>
      <c r="S149" s="7"/>
      <c r="T149" s="7"/>
      <c r="U149" s="4"/>
      <c r="V149" s="7"/>
      <c r="W149" s="7"/>
      <c r="X149" s="7"/>
      <c r="Y149" s="7"/>
    </row>
    <row r="150">
      <c r="A150" s="4"/>
      <c r="B150" s="4"/>
      <c r="C150" s="8"/>
      <c r="D150" s="5"/>
      <c r="E150" s="6"/>
      <c r="F150" s="6"/>
      <c r="G150" s="6"/>
      <c r="H150" s="4"/>
      <c r="I150" s="4"/>
      <c r="J150" s="4"/>
      <c r="K150" s="4"/>
      <c r="L150" s="4"/>
      <c r="M150" s="7"/>
      <c r="N150" s="7"/>
      <c r="O150" s="7"/>
      <c r="P150" s="4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4"/>
      <c r="B151" s="4"/>
      <c r="C151" s="8"/>
      <c r="D151" s="5"/>
      <c r="E151" s="6"/>
      <c r="F151" s="6"/>
      <c r="G151" s="6"/>
      <c r="H151" s="4"/>
      <c r="I151" s="4"/>
      <c r="J151" s="4"/>
      <c r="K151" s="4"/>
      <c r="L151" s="7"/>
      <c r="M151" s="7"/>
      <c r="N151" s="7"/>
      <c r="O151" s="7"/>
      <c r="P151" s="7"/>
      <c r="Q151" s="4"/>
      <c r="R151" s="7"/>
      <c r="S151" s="7"/>
      <c r="T151" s="7"/>
      <c r="U151" s="7"/>
      <c r="V151" s="7"/>
      <c r="W151" s="7"/>
      <c r="X151" s="7"/>
      <c r="Y151" s="7"/>
    </row>
    <row r="152">
      <c r="A152" s="4"/>
      <c r="B152" s="4"/>
      <c r="C152" s="8"/>
      <c r="D152" s="5"/>
      <c r="E152" s="6"/>
      <c r="F152" s="6"/>
      <c r="G152" s="6"/>
      <c r="H152" s="4"/>
      <c r="I152" s="4"/>
      <c r="J152" s="4"/>
      <c r="K152" s="4"/>
      <c r="L152" s="7"/>
      <c r="M152" s="7"/>
      <c r="N152" s="4"/>
      <c r="O152" s="7"/>
      <c r="P152" s="4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4"/>
      <c r="B153" s="4"/>
      <c r="C153" s="8"/>
      <c r="D153" s="5"/>
      <c r="E153" s="6"/>
      <c r="F153" s="6"/>
      <c r="G153" s="6"/>
      <c r="H153" s="4"/>
      <c r="I153" s="4"/>
      <c r="J153" s="4"/>
      <c r="K153" s="4"/>
      <c r="L153" s="7"/>
      <c r="M153" s="7"/>
      <c r="N153" s="7"/>
      <c r="O153" s="7"/>
      <c r="P153" s="4"/>
      <c r="Q153" s="7"/>
      <c r="R153" s="7"/>
      <c r="S153" s="7"/>
      <c r="T153" s="4"/>
      <c r="U153" s="7"/>
      <c r="V153" s="7"/>
      <c r="W153" s="7"/>
      <c r="X153" s="7"/>
      <c r="Y153" s="7"/>
    </row>
    <row r="154">
      <c r="A154" s="4"/>
      <c r="B154" s="4"/>
      <c r="C154" s="8"/>
      <c r="D154" s="5"/>
      <c r="E154" s="6"/>
      <c r="F154" s="6"/>
      <c r="G154" s="6"/>
      <c r="H154" s="4"/>
      <c r="I154" s="4"/>
      <c r="J154" s="4"/>
      <c r="K154" s="4"/>
      <c r="L154" s="7"/>
      <c r="M154" s="7"/>
      <c r="N154" s="7"/>
      <c r="O154" s="7"/>
      <c r="P154" s="4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4"/>
      <c r="B155" s="4"/>
      <c r="C155" s="8"/>
      <c r="D155" s="5"/>
      <c r="E155" s="6"/>
      <c r="F155" s="6"/>
      <c r="G155" s="6"/>
      <c r="H155" s="4"/>
      <c r="I155" s="4"/>
      <c r="J155" s="4"/>
      <c r="K155" s="4"/>
      <c r="L155" s="7"/>
      <c r="M155" s="7"/>
      <c r="N155" s="7"/>
      <c r="O155" s="7"/>
      <c r="P155" s="7"/>
      <c r="Q155" s="4"/>
      <c r="R155" s="7"/>
      <c r="S155" s="4"/>
      <c r="T155" s="7"/>
      <c r="U155" s="7"/>
      <c r="V155" s="7"/>
      <c r="W155" s="7"/>
      <c r="X155" s="7"/>
      <c r="Y155" s="7"/>
    </row>
    <row r="156">
      <c r="A156" s="4"/>
      <c r="B156" s="4"/>
      <c r="C156" s="8"/>
      <c r="D156" s="5"/>
      <c r="E156" s="6"/>
      <c r="F156" s="6"/>
      <c r="G156" s="6"/>
      <c r="H156" s="4"/>
      <c r="I156" s="4"/>
      <c r="J156" s="4"/>
      <c r="K156" s="4"/>
      <c r="L156" s="7"/>
      <c r="M156" s="7"/>
      <c r="N156" s="4"/>
      <c r="O156" s="7"/>
      <c r="P156" s="4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4"/>
      <c r="B157" s="4"/>
      <c r="C157" s="8"/>
      <c r="D157" s="5"/>
      <c r="E157" s="6"/>
      <c r="F157" s="6"/>
      <c r="G157" s="6"/>
      <c r="H157" s="4"/>
      <c r="I157" s="4"/>
      <c r="J157" s="4"/>
      <c r="K157" s="4"/>
      <c r="L157" s="4"/>
      <c r="M157" s="7"/>
      <c r="N157" s="7"/>
      <c r="O157" s="7"/>
      <c r="P157" s="4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4"/>
      <c r="B158" s="4"/>
      <c r="C158" s="8"/>
      <c r="D158" s="5"/>
      <c r="E158" s="6"/>
      <c r="F158" s="6"/>
      <c r="G158" s="6"/>
      <c r="H158" s="4"/>
      <c r="I158" s="4"/>
      <c r="J158" s="4"/>
      <c r="K158" s="4"/>
      <c r="L158" s="7"/>
      <c r="M158" s="7"/>
      <c r="N158" s="7"/>
      <c r="O158" s="7"/>
      <c r="P158" s="4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4"/>
      <c r="B159" s="4"/>
      <c r="C159" s="8"/>
      <c r="D159" s="5"/>
      <c r="E159" s="6"/>
      <c r="F159" s="6"/>
      <c r="G159" s="6"/>
      <c r="H159" s="4"/>
      <c r="I159" s="4"/>
      <c r="J159" s="4"/>
      <c r="K159" s="4"/>
      <c r="L159" s="7"/>
      <c r="M159" s="7"/>
      <c r="N159" s="7"/>
      <c r="O159" s="7"/>
      <c r="P159" s="4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4"/>
      <c r="B160" s="4"/>
      <c r="C160" s="8"/>
      <c r="D160" s="5"/>
      <c r="E160" s="6"/>
      <c r="F160" s="6"/>
      <c r="G160" s="6"/>
      <c r="H160" s="4"/>
      <c r="I160" s="4"/>
      <c r="J160" s="4"/>
      <c r="K160" s="4"/>
      <c r="L160" s="4"/>
      <c r="M160" s="7"/>
      <c r="N160" s="7"/>
      <c r="O160" s="7"/>
      <c r="P160" s="4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4"/>
      <c r="B161" s="4"/>
      <c r="C161" s="8"/>
      <c r="D161" s="5"/>
      <c r="E161" s="6"/>
      <c r="F161" s="6"/>
      <c r="G161" s="6"/>
      <c r="H161" s="4"/>
      <c r="I161" s="4"/>
      <c r="J161" s="4"/>
      <c r="K161" s="4"/>
      <c r="L161" s="4"/>
      <c r="M161" s="7"/>
      <c r="N161" s="7"/>
      <c r="O161" s="7"/>
      <c r="P161" s="7"/>
      <c r="Q161" s="4"/>
      <c r="R161" s="7"/>
      <c r="S161" s="7"/>
      <c r="T161" s="7"/>
      <c r="U161" s="7"/>
      <c r="V161" s="7"/>
      <c r="W161" s="7"/>
      <c r="X161" s="7"/>
      <c r="Y161" s="7"/>
    </row>
    <row r="162">
      <c r="A162" s="4"/>
      <c r="B162" s="4"/>
      <c r="C162" s="8"/>
      <c r="D162" s="5"/>
      <c r="E162" s="6"/>
      <c r="F162" s="6"/>
      <c r="G162" s="6"/>
      <c r="H162" s="4"/>
      <c r="I162" s="4"/>
      <c r="J162" s="4"/>
      <c r="K162" s="4"/>
      <c r="L162" s="7"/>
      <c r="M162" s="7"/>
      <c r="N162" s="7"/>
      <c r="O162" s="7"/>
      <c r="P162" s="4"/>
      <c r="Q162" s="7"/>
      <c r="R162" s="4"/>
      <c r="S162" s="7"/>
      <c r="T162" s="7"/>
      <c r="U162" s="7"/>
      <c r="V162" s="7"/>
      <c r="W162" s="7"/>
      <c r="X162" s="7"/>
      <c r="Y162" s="7"/>
    </row>
    <row r="163">
      <c r="A163" s="4"/>
      <c r="B163" s="4"/>
      <c r="C163" s="8"/>
      <c r="D163" s="5"/>
      <c r="E163" s="6"/>
      <c r="F163" s="6"/>
      <c r="G163" s="6"/>
      <c r="H163" s="4"/>
      <c r="I163" s="4"/>
      <c r="J163" s="4"/>
      <c r="K163" s="4"/>
      <c r="L163" s="7"/>
      <c r="M163" s="7"/>
      <c r="N163" s="7"/>
      <c r="O163" s="7"/>
      <c r="P163" s="4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4"/>
      <c r="B164" s="4"/>
      <c r="C164" s="8"/>
      <c r="D164" s="5"/>
      <c r="E164" s="6"/>
      <c r="F164" s="6"/>
      <c r="G164" s="6"/>
      <c r="H164" s="4"/>
      <c r="I164" s="4"/>
      <c r="J164" s="4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"/>
      <c r="X164" s="7"/>
      <c r="Y164" s="7"/>
    </row>
    <row r="165">
      <c r="A165" s="4"/>
      <c r="B165" s="4"/>
      <c r="C165" s="8"/>
      <c r="D165" s="5"/>
      <c r="E165" s="6"/>
      <c r="F165" s="6"/>
      <c r="G165" s="6"/>
      <c r="H165" s="4"/>
      <c r="I165" s="4"/>
      <c r="J165" s="4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"/>
      <c r="X165" s="7"/>
      <c r="Y165" s="7"/>
    </row>
    <row r="166">
      <c r="A166" s="4"/>
      <c r="B166" s="8"/>
      <c r="C166" s="4"/>
      <c r="D166" s="5"/>
      <c r="E166" s="6"/>
      <c r="F166" s="6"/>
      <c r="G166" s="6"/>
      <c r="H166" s="4"/>
      <c r="I166" s="4"/>
      <c r="J166" s="4"/>
      <c r="K166" s="4"/>
      <c r="L166" s="7"/>
      <c r="M166" s="7"/>
      <c r="N166" s="7"/>
      <c r="O166" s="7"/>
      <c r="P166" s="4"/>
      <c r="Q166" s="7"/>
      <c r="R166" s="7"/>
      <c r="S166" s="7"/>
      <c r="T166" s="7"/>
      <c r="U166" s="7"/>
      <c r="V166" s="7"/>
      <c r="W166" s="4"/>
      <c r="X166" s="7"/>
      <c r="Y166" s="7"/>
    </row>
    <row r="167">
      <c r="A167" s="4"/>
      <c r="B167" s="8"/>
      <c r="C167" s="8"/>
      <c r="D167" s="5"/>
      <c r="E167" s="6"/>
      <c r="F167" s="6"/>
      <c r="G167" s="6"/>
      <c r="H167" s="4"/>
      <c r="I167" s="4"/>
      <c r="J167" s="4"/>
      <c r="K167" s="4"/>
      <c r="L167" s="7"/>
      <c r="M167" s="7"/>
      <c r="N167" s="7"/>
      <c r="O167" s="7"/>
      <c r="P167" s="4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4"/>
      <c r="B168" s="8"/>
      <c r="C168" s="8"/>
      <c r="D168" s="5"/>
      <c r="E168" s="6"/>
      <c r="F168" s="6"/>
      <c r="G168" s="6"/>
      <c r="H168" s="4"/>
      <c r="I168" s="4"/>
      <c r="J168" s="4"/>
      <c r="K168" s="4"/>
      <c r="L168" s="7"/>
      <c r="M168" s="7"/>
      <c r="N168" s="7"/>
      <c r="O168" s="7"/>
      <c r="P168" s="4"/>
      <c r="Q168" s="7"/>
      <c r="R168" s="7"/>
      <c r="S168" s="7"/>
      <c r="T168" s="7"/>
      <c r="U168" s="7"/>
      <c r="V168" s="7"/>
      <c r="W168" s="4"/>
      <c r="X168" s="7"/>
      <c r="Y168" s="7"/>
    </row>
    <row r="169">
      <c r="A169" s="4"/>
      <c r="B169" s="8"/>
      <c r="C169" s="8"/>
      <c r="D169" s="5"/>
      <c r="E169" s="6"/>
      <c r="F169" s="6"/>
      <c r="G169" s="6"/>
      <c r="H169" s="4"/>
      <c r="I169" s="4"/>
      <c r="J169" s="4"/>
      <c r="K169" s="4"/>
      <c r="L169" s="7"/>
      <c r="M169" s="7"/>
      <c r="N169" s="7"/>
      <c r="O169" s="7"/>
      <c r="P169" s="4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4"/>
      <c r="B170" s="4"/>
      <c r="C170" s="8"/>
      <c r="D170" s="5"/>
      <c r="E170" s="6"/>
      <c r="F170" s="6"/>
      <c r="G170" s="6"/>
      <c r="H170" s="4"/>
      <c r="I170" s="4"/>
      <c r="J170" s="4"/>
      <c r="K170" s="4"/>
      <c r="L170" s="7"/>
      <c r="M170" s="7"/>
      <c r="N170" s="7"/>
      <c r="O170" s="4"/>
      <c r="P170" s="7"/>
      <c r="Q170" s="4"/>
      <c r="R170" s="7"/>
      <c r="S170" s="7"/>
      <c r="T170" s="7"/>
      <c r="U170" s="7"/>
      <c r="V170" s="7"/>
      <c r="W170" s="7"/>
      <c r="X170" s="7"/>
      <c r="Y170" s="7"/>
    </row>
    <row r="171">
      <c r="A171" s="4"/>
      <c r="B171" s="4"/>
      <c r="C171" s="8"/>
      <c r="D171" s="5"/>
      <c r="E171" s="6"/>
      <c r="F171" s="6"/>
      <c r="G171" s="6"/>
      <c r="H171" s="4"/>
      <c r="I171" s="4"/>
      <c r="J171" s="4"/>
      <c r="K171" s="4"/>
      <c r="L171" s="7"/>
      <c r="M171" s="7"/>
      <c r="N171" s="4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7"/>
    </row>
    <row r="172">
      <c r="A172" s="4"/>
      <c r="B172" s="4"/>
      <c r="C172" s="8"/>
      <c r="D172" s="5"/>
      <c r="E172" s="6"/>
      <c r="F172" s="6"/>
      <c r="G172" s="6"/>
      <c r="H172" s="4"/>
      <c r="I172" s="4"/>
      <c r="J172" s="4"/>
      <c r="K172" s="4"/>
      <c r="L172" s="7"/>
      <c r="M172" s="7"/>
      <c r="N172" s="4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7"/>
    </row>
    <row r="173">
      <c r="A173" s="4"/>
      <c r="B173" s="4"/>
      <c r="C173" s="8"/>
      <c r="D173" s="5"/>
      <c r="E173" s="6"/>
      <c r="F173" s="6"/>
      <c r="G173" s="6"/>
      <c r="H173" s="4"/>
      <c r="I173" s="4"/>
      <c r="J173" s="4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7"/>
    </row>
    <row r="174">
      <c r="A174" s="4"/>
      <c r="B174" s="4"/>
      <c r="C174" s="8"/>
      <c r="D174" s="5"/>
      <c r="E174" s="6"/>
      <c r="F174" s="6"/>
      <c r="G174" s="6"/>
      <c r="H174" s="4"/>
      <c r="I174" s="4"/>
      <c r="J174" s="4"/>
      <c r="K174" s="4"/>
      <c r="L174" s="7"/>
      <c r="M174" s="7"/>
      <c r="N174" s="7"/>
      <c r="O174" s="4"/>
      <c r="P174" s="7"/>
      <c r="Q174" s="7"/>
      <c r="R174" s="7"/>
      <c r="S174" s="7"/>
      <c r="T174" s="7"/>
      <c r="U174" s="7"/>
      <c r="V174" s="7"/>
      <c r="W174" s="7"/>
      <c r="X174" s="4"/>
      <c r="Y174" s="7"/>
    </row>
    <row r="175">
      <c r="A175" s="4"/>
      <c r="B175" s="4"/>
      <c r="C175" s="8"/>
      <c r="D175" s="5"/>
      <c r="E175" s="6"/>
      <c r="F175" s="6"/>
      <c r="G175" s="6"/>
      <c r="H175" s="4"/>
      <c r="I175" s="4"/>
      <c r="J175" s="4"/>
      <c r="K175" s="4"/>
      <c r="L175" s="7"/>
      <c r="M175" s="7"/>
      <c r="N175" s="7"/>
      <c r="O175" s="4"/>
      <c r="P175" s="7"/>
      <c r="Q175" s="7"/>
      <c r="R175" s="7"/>
      <c r="S175" s="7"/>
      <c r="T175" s="7"/>
      <c r="U175" s="7"/>
      <c r="V175" s="7"/>
      <c r="W175" s="7"/>
      <c r="X175" s="4"/>
      <c r="Y175" s="7"/>
    </row>
    <row r="176">
      <c r="A176" s="4"/>
      <c r="B176" s="4"/>
      <c r="C176" s="8"/>
      <c r="D176" s="5"/>
      <c r="E176" s="6"/>
      <c r="F176" s="6"/>
      <c r="G176" s="6"/>
      <c r="H176" s="4"/>
      <c r="I176" s="4"/>
      <c r="J176" s="4"/>
      <c r="K176" s="4"/>
      <c r="L176" s="7"/>
      <c r="M176" s="7"/>
      <c r="N176" s="7"/>
      <c r="O176" s="4"/>
      <c r="P176" s="7"/>
      <c r="Q176" s="7"/>
      <c r="R176" s="7"/>
      <c r="S176" s="7"/>
      <c r="T176" s="7"/>
      <c r="U176" s="7"/>
      <c r="V176" s="7"/>
      <c r="W176" s="7"/>
      <c r="X176" s="4"/>
      <c r="Y176" s="7"/>
    </row>
    <row r="177">
      <c r="A177" s="4"/>
      <c r="B177" s="4"/>
      <c r="C177" s="8"/>
      <c r="D177" s="5"/>
      <c r="E177" s="6"/>
      <c r="F177" s="6"/>
      <c r="G177" s="6"/>
      <c r="H177" s="4"/>
      <c r="I177" s="4"/>
      <c r="J177" s="4"/>
      <c r="K177" s="4"/>
      <c r="L177" s="7"/>
      <c r="M177" s="7"/>
      <c r="N177" s="7"/>
      <c r="O177" s="4"/>
      <c r="P177" s="7"/>
      <c r="Q177" s="7"/>
      <c r="R177" s="7"/>
      <c r="S177" s="7"/>
      <c r="T177" s="7"/>
      <c r="U177" s="7"/>
      <c r="V177" s="7"/>
      <c r="W177" s="7"/>
      <c r="X177" s="4"/>
      <c r="Y177" s="7"/>
    </row>
    <row r="178">
      <c r="A178" s="4"/>
      <c r="B178" s="4"/>
      <c r="C178" s="8"/>
      <c r="D178" s="5"/>
      <c r="E178" s="6"/>
      <c r="F178" s="6"/>
      <c r="G178" s="6"/>
      <c r="H178" s="4"/>
      <c r="I178" s="4"/>
      <c r="J178" s="4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7"/>
    </row>
    <row r="179">
      <c r="A179" s="4"/>
      <c r="B179" s="4"/>
      <c r="C179" s="8"/>
      <c r="D179" s="5"/>
      <c r="E179" s="6"/>
      <c r="F179" s="6"/>
      <c r="G179" s="6"/>
      <c r="H179" s="4"/>
      <c r="I179" s="4"/>
      <c r="J179" s="4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7"/>
    </row>
    <row r="180">
      <c r="A180" s="4"/>
      <c r="B180" s="4"/>
      <c r="C180" s="8"/>
      <c r="D180" s="5"/>
      <c r="E180" s="6"/>
      <c r="F180" s="6"/>
      <c r="G180" s="6"/>
      <c r="H180" s="4"/>
      <c r="I180" s="4"/>
      <c r="J180" s="4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7"/>
    </row>
    <row r="181">
      <c r="A181" s="4"/>
      <c r="B181" s="4"/>
      <c r="C181" s="8"/>
      <c r="D181" s="5"/>
      <c r="E181" s="6"/>
      <c r="F181" s="6"/>
      <c r="G181" s="6"/>
      <c r="H181" s="4"/>
      <c r="I181" s="4"/>
      <c r="J181" s="4"/>
      <c r="K181" s="4"/>
      <c r="L181" s="7"/>
      <c r="M181" s="7"/>
      <c r="N181" s="7"/>
      <c r="O181" s="7"/>
      <c r="P181" s="7"/>
      <c r="Q181" s="4"/>
      <c r="R181" s="7"/>
      <c r="S181" s="7"/>
      <c r="T181" s="7"/>
      <c r="U181" s="7"/>
      <c r="V181" s="7"/>
      <c r="W181" s="4"/>
      <c r="X181" s="7"/>
      <c r="Y181" s="7"/>
    </row>
    <row r="182">
      <c r="A182" s="4"/>
      <c r="B182" s="4"/>
      <c r="C182" s="8"/>
      <c r="D182" s="5"/>
      <c r="E182" s="6"/>
      <c r="F182" s="6"/>
      <c r="G182" s="6"/>
      <c r="H182" s="4"/>
      <c r="I182" s="4"/>
      <c r="J182" s="4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"/>
      <c r="X182" s="7"/>
      <c r="Y182" s="7"/>
    </row>
    <row r="183">
      <c r="A183" s="4"/>
      <c r="B183" s="4"/>
      <c r="C183" s="8"/>
      <c r="D183" s="5"/>
      <c r="E183" s="6"/>
      <c r="F183" s="6"/>
      <c r="G183" s="6"/>
      <c r="H183" s="4"/>
      <c r="I183" s="4"/>
      <c r="J183" s="4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"/>
      <c r="X183" s="7"/>
      <c r="Y183" s="7"/>
    </row>
    <row r="184">
      <c r="A184" s="4"/>
      <c r="B184" s="4"/>
      <c r="C184" s="8"/>
      <c r="D184" s="5"/>
      <c r="E184" s="6"/>
      <c r="F184" s="6"/>
      <c r="G184" s="6"/>
      <c r="H184" s="4"/>
      <c r="I184" s="4"/>
      <c r="J184" s="4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4"/>
      <c r="W184" s="7"/>
      <c r="X184" s="7"/>
      <c r="Y184" s="7"/>
    </row>
    <row r="185">
      <c r="A185" s="4"/>
      <c r="B185" s="4"/>
      <c r="C185" s="8"/>
      <c r="D185" s="5"/>
      <c r="E185" s="6"/>
      <c r="F185" s="6"/>
      <c r="G185" s="6"/>
      <c r="H185" s="4"/>
      <c r="I185" s="4"/>
      <c r="J185" s="4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4"/>
      <c r="W185" s="7"/>
      <c r="X185" s="7"/>
      <c r="Y185" s="7"/>
    </row>
    <row r="186">
      <c r="A186" s="4"/>
      <c r="B186" s="4"/>
      <c r="C186" s="8"/>
      <c r="D186" s="5"/>
      <c r="E186" s="6"/>
      <c r="F186" s="6"/>
      <c r="G186" s="6"/>
      <c r="H186" s="4"/>
      <c r="I186" s="4"/>
      <c r="J186" s="4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4"/>
      <c r="W186" s="7"/>
      <c r="X186" s="7"/>
      <c r="Y186" s="7"/>
    </row>
    <row r="187">
      <c r="A187" s="4"/>
      <c r="B187" s="4"/>
      <c r="C187" s="8"/>
      <c r="D187" s="5"/>
      <c r="E187" s="6"/>
      <c r="F187" s="6"/>
      <c r="G187" s="6"/>
      <c r="H187" s="4"/>
      <c r="I187" s="4"/>
      <c r="J187" s="4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4"/>
      <c r="W187" s="7"/>
      <c r="X187" s="7"/>
      <c r="Y187" s="7"/>
    </row>
    <row r="188">
      <c r="A188" s="4"/>
      <c r="B188" s="4"/>
      <c r="C188" s="8"/>
      <c r="D188" s="5"/>
      <c r="E188" s="6"/>
      <c r="F188" s="6"/>
      <c r="G188" s="6"/>
      <c r="H188" s="4"/>
      <c r="I188" s="4"/>
      <c r="J188" s="4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4"/>
      <c r="W188" s="7"/>
      <c r="X188" s="7"/>
      <c r="Y188" s="7"/>
    </row>
    <row r="189">
      <c r="A189" s="4"/>
      <c r="B189" s="4"/>
      <c r="C189" s="8"/>
      <c r="D189" s="5"/>
      <c r="E189" s="6"/>
      <c r="F189" s="6"/>
      <c r="G189" s="6"/>
      <c r="H189" s="4"/>
      <c r="I189" s="4"/>
      <c r="J189" s="4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4"/>
      <c r="W189" s="7"/>
      <c r="X189" s="7"/>
      <c r="Y189" s="7"/>
    </row>
    <row r="190">
      <c r="A190" s="4"/>
      <c r="B190" s="4"/>
      <c r="C190" s="8"/>
      <c r="D190" s="5"/>
      <c r="E190" s="6"/>
      <c r="F190" s="6"/>
      <c r="G190" s="6"/>
      <c r="H190" s="4"/>
      <c r="I190" s="4"/>
      <c r="J190" s="4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4"/>
      <c r="W190" s="7"/>
      <c r="X190" s="7"/>
      <c r="Y190" s="7"/>
    </row>
    <row r="191">
      <c r="A191" s="4"/>
      <c r="B191" s="4"/>
      <c r="C191" s="8"/>
      <c r="D191" s="5"/>
      <c r="E191" s="6"/>
      <c r="F191" s="6"/>
      <c r="G191" s="6"/>
      <c r="H191" s="4"/>
      <c r="I191" s="4"/>
      <c r="J191" s="4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4"/>
      <c r="W191" s="7"/>
      <c r="X191" s="7"/>
      <c r="Y191" s="7"/>
    </row>
    <row r="192">
      <c r="A192" s="4"/>
      <c r="B192" s="4"/>
      <c r="C192" s="8"/>
      <c r="D192" s="5"/>
      <c r="E192" s="6"/>
      <c r="F192" s="6"/>
      <c r="G192" s="6"/>
      <c r="H192" s="4"/>
      <c r="I192" s="4"/>
      <c r="J192" s="4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4"/>
      <c r="W192" s="7"/>
      <c r="X192" s="7"/>
      <c r="Y192" s="7"/>
    </row>
    <row r="193">
      <c r="A193" s="4"/>
      <c r="B193" s="4"/>
      <c r="C193" s="8"/>
      <c r="D193" s="5"/>
      <c r="E193" s="6"/>
      <c r="F193" s="6"/>
      <c r="G193" s="6"/>
      <c r="H193" s="4"/>
      <c r="I193" s="4"/>
      <c r="J193" s="4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4"/>
      <c r="W193" s="7"/>
      <c r="X193" s="7"/>
      <c r="Y193" s="7"/>
    </row>
    <row r="194">
      <c r="A194" s="4"/>
      <c r="B194" s="4"/>
      <c r="C194" s="8"/>
      <c r="D194" s="5"/>
      <c r="E194" s="6"/>
      <c r="F194" s="6"/>
      <c r="G194" s="6"/>
      <c r="H194" s="4"/>
      <c r="I194" s="4"/>
      <c r="J194" s="4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4"/>
      <c r="W194" s="7"/>
      <c r="X194" s="7"/>
      <c r="Y194" s="7"/>
    </row>
    <row r="195">
      <c r="A195" s="4"/>
      <c r="B195" s="4"/>
      <c r="C195" s="8"/>
      <c r="D195" s="5"/>
      <c r="E195" s="6"/>
      <c r="F195" s="6"/>
      <c r="G195" s="6"/>
      <c r="H195" s="4"/>
      <c r="I195" s="4"/>
      <c r="J195" s="4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4"/>
      <c r="W195" s="7"/>
      <c r="X195" s="7"/>
      <c r="Y195" s="7"/>
    </row>
    <row r="196">
      <c r="A196" s="4"/>
      <c r="B196" s="4"/>
      <c r="C196" s="8"/>
      <c r="D196" s="5"/>
      <c r="E196" s="6"/>
      <c r="F196" s="6"/>
      <c r="G196" s="6"/>
      <c r="H196" s="4"/>
      <c r="I196" s="4"/>
      <c r="J196" s="4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4"/>
      <c r="W196" s="7"/>
      <c r="X196" s="7"/>
      <c r="Y196" s="7"/>
    </row>
    <row r="197">
      <c r="A197" s="4"/>
      <c r="B197" s="4"/>
      <c r="C197" s="8"/>
      <c r="D197" s="5"/>
      <c r="E197" s="6"/>
      <c r="F197" s="6"/>
      <c r="G197" s="6"/>
      <c r="H197" s="4"/>
      <c r="I197" s="4"/>
      <c r="J197" s="4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4"/>
      <c r="W197" s="7"/>
      <c r="X197" s="7"/>
      <c r="Y197" s="7"/>
    </row>
    <row r="198">
      <c r="A198" s="4"/>
      <c r="B198" s="4"/>
      <c r="C198" s="8"/>
      <c r="D198" s="5"/>
      <c r="E198" s="6"/>
      <c r="F198" s="6"/>
      <c r="G198" s="6"/>
      <c r="H198" s="4"/>
      <c r="I198" s="4"/>
      <c r="J198" s="4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4"/>
      <c r="W198" s="7"/>
      <c r="X198" s="7"/>
      <c r="Y198" s="7"/>
    </row>
    <row r="199">
      <c r="A199" s="4"/>
      <c r="B199" s="4"/>
      <c r="C199" s="8"/>
      <c r="D199" s="5"/>
      <c r="E199" s="6"/>
      <c r="F199" s="6"/>
      <c r="G199" s="6"/>
      <c r="H199" s="4"/>
      <c r="I199" s="4"/>
      <c r="J199" s="4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4"/>
      <c r="W199" s="7"/>
      <c r="X199" s="7"/>
      <c r="Y199" s="7"/>
    </row>
    <row r="200">
      <c r="A200" s="4"/>
      <c r="B200" s="4"/>
      <c r="C200" s="8"/>
      <c r="D200" s="5"/>
      <c r="E200" s="6"/>
      <c r="F200" s="6"/>
      <c r="G200" s="6"/>
      <c r="H200" s="4"/>
      <c r="I200" s="4"/>
      <c r="J200" s="4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4"/>
      <c r="W200" s="7"/>
      <c r="X200" s="7"/>
      <c r="Y200" s="7"/>
    </row>
    <row r="201">
      <c r="A201" s="4"/>
      <c r="B201" s="4"/>
      <c r="C201" s="8"/>
      <c r="D201" s="5"/>
      <c r="E201" s="6"/>
      <c r="F201" s="6"/>
      <c r="G201" s="6"/>
      <c r="H201" s="4"/>
      <c r="I201" s="4"/>
      <c r="J201" s="4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4"/>
      <c r="B202" s="4"/>
      <c r="C202" s="8"/>
      <c r="D202" s="5"/>
      <c r="E202" s="6"/>
      <c r="F202" s="6"/>
      <c r="G202" s="6"/>
      <c r="H202" s="4"/>
      <c r="I202" s="4"/>
      <c r="J202" s="4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4"/>
      <c r="B203" s="4"/>
      <c r="C203" s="8"/>
      <c r="D203" s="5"/>
      <c r="E203" s="6"/>
      <c r="F203" s="6"/>
      <c r="G203" s="6"/>
      <c r="H203" s="4"/>
      <c r="I203" s="4"/>
      <c r="J203" s="4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4"/>
      <c r="B204" s="4"/>
      <c r="C204" s="8"/>
      <c r="D204" s="5"/>
      <c r="E204" s="6"/>
      <c r="F204" s="6"/>
      <c r="G204" s="6"/>
      <c r="H204" s="4"/>
      <c r="I204" s="4"/>
      <c r="J204" s="4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4"/>
      <c r="B205" s="4"/>
      <c r="C205" s="8"/>
      <c r="D205" s="5"/>
      <c r="E205" s="6"/>
      <c r="F205" s="6"/>
      <c r="G205" s="6"/>
      <c r="H205" s="4"/>
      <c r="I205" s="4"/>
      <c r="J205" s="4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4"/>
      <c r="B206" s="4"/>
      <c r="C206" s="8"/>
      <c r="D206" s="5"/>
      <c r="E206" s="6"/>
      <c r="F206" s="6"/>
      <c r="G206" s="6"/>
      <c r="H206" s="4"/>
      <c r="I206" s="4"/>
      <c r="J206" s="4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4"/>
      <c r="B207" s="4"/>
      <c r="C207" s="8"/>
      <c r="D207" s="5"/>
      <c r="E207" s="6"/>
      <c r="F207" s="6"/>
      <c r="G207" s="6"/>
      <c r="H207" s="4"/>
      <c r="I207" s="4"/>
      <c r="J207" s="4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4"/>
      <c r="B208" s="4"/>
      <c r="C208" s="8"/>
      <c r="D208" s="5"/>
      <c r="E208" s="6"/>
      <c r="F208" s="6"/>
      <c r="G208" s="6"/>
      <c r="H208" s="4"/>
      <c r="I208" s="4"/>
      <c r="J208" s="4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4"/>
      <c r="B209" s="4"/>
      <c r="C209" s="8"/>
      <c r="D209" s="5"/>
      <c r="E209" s="6"/>
      <c r="F209" s="6"/>
      <c r="G209" s="6"/>
      <c r="H209" s="4"/>
      <c r="I209" s="4"/>
      <c r="J209" s="4"/>
      <c r="K209" s="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4"/>
      <c r="B210" s="4"/>
      <c r="C210" s="8"/>
      <c r="D210" s="5"/>
      <c r="E210" s="6"/>
      <c r="F210" s="6"/>
      <c r="G210" s="6"/>
      <c r="H210" s="4"/>
      <c r="I210" s="4"/>
      <c r="J210" s="4"/>
      <c r="K210" s="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4"/>
      <c r="B211" s="4"/>
      <c r="C211" s="8"/>
      <c r="D211" s="5"/>
      <c r="E211" s="6"/>
      <c r="F211" s="6"/>
      <c r="G211" s="6"/>
      <c r="H211" s="4"/>
      <c r="I211" s="4"/>
      <c r="J211" s="4"/>
      <c r="K211" s="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4"/>
      <c r="B212" s="4"/>
      <c r="C212" s="8"/>
      <c r="D212" s="5"/>
      <c r="E212" s="6"/>
      <c r="F212" s="6"/>
      <c r="G212" s="6"/>
      <c r="H212" s="4"/>
      <c r="I212" s="4"/>
      <c r="J212" s="4"/>
      <c r="K212" s="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4"/>
      <c r="B213" s="4"/>
      <c r="C213" s="8"/>
      <c r="D213" s="5"/>
      <c r="E213" s="6"/>
      <c r="F213" s="6"/>
      <c r="G213" s="6"/>
      <c r="H213" s="4"/>
      <c r="I213" s="4"/>
      <c r="J213" s="4"/>
      <c r="K213" s="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4"/>
      <c r="B214" s="4"/>
      <c r="C214" s="8"/>
      <c r="D214" s="5"/>
      <c r="E214" s="6"/>
      <c r="F214" s="6"/>
      <c r="G214" s="6"/>
      <c r="H214" s="4"/>
      <c r="I214" s="4"/>
      <c r="J214" s="4"/>
      <c r="K214" s="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4"/>
      <c r="B215" s="4"/>
      <c r="C215" s="8"/>
      <c r="D215" s="5"/>
      <c r="E215" s="6"/>
      <c r="F215" s="6"/>
      <c r="G215" s="6"/>
      <c r="H215" s="4"/>
      <c r="I215" s="4"/>
      <c r="J215" s="4"/>
      <c r="K215" s="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4"/>
      <c r="B216" s="4"/>
      <c r="C216" s="8"/>
      <c r="D216" s="5"/>
      <c r="E216" s="6"/>
      <c r="F216" s="6"/>
      <c r="G216" s="6"/>
      <c r="H216" s="4"/>
      <c r="I216" s="4"/>
      <c r="J216" s="4"/>
      <c r="K216" s="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4"/>
      <c r="B217" s="4"/>
      <c r="C217" s="8"/>
      <c r="D217" s="5"/>
      <c r="E217" s="6"/>
      <c r="F217" s="6"/>
      <c r="G217" s="6"/>
      <c r="H217" s="4"/>
      <c r="I217" s="4"/>
      <c r="J217" s="4"/>
      <c r="K217" s="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4"/>
      <c r="B218" s="4"/>
      <c r="C218" s="8"/>
      <c r="D218" s="5"/>
      <c r="E218" s="6"/>
      <c r="F218" s="6"/>
      <c r="G218" s="6"/>
      <c r="H218" s="4"/>
      <c r="I218" s="4"/>
      <c r="J218" s="4"/>
      <c r="K218" s="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4"/>
      <c r="B219" s="4"/>
      <c r="C219" s="8"/>
      <c r="D219" s="5"/>
      <c r="E219" s="6"/>
      <c r="F219" s="6"/>
      <c r="G219" s="6"/>
      <c r="H219" s="4"/>
      <c r="I219" s="4"/>
      <c r="J219" s="4"/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4"/>
      <c r="B220" s="4"/>
      <c r="C220" s="8"/>
      <c r="D220" s="5"/>
      <c r="E220" s="6"/>
      <c r="F220" s="6"/>
      <c r="G220" s="6"/>
      <c r="H220" s="4"/>
      <c r="I220" s="4"/>
      <c r="J220" s="4"/>
      <c r="K220" s="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4"/>
      <c r="B221" s="4"/>
      <c r="C221" s="8"/>
      <c r="D221" s="5"/>
      <c r="E221" s="6"/>
      <c r="F221" s="6"/>
      <c r="G221" s="6"/>
      <c r="H221" s="4"/>
      <c r="I221" s="4"/>
      <c r="J221" s="4"/>
      <c r="K221" s="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4"/>
      <c r="B222" s="4"/>
      <c r="C222" s="8"/>
      <c r="D222" s="5"/>
      <c r="E222" s="6"/>
      <c r="F222" s="6"/>
      <c r="G222" s="6"/>
      <c r="H222" s="4"/>
      <c r="I222" s="4"/>
      <c r="J222" s="4"/>
      <c r="K222" s="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4"/>
      <c r="B223" s="4"/>
      <c r="C223" s="8"/>
      <c r="D223" s="5"/>
      <c r="E223" s="6"/>
      <c r="F223" s="6"/>
      <c r="G223" s="6"/>
      <c r="H223" s="4"/>
      <c r="I223" s="4"/>
      <c r="J223" s="4"/>
      <c r="K223" s="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4"/>
      <c r="B224" s="4"/>
      <c r="C224" s="8"/>
      <c r="D224" s="5"/>
      <c r="E224" s="6"/>
      <c r="F224" s="6"/>
      <c r="G224" s="6"/>
      <c r="H224" s="4"/>
      <c r="I224" s="4"/>
      <c r="J224" s="4"/>
      <c r="K224" s="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4"/>
      <c r="B225" s="4"/>
      <c r="C225" s="8"/>
      <c r="D225" s="5"/>
      <c r="E225" s="6"/>
      <c r="F225" s="6"/>
      <c r="G225" s="6"/>
      <c r="H225" s="4"/>
      <c r="I225" s="4"/>
      <c r="J225" s="4"/>
      <c r="K225" s="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4"/>
      <c r="B226" s="4"/>
      <c r="C226" s="8"/>
      <c r="D226" s="5"/>
      <c r="E226" s="6"/>
      <c r="F226" s="6"/>
      <c r="G226" s="6"/>
      <c r="H226" s="4"/>
      <c r="I226" s="4"/>
      <c r="J226" s="4"/>
      <c r="K226" s="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4"/>
      <c r="B227" s="4"/>
      <c r="C227" s="8"/>
      <c r="D227" s="5"/>
      <c r="E227" s="6"/>
      <c r="F227" s="6"/>
      <c r="G227" s="6"/>
      <c r="H227" s="4"/>
      <c r="I227" s="4"/>
      <c r="J227" s="4"/>
      <c r="K227" s="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4"/>
      <c r="B228" s="4"/>
      <c r="C228" s="8"/>
      <c r="D228" s="5"/>
      <c r="E228" s="6"/>
      <c r="F228" s="6"/>
      <c r="G228" s="6"/>
      <c r="H228" s="4"/>
      <c r="I228" s="4"/>
      <c r="J228" s="4"/>
      <c r="K228" s="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4"/>
      <c r="B229" s="4"/>
      <c r="C229" s="8"/>
      <c r="D229" s="5"/>
      <c r="E229" s="6"/>
      <c r="F229" s="6"/>
      <c r="G229" s="6"/>
      <c r="H229" s="4"/>
      <c r="I229" s="4"/>
      <c r="J229" s="4"/>
      <c r="K229" s="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4"/>
      <c r="B230" s="4"/>
      <c r="C230" s="4"/>
      <c r="D230" s="5"/>
      <c r="E230" s="6"/>
      <c r="F230" s="6"/>
      <c r="G230" s="6"/>
      <c r="H230" s="4"/>
      <c r="I230" s="4"/>
      <c r="J230" s="4"/>
      <c r="K230" s="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4"/>
      <c r="B231" s="4"/>
      <c r="C231" s="4"/>
      <c r="D231" s="5"/>
      <c r="E231" s="6"/>
      <c r="F231" s="6"/>
      <c r="G231" s="6"/>
      <c r="H231" s="4"/>
      <c r="I231" s="4"/>
      <c r="J231" s="4"/>
      <c r="K231" s="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4"/>
      <c r="B232" s="4"/>
      <c r="C232" s="4"/>
      <c r="D232" s="5"/>
      <c r="E232" s="6"/>
      <c r="F232" s="6"/>
      <c r="G232" s="6"/>
      <c r="H232" s="4"/>
      <c r="I232" s="4"/>
      <c r="J232" s="4"/>
      <c r="K232" s="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4"/>
      <c r="B233" s="4"/>
      <c r="C233" s="8"/>
      <c r="D233" s="5"/>
      <c r="E233" s="6"/>
      <c r="F233" s="6"/>
      <c r="G233" s="6"/>
      <c r="H233" s="4"/>
      <c r="I233" s="4"/>
      <c r="J233" s="4"/>
      <c r="K233" s="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4"/>
      <c r="B234" s="4"/>
      <c r="C234" s="8"/>
      <c r="D234" s="5"/>
      <c r="E234" s="6"/>
      <c r="F234" s="6"/>
      <c r="G234" s="6"/>
      <c r="H234" s="4"/>
      <c r="I234" s="4"/>
      <c r="J234" s="4"/>
      <c r="K234" s="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4"/>
      <c r="B235" s="4"/>
      <c r="C235" s="8"/>
      <c r="D235" s="5"/>
      <c r="E235" s="6"/>
      <c r="F235" s="6"/>
      <c r="G235" s="6"/>
      <c r="H235" s="4"/>
      <c r="I235" s="4"/>
      <c r="J235" s="4"/>
      <c r="K235" s="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4"/>
      <c r="B236" s="4"/>
      <c r="C236" s="8"/>
      <c r="D236" s="5"/>
      <c r="E236" s="6"/>
      <c r="F236" s="6"/>
      <c r="G236" s="6"/>
      <c r="H236" s="4"/>
      <c r="I236" s="4"/>
      <c r="J236" s="4"/>
      <c r="K236" s="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4"/>
      <c r="B237" s="4"/>
      <c r="C237" s="8"/>
      <c r="D237" s="5"/>
      <c r="E237" s="6"/>
      <c r="F237" s="6"/>
      <c r="G237" s="6"/>
      <c r="H237" s="4"/>
      <c r="I237" s="4"/>
      <c r="J237" s="4"/>
      <c r="K237" s="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4"/>
      <c r="B238" s="4"/>
      <c r="C238" s="8"/>
      <c r="D238" s="5"/>
      <c r="E238" s="6"/>
      <c r="F238" s="6"/>
      <c r="G238" s="6"/>
      <c r="H238" s="4"/>
      <c r="I238" s="4"/>
      <c r="J238" s="4"/>
      <c r="K238" s="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4"/>
      <c r="B239" s="4"/>
      <c r="C239" s="8"/>
      <c r="D239" s="5"/>
      <c r="E239" s="6"/>
      <c r="F239" s="6"/>
      <c r="G239" s="6"/>
      <c r="H239" s="4"/>
      <c r="I239" s="4"/>
      <c r="J239" s="4"/>
      <c r="K239" s="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4"/>
      <c r="B240" s="4"/>
      <c r="C240" s="8"/>
      <c r="D240" s="9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11"/>
      <c r="D241" s="9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11"/>
      <c r="D242" s="9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11"/>
      <c r="D243" s="9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11"/>
      <c r="D244" s="9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11"/>
      <c r="D245" s="9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11"/>
      <c r="D246" s="9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11"/>
      <c r="D247" s="9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11"/>
      <c r="D248" s="9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11"/>
      <c r="D249" s="9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11"/>
      <c r="D250" s="9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11"/>
      <c r="D251" s="9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11"/>
      <c r="D252" s="9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11"/>
      <c r="D253" s="9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11"/>
      <c r="D254" s="9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11"/>
      <c r="D255" s="9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11"/>
      <c r="D256" s="9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11"/>
      <c r="D257" s="9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11"/>
      <c r="D258" s="9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11"/>
      <c r="D259" s="9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11"/>
      <c r="D260" s="9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11"/>
      <c r="D261" s="9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11"/>
      <c r="D262" s="9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11"/>
      <c r="D263" s="9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11"/>
      <c r="D264" s="9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11"/>
      <c r="D265" s="9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11"/>
      <c r="D266" s="9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11"/>
      <c r="D267" s="9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11"/>
      <c r="D268" s="9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11"/>
      <c r="D269" s="9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11"/>
      <c r="D270" s="9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11"/>
      <c r="D271" s="9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11"/>
      <c r="D272" s="9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11"/>
      <c r="D273" s="9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11"/>
      <c r="D274" s="9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11"/>
      <c r="D275" s="9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11"/>
      <c r="D276" s="9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11"/>
      <c r="D277" s="9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11"/>
      <c r="D278" s="9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11"/>
      <c r="D279" s="9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11"/>
      <c r="D280" s="9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11"/>
      <c r="D281" s="9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11"/>
      <c r="D282" s="9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11"/>
      <c r="D283" s="9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11"/>
      <c r="D284" s="9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11"/>
      <c r="D285" s="9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11"/>
      <c r="D286" s="9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11"/>
      <c r="D287" s="9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11"/>
      <c r="D288" s="9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11"/>
      <c r="D289" s="9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11"/>
      <c r="D290" s="9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11"/>
      <c r="D291" s="9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11"/>
      <c r="D292" s="9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11"/>
      <c r="D293" s="9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11"/>
      <c r="D294" s="9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11"/>
      <c r="D295" s="9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11"/>
      <c r="D296" s="9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11"/>
      <c r="D297" s="9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11"/>
      <c r="D298" s="9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11"/>
      <c r="D299" s="9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11"/>
      <c r="D300" s="9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11"/>
      <c r="D301" s="9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11"/>
      <c r="D302" s="9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11"/>
      <c r="D303" s="9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11"/>
      <c r="D304" s="9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11"/>
      <c r="D305" s="9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11"/>
      <c r="D306" s="9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11"/>
      <c r="D307" s="9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11"/>
      <c r="D308" s="9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11"/>
      <c r="D309" s="9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11"/>
      <c r="D310" s="9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11"/>
      <c r="D311" s="9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11"/>
      <c r="D312" s="9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11"/>
      <c r="D313" s="9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11"/>
      <c r="D314" s="9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11"/>
      <c r="D315" s="9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11"/>
      <c r="D316" s="9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11"/>
      <c r="D317" s="9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11"/>
      <c r="D318" s="9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11"/>
      <c r="D319" s="9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11"/>
      <c r="D320" s="9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11"/>
      <c r="D321" s="9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11"/>
      <c r="D322" s="9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11"/>
      <c r="D323" s="9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11"/>
      <c r="D324" s="9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11"/>
      <c r="D325" s="9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11"/>
      <c r="D326" s="9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11"/>
      <c r="D327" s="9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11"/>
      <c r="D328" s="9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11"/>
      <c r="D329" s="9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11"/>
      <c r="D330" s="9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11"/>
      <c r="D331" s="9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11"/>
      <c r="D332" s="9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11"/>
      <c r="D333" s="9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11"/>
      <c r="D334" s="9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11"/>
      <c r="D335" s="9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11"/>
      <c r="D336" s="9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11"/>
      <c r="D337" s="9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11"/>
      <c r="D338" s="9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11"/>
      <c r="D339" s="9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11"/>
      <c r="D340" s="9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11"/>
      <c r="D341" s="9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11"/>
      <c r="D342" s="9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11"/>
      <c r="D343" s="9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11"/>
      <c r="D344" s="9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11"/>
      <c r="D345" s="9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11"/>
      <c r="D346" s="9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11"/>
      <c r="D347" s="9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11"/>
      <c r="D348" s="9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11"/>
      <c r="D349" s="9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11"/>
      <c r="D350" s="9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11"/>
      <c r="D351" s="9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11"/>
      <c r="D352" s="9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11"/>
      <c r="D353" s="9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11"/>
      <c r="D354" s="9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11"/>
      <c r="D355" s="9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11"/>
      <c r="D356" s="9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11"/>
      <c r="D357" s="9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11"/>
      <c r="D358" s="9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11"/>
      <c r="D359" s="9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11"/>
      <c r="D360" s="9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11"/>
      <c r="D361" s="9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11"/>
      <c r="D362" s="9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11"/>
      <c r="D363" s="9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11"/>
      <c r="D364" s="9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11"/>
      <c r="D365" s="9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11"/>
      <c r="D366" s="9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11"/>
      <c r="D367" s="9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11"/>
      <c r="D368" s="9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11"/>
      <c r="D369" s="9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11"/>
      <c r="D370" s="9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11"/>
      <c r="D371" s="9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11"/>
      <c r="D372" s="9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11"/>
      <c r="D373" s="9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11"/>
      <c r="D374" s="9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11"/>
      <c r="D375" s="9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11"/>
      <c r="D376" s="9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11"/>
      <c r="D377" s="9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11"/>
      <c r="D378" s="9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11"/>
      <c r="D379" s="9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11"/>
      <c r="D380" s="9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11"/>
      <c r="D381" s="9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11"/>
      <c r="D382" s="9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11"/>
      <c r="D383" s="9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11"/>
      <c r="D384" s="9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11"/>
      <c r="D385" s="9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11"/>
      <c r="D386" s="9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11"/>
      <c r="D387" s="9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11"/>
      <c r="D388" s="9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11"/>
      <c r="D389" s="9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11"/>
      <c r="D390" s="9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11"/>
      <c r="D391" s="9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11"/>
      <c r="D392" s="9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11"/>
      <c r="D393" s="9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11"/>
      <c r="D394" s="9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11"/>
      <c r="D395" s="9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11"/>
      <c r="D396" s="9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11"/>
      <c r="D397" s="9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11"/>
      <c r="D398" s="9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11"/>
      <c r="D399" s="9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11"/>
      <c r="D400" s="9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11"/>
      <c r="D401" s="9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11"/>
      <c r="D402" s="9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11"/>
      <c r="D403" s="9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11"/>
      <c r="D404" s="9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11"/>
      <c r="D405" s="9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11"/>
      <c r="D406" s="9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11"/>
      <c r="D407" s="9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11"/>
      <c r="D408" s="9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11"/>
      <c r="D409" s="9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11"/>
      <c r="D410" s="9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11"/>
      <c r="D411" s="9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11"/>
      <c r="D412" s="9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11"/>
      <c r="D413" s="9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11"/>
      <c r="D414" s="9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11"/>
      <c r="D415" s="9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11"/>
      <c r="D416" s="9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11"/>
      <c r="D417" s="9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11"/>
      <c r="D418" s="9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11"/>
      <c r="D419" s="9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11"/>
      <c r="D420" s="9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11"/>
      <c r="D421" s="9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11"/>
      <c r="D422" s="9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11"/>
      <c r="D423" s="9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11"/>
      <c r="D424" s="9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11"/>
      <c r="D425" s="9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11"/>
      <c r="D426" s="9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11"/>
      <c r="D427" s="9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11"/>
      <c r="D428" s="9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11"/>
      <c r="D429" s="9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11"/>
      <c r="D430" s="9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11"/>
      <c r="D431" s="9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11"/>
      <c r="D432" s="9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11"/>
      <c r="D433" s="9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11"/>
      <c r="D434" s="9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11"/>
      <c r="D435" s="9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11"/>
      <c r="D436" s="9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11"/>
      <c r="D437" s="9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11"/>
      <c r="D438" s="9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11"/>
      <c r="D439" s="9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11"/>
      <c r="D440" s="9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11"/>
      <c r="D441" s="9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11"/>
      <c r="D442" s="9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11"/>
      <c r="D443" s="9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11"/>
      <c r="D444" s="9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11"/>
      <c r="D445" s="9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11"/>
      <c r="D446" s="9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11"/>
      <c r="D447" s="9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11"/>
      <c r="D448" s="9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11"/>
      <c r="D449" s="9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11"/>
      <c r="D450" s="9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11"/>
      <c r="D451" s="9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11"/>
      <c r="D452" s="9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11"/>
      <c r="D453" s="9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11"/>
      <c r="D454" s="9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11"/>
      <c r="D455" s="9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11"/>
      <c r="D456" s="9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11"/>
      <c r="D457" s="9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11"/>
      <c r="D458" s="9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11"/>
      <c r="D459" s="9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11"/>
      <c r="D460" s="9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11"/>
      <c r="D461" s="9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11"/>
      <c r="D462" s="9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11"/>
      <c r="D463" s="9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11"/>
      <c r="D464" s="9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11"/>
      <c r="D465" s="9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11"/>
      <c r="D466" s="9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11"/>
      <c r="D467" s="9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11"/>
      <c r="D468" s="9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11"/>
      <c r="D469" s="9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11"/>
      <c r="D470" s="9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11"/>
      <c r="D471" s="9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11"/>
      <c r="D472" s="9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11"/>
      <c r="D473" s="9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11"/>
      <c r="D474" s="9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11"/>
      <c r="D475" s="9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11"/>
      <c r="D476" s="9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11"/>
      <c r="D477" s="9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11"/>
      <c r="D478" s="9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11"/>
      <c r="D479" s="9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11"/>
      <c r="D480" s="9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11"/>
      <c r="D481" s="9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11"/>
      <c r="D482" s="9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11"/>
      <c r="D483" s="9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11"/>
      <c r="D484" s="9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11"/>
      <c r="D485" s="9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11"/>
      <c r="D486" s="9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11"/>
      <c r="D487" s="9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11"/>
      <c r="D488" s="9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11"/>
      <c r="D489" s="9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11"/>
      <c r="D490" s="9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11"/>
      <c r="D491" s="9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11"/>
      <c r="D492" s="9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11"/>
      <c r="D493" s="9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11"/>
      <c r="D494" s="9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11"/>
      <c r="D495" s="9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11"/>
      <c r="D496" s="9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11"/>
      <c r="D497" s="9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11"/>
      <c r="D498" s="9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11"/>
      <c r="D499" s="9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11"/>
      <c r="D500" s="9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11"/>
      <c r="D501" s="9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11"/>
      <c r="D502" s="9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11"/>
      <c r="D503" s="9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11"/>
      <c r="D504" s="9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11"/>
      <c r="D505" s="9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11"/>
      <c r="D506" s="9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11"/>
      <c r="D507" s="9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11"/>
      <c r="D508" s="9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11"/>
      <c r="D509" s="9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11"/>
      <c r="D510" s="9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11"/>
      <c r="D511" s="9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11"/>
      <c r="D512" s="9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11"/>
      <c r="D513" s="9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11"/>
      <c r="D514" s="9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11"/>
      <c r="D515" s="9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11"/>
      <c r="D516" s="9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11"/>
      <c r="D517" s="9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11"/>
      <c r="D518" s="9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11"/>
      <c r="D519" s="9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11"/>
      <c r="D520" s="9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11"/>
      <c r="D521" s="9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11"/>
      <c r="D522" s="9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11"/>
      <c r="D523" s="9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11"/>
      <c r="D524" s="9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11"/>
      <c r="D525" s="9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11"/>
      <c r="D526" s="9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11"/>
      <c r="D527" s="9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11"/>
      <c r="D528" s="9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11"/>
      <c r="D529" s="9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11"/>
      <c r="D530" s="9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11"/>
      <c r="D531" s="9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11"/>
      <c r="D532" s="9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11"/>
      <c r="D533" s="9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11"/>
      <c r="D534" s="9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11"/>
      <c r="D535" s="9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11"/>
      <c r="D536" s="9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11"/>
      <c r="D537" s="9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11"/>
      <c r="D538" s="9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11"/>
      <c r="D539" s="9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11"/>
      <c r="D540" s="9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11"/>
      <c r="D541" s="9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11"/>
      <c r="D542" s="9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11"/>
      <c r="D543" s="9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11"/>
      <c r="D544" s="9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11"/>
      <c r="D545" s="9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11"/>
      <c r="D546" s="9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11"/>
      <c r="D547" s="9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11"/>
      <c r="D548" s="9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11"/>
      <c r="D549" s="9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11"/>
      <c r="D550" s="9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11"/>
      <c r="D551" s="9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11"/>
      <c r="D552" s="9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11"/>
      <c r="D553" s="9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11"/>
      <c r="D554" s="9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11"/>
      <c r="D555" s="9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11"/>
      <c r="D556" s="9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11"/>
      <c r="D557" s="9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11"/>
      <c r="D558" s="9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11"/>
      <c r="D559" s="9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11"/>
      <c r="D560" s="9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11"/>
      <c r="D561" s="9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11"/>
      <c r="D562" s="9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11"/>
      <c r="D563" s="9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11"/>
      <c r="D564" s="9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11"/>
      <c r="D565" s="9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11"/>
      <c r="D566" s="9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11"/>
      <c r="D567" s="9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11"/>
      <c r="D568" s="9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11"/>
      <c r="D569" s="9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11"/>
      <c r="D570" s="9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11"/>
      <c r="D571" s="9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11"/>
      <c r="D572" s="9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11"/>
      <c r="D573" s="9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11"/>
      <c r="D574" s="9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11"/>
      <c r="D575" s="9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11"/>
      <c r="D576" s="9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11"/>
      <c r="D577" s="9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11"/>
      <c r="D578" s="9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11"/>
      <c r="D579" s="9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11"/>
      <c r="D580" s="9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11"/>
      <c r="D581" s="9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11"/>
      <c r="D582" s="9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11"/>
      <c r="D583" s="9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11"/>
      <c r="D584" s="9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11"/>
      <c r="D585" s="9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11"/>
      <c r="D586" s="9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11"/>
      <c r="D587" s="9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11"/>
      <c r="D588" s="9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11"/>
      <c r="D589" s="9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11"/>
      <c r="D590" s="9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11"/>
      <c r="D591" s="9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11"/>
      <c r="D592" s="9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11"/>
      <c r="D593" s="9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11"/>
      <c r="D594" s="9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11"/>
      <c r="D595" s="9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11"/>
      <c r="D596" s="9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11"/>
      <c r="D597" s="9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11"/>
      <c r="D598" s="9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11"/>
      <c r="D599" s="9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11"/>
      <c r="D600" s="9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11"/>
      <c r="D601" s="9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11"/>
      <c r="D602" s="9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11"/>
      <c r="D603" s="9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11"/>
      <c r="D604" s="9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11"/>
      <c r="D605" s="9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11"/>
      <c r="D606" s="9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11"/>
      <c r="D607" s="9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11"/>
      <c r="D608" s="9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11"/>
      <c r="D609" s="9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11"/>
      <c r="D610" s="9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11"/>
      <c r="D611" s="9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11"/>
      <c r="D612" s="9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11"/>
      <c r="D613" s="9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11"/>
      <c r="D614" s="9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11"/>
      <c r="D615" s="9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11"/>
      <c r="D616" s="9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11"/>
      <c r="D617" s="9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11"/>
      <c r="D618" s="9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11"/>
      <c r="D619" s="9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11"/>
      <c r="D620" s="9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11"/>
      <c r="D621" s="9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11"/>
      <c r="D622" s="9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11"/>
      <c r="D623" s="9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11"/>
      <c r="D624" s="9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11"/>
      <c r="D625" s="9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11"/>
      <c r="D626" s="9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11"/>
      <c r="D627" s="9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11"/>
      <c r="D628" s="9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11"/>
      <c r="D629" s="9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11"/>
      <c r="D630" s="9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11"/>
      <c r="D631" s="9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11"/>
      <c r="D632" s="9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11"/>
      <c r="D633" s="9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11"/>
      <c r="D634" s="9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11"/>
      <c r="D635" s="9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11"/>
      <c r="D636" s="9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11"/>
      <c r="D637" s="9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11"/>
      <c r="D638" s="9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11"/>
      <c r="D639" s="9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11"/>
      <c r="D640" s="9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11"/>
      <c r="D641" s="9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11"/>
      <c r="D642" s="9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11"/>
      <c r="D643" s="9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11"/>
      <c r="D644" s="9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11"/>
      <c r="D645" s="9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11"/>
      <c r="D646" s="9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11"/>
      <c r="D647" s="9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11"/>
      <c r="D648" s="9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11"/>
      <c r="D649" s="9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11"/>
      <c r="D650" s="9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11"/>
      <c r="D651" s="9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11"/>
      <c r="D652" s="9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11"/>
      <c r="D653" s="9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11"/>
      <c r="D654" s="9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11"/>
      <c r="D655" s="9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11"/>
      <c r="D656" s="9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11"/>
      <c r="D657" s="9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11"/>
      <c r="D658" s="9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11"/>
      <c r="D659" s="9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11"/>
      <c r="D660" s="9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11"/>
      <c r="D661" s="9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11"/>
      <c r="D662" s="9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11"/>
      <c r="D663" s="9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11"/>
      <c r="D664" s="9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11"/>
      <c r="D665" s="9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11"/>
      <c r="D666" s="9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11"/>
      <c r="D667" s="9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11"/>
      <c r="D668" s="9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11"/>
      <c r="D669" s="9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11"/>
      <c r="D670" s="9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11"/>
      <c r="D671" s="9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11"/>
      <c r="D672" s="9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11"/>
      <c r="D673" s="9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11"/>
      <c r="D674" s="9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11"/>
      <c r="D675" s="9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11"/>
      <c r="D676" s="9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11"/>
      <c r="D677" s="9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11"/>
      <c r="D678" s="9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11"/>
      <c r="D679" s="9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11"/>
      <c r="D680" s="9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11"/>
      <c r="D681" s="9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11"/>
      <c r="D682" s="9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11"/>
      <c r="D683" s="9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11"/>
      <c r="D684" s="9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11"/>
      <c r="D685" s="9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11"/>
      <c r="D686" s="9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11"/>
      <c r="D687" s="9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11"/>
      <c r="D688" s="9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11"/>
      <c r="D689" s="9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11"/>
      <c r="D690" s="9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11"/>
      <c r="D691" s="9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11"/>
      <c r="D692" s="9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11"/>
      <c r="D693" s="9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11"/>
      <c r="D694" s="9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11"/>
      <c r="D695" s="9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11"/>
      <c r="D696" s="9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11"/>
      <c r="D697" s="9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11"/>
      <c r="D698" s="9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11"/>
      <c r="D699" s="9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11"/>
      <c r="D700" s="9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11"/>
      <c r="D701" s="9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11"/>
      <c r="D702" s="9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11"/>
      <c r="D703" s="9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11"/>
      <c r="D704" s="9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11"/>
      <c r="D705" s="9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11"/>
      <c r="D706" s="9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11"/>
      <c r="D707" s="9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11"/>
      <c r="D708" s="9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11"/>
      <c r="D709" s="9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11"/>
      <c r="D710" s="9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11"/>
      <c r="D711" s="9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11"/>
      <c r="D712" s="9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11"/>
      <c r="D713" s="9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11"/>
      <c r="D714" s="9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11"/>
      <c r="D715" s="9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11"/>
      <c r="D716" s="9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11"/>
      <c r="D717" s="9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11"/>
      <c r="D718" s="9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11"/>
      <c r="D719" s="9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11"/>
      <c r="D720" s="9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11"/>
      <c r="D721" s="9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11"/>
      <c r="D722" s="9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11"/>
      <c r="D723" s="9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11"/>
      <c r="D724" s="9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11"/>
      <c r="D725" s="9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11"/>
      <c r="D726" s="9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11"/>
      <c r="D727" s="9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11"/>
      <c r="D728" s="9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11"/>
      <c r="D729" s="9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11"/>
      <c r="D730" s="9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11"/>
      <c r="D731" s="9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11"/>
      <c r="D732" s="9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11"/>
      <c r="D733" s="9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11"/>
      <c r="D734" s="9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11"/>
      <c r="D735" s="9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11"/>
      <c r="D736" s="9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11"/>
      <c r="D737" s="9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11"/>
      <c r="D738" s="9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11"/>
      <c r="D739" s="9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11"/>
      <c r="D740" s="9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11"/>
      <c r="D741" s="9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11"/>
      <c r="D742" s="9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11"/>
      <c r="D743" s="9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11"/>
      <c r="D744" s="9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11"/>
      <c r="D745" s="9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11"/>
      <c r="D746" s="9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11"/>
      <c r="D747" s="9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11"/>
      <c r="D748" s="9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11"/>
      <c r="D749" s="9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11"/>
      <c r="D750" s="9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11"/>
      <c r="D751" s="9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11"/>
      <c r="D752" s="9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11"/>
      <c r="D753" s="9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11"/>
      <c r="D754" s="9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11"/>
      <c r="D755" s="9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11"/>
      <c r="D756" s="9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11"/>
      <c r="D757" s="9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11"/>
      <c r="D758" s="9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11"/>
      <c r="D759" s="9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11"/>
      <c r="D760" s="9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11"/>
      <c r="D761" s="9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11"/>
      <c r="D762" s="9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11"/>
      <c r="D763" s="9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11"/>
      <c r="D764" s="9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11"/>
      <c r="D765" s="9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11"/>
      <c r="D766" s="9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11"/>
      <c r="D767" s="9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11"/>
      <c r="D768" s="9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11"/>
      <c r="D769" s="9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11"/>
      <c r="D770" s="9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11"/>
      <c r="D771" s="9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11"/>
      <c r="D772" s="9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11"/>
      <c r="D773" s="9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11"/>
      <c r="D774" s="9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11"/>
      <c r="D775" s="9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11"/>
      <c r="D776" s="9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11"/>
      <c r="D777" s="9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11"/>
      <c r="D778" s="9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11"/>
      <c r="D779" s="9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11"/>
      <c r="D780" s="9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11"/>
      <c r="D781" s="9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11"/>
      <c r="D782" s="9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11"/>
      <c r="D783" s="9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11"/>
      <c r="D784" s="9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11"/>
      <c r="D785" s="9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11"/>
      <c r="D786" s="9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11"/>
      <c r="D787" s="9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11"/>
      <c r="D788" s="9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11"/>
      <c r="D789" s="9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11"/>
      <c r="D790" s="9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11"/>
      <c r="D791" s="9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11"/>
      <c r="D792" s="9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11"/>
      <c r="D793" s="9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11"/>
      <c r="D794" s="9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11"/>
      <c r="D795" s="9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11"/>
      <c r="D796" s="9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11"/>
      <c r="D797" s="9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11"/>
      <c r="D798" s="9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11"/>
      <c r="D799" s="9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11"/>
      <c r="D800" s="9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11"/>
      <c r="D801" s="9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11"/>
      <c r="D802" s="9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11"/>
      <c r="D803" s="9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11"/>
      <c r="D804" s="9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11"/>
      <c r="D805" s="9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11"/>
      <c r="D806" s="9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11"/>
      <c r="D807" s="9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11"/>
      <c r="D808" s="9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11"/>
      <c r="D809" s="9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11"/>
      <c r="D810" s="9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11"/>
      <c r="D811" s="9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11"/>
      <c r="D812" s="9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11"/>
      <c r="D813" s="9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11"/>
      <c r="D814" s="9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11"/>
      <c r="D815" s="9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11"/>
      <c r="D816" s="9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11"/>
      <c r="D817" s="9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11"/>
      <c r="D818" s="9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11"/>
      <c r="D819" s="9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11"/>
      <c r="D820" s="9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11"/>
      <c r="D821" s="9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11"/>
      <c r="D822" s="9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11"/>
      <c r="D823" s="9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11"/>
      <c r="D824" s="9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11"/>
      <c r="D825" s="9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11"/>
      <c r="D826" s="9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11"/>
      <c r="D827" s="9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11"/>
      <c r="D828" s="9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11"/>
      <c r="D829" s="9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11"/>
      <c r="D830" s="9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11"/>
      <c r="D831" s="9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11"/>
      <c r="D832" s="9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11"/>
      <c r="D833" s="9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11"/>
      <c r="D834" s="9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11"/>
      <c r="D835" s="9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11"/>
      <c r="D836" s="9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11"/>
      <c r="D837" s="9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11"/>
      <c r="D838" s="9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11"/>
      <c r="D839" s="9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11"/>
      <c r="D840" s="9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11"/>
      <c r="D841" s="9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11"/>
      <c r="D842" s="9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11"/>
      <c r="D843" s="9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11"/>
      <c r="D844" s="9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11"/>
      <c r="D845" s="9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11"/>
      <c r="D846" s="9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11"/>
      <c r="D847" s="9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11"/>
      <c r="D848" s="9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11"/>
      <c r="D849" s="9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11"/>
      <c r="D850" s="9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11"/>
      <c r="D851" s="9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11"/>
      <c r="D852" s="9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11"/>
      <c r="D853" s="9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11"/>
      <c r="D854" s="9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11"/>
      <c r="D855" s="9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11"/>
      <c r="D856" s="9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11"/>
      <c r="D857" s="9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11"/>
      <c r="D858" s="9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11"/>
      <c r="D859" s="9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11"/>
      <c r="D860" s="9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11"/>
      <c r="D861" s="9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11"/>
      <c r="D862" s="9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11"/>
      <c r="D863" s="9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11"/>
      <c r="D864" s="9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11"/>
      <c r="D865" s="9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11"/>
      <c r="D866" s="9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11"/>
      <c r="D867" s="9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11"/>
      <c r="D868" s="9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11"/>
      <c r="D869" s="9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11"/>
      <c r="D870" s="9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11"/>
      <c r="D871" s="9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11"/>
      <c r="D872" s="9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11"/>
      <c r="D873" s="9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11"/>
      <c r="D874" s="9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11"/>
      <c r="D875" s="9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11"/>
      <c r="D876" s="9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11"/>
      <c r="D877" s="9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11"/>
      <c r="D878" s="9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11"/>
      <c r="D879" s="9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11"/>
      <c r="D880" s="9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11"/>
      <c r="D881" s="9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11"/>
      <c r="D882" s="9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11"/>
      <c r="D883" s="9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11"/>
      <c r="D884" s="9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11"/>
      <c r="D885" s="9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11"/>
      <c r="D886" s="9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11"/>
      <c r="D887" s="9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11"/>
      <c r="D888" s="9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11"/>
      <c r="D889" s="9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11"/>
      <c r="D890" s="9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11"/>
      <c r="D891" s="9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11"/>
      <c r="D892" s="9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11"/>
      <c r="D893" s="9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11"/>
      <c r="D894" s="9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11"/>
      <c r="D895" s="9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11"/>
      <c r="D896" s="9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11"/>
      <c r="D897" s="9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11"/>
      <c r="D898" s="9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11"/>
      <c r="D899" s="9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11"/>
      <c r="D900" s="9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11"/>
      <c r="D901" s="9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11"/>
      <c r="D902" s="9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11"/>
      <c r="D903" s="9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11"/>
      <c r="D904" s="9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11"/>
      <c r="D905" s="9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11"/>
      <c r="D906" s="9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11"/>
      <c r="D907" s="9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11"/>
      <c r="D908" s="9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11"/>
      <c r="D909" s="9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11"/>
      <c r="D910" s="9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11"/>
      <c r="D911" s="9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11"/>
      <c r="D912" s="9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11"/>
      <c r="D913" s="9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11"/>
      <c r="D914" s="9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11"/>
      <c r="D915" s="9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11"/>
      <c r="D916" s="9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11"/>
      <c r="D917" s="9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11"/>
      <c r="D918" s="9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11"/>
      <c r="D919" s="9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11"/>
      <c r="D920" s="9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11"/>
      <c r="D921" s="9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11"/>
      <c r="D922" s="9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11"/>
      <c r="D923" s="9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11"/>
      <c r="D924" s="9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11"/>
      <c r="D925" s="9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11"/>
      <c r="D926" s="9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11"/>
      <c r="D927" s="9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11"/>
      <c r="D928" s="9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11"/>
      <c r="D929" s="9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11"/>
      <c r="D930" s="9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11"/>
      <c r="D931" s="9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11"/>
      <c r="D932" s="9"/>
      <c r="E932" s="10"/>
      <c r="F932" s="10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11"/>
      <c r="D933" s="9"/>
      <c r="E933" s="10"/>
      <c r="F933" s="10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11"/>
      <c r="D934" s="9"/>
      <c r="E934" s="10"/>
      <c r="F934" s="10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11"/>
      <c r="D935" s="9"/>
      <c r="E935" s="10"/>
      <c r="F935" s="10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11"/>
      <c r="D936" s="9"/>
      <c r="E936" s="10"/>
      <c r="F936" s="10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11"/>
      <c r="D937" s="9"/>
      <c r="E937" s="10"/>
      <c r="F937" s="10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11"/>
      <c r="D938" s="9"/>
      <c r="E938" s="10"/>
      <c r="F938" s="10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11"/>
      <c r="D939" s="9"/>
      <c r="E939" s="10"/>
      <c r="F939" s="10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11"/>
      <c r="D940" s="9"/>
      <c r="E940" s="10"/>
      <c r="F940" s="10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11"/>
      <c r="D941" s="9"/>
      <c r="E941" s="10"/>
      <c r="F941" s="10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11"/>
      <c r="D942" s="9"/>
      <c r="E942" s="10"/>
      <c r="F942" s="10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11"/>
      <c r="D943" s="9"/>
      <c r="E943" s="10"/>
      <c r="F943" s="10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11"/>
      <c r="D944" s="9"/>
      <c r="E944" s="10"/>
      <c r="F944" s="10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11"/>
      <c r="D945" s="9"/>
      <c r="E945" s="10"/>
      <c r="F945" s="10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11"/>
      <c r="D946" s="9"/>
      <c r="E946" s="10"/>
      <c r="F946" s="10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11"/>
      <c r="D947" s="9"/>
      <c r="E947" s="10"/>
      <c r="F947" s="10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11"/>
      <c r="D948" s="9"/>
      <c r="E948" s="10"/>
      <c r="F948" s="10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11"/>
      <c r="D949" s="9"/>
      <c r="E949" s="10"/>
      <c r="F949" s="10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11"/>
      <c r="D950" s="9"/>
      <c r="E950" s="10"/>
      <c r="F950" s="10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11"/>
      <c r="D951" s="9"/>
      <c r="E951" s="10"/>
      <c r="F951" s="10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11"/>
      <c r="D952" s="9"/>
      <c r="E952" s="10"/>
      <c r="F952" s="10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11"/>
      <c r="D953" s="9"/>
      <c r="E953" s="10"/>
      <c r="F953" s="10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11"/>
      <c r="D954" s="9"/>
      <c r="E954" s="10"/>
      <c r="F954" s="10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11"/>
      <c r="D955" s="9"/>
      <c r="E955" s="10"/>
      <c r="F955" s="10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11"/>
      <c r="D956" s="9"/>
      <c r="E956" s="10"/>
      <c r="F956" s="10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11"/>
      <c r="D957" s="9"/>
      <c r="E957" s="10"/>
      <c r="F957" s="10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11"/>
      <c r="D958" s="9"/>
      <c r="E958" s="10"/>
      <c r="F958" s="10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11"/>
      <c r="D959" s="9"/>
      <c r="E959" s="10"/>
      <c r="F959" s="10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11"/>
      <c r="D960" s="9"/>
      <c r="E960" s="10"/>
      <c r="F960" s="10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11"/>
      <c r="D961" s="9"/>
      <c r="E961" s="10"/>
      <c r="F961" s="10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11"/>
      <c r="D962" s="9"/>
      <c r="E962" s="10"/>
      <c r="F962" s="10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11"/>
      <c r="D963" s="9"/>
      <c r="E963" s="10"/>
      <c r="F963" s="10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11"/>
      <c r="D964" s="9"/>
      <c r="E964" s="10"/>
      <c r="F964" s="10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11"/>
      <c r="D965" s="9"/>
      <c r="E965" s="10"/>
      <c r="F965" s="10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11"/>
      <c r="D966" s="9"/>
      <c r="E966" s="10"/>
      <c r="F966" s="10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11"/>
      <c r="D967" s="9"/>
      <c r="E967" s="10"/>
      <c r="F967" s="10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11"/>
      <c r="D968" s="9"/>
      <c r="E968" s="10"/>
      <c r="F968" s="10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11"/>
      <c r="D969" s="9"/>
      <c r="E969" s="10"/>
      <c r="F969" s="10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11"/>
      <c r="D970" s="9"/>
      <c r="E970" s="10"/>
      <c r="F970" s="10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11"/>
      <c r="D971" s="9"/>
      <c r="E971" s="10"/>
      <c r="F971" s="10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11"/>
      <c r="D972" s="9"/>
      <c r="E972" s="10"/>
      <c r="F972" s="10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11"/>
      <c r="D973" s="9"/>
      <c r="E973" s="10"/>
      <c r="F973" s="10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11"/>
      <c r="D974" s="9"/>
      <c r="E974" s="10"/>
      <c r="F974" s="10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11"/>
      <c r="D975" s="9"/>
      <c r="E975" s="10"/>
      <c r="F975" s="10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11"/>
      <c r="D976" s="9"/>
      <c r="E976" s="10"/>
      <c r="F976" s="10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11"/>
      <c r="D977" s="9"/>
      <c r="E977" s="10"/>
      <c r="F977" s="10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11"/>
      <c r="D978" s="9"/>
      <c r="E978" s="10"/>
      <c r="F978" s="10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11"/>
      <c r="D979" s="9"/>
      <c r="E979" s="10"/>
      <c r="F979" s="10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11"/>
      <c r="D980" s="9"/>
      <c r="E980" s="10"/>
      <c r="F980" s="10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11"/>
      <c r="D981" s="9"/>
      <c r="E981" s="10"/>
      <c r="F981" s="10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11"/>
      <c r="D982" s="9"/>
      <c r="E982" s="10"/>
      <c r="F982" s="10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11"/>
      <c r="D983" s="9"/>
      <c r="E983" s="10"/>
      <c r="F983" s="10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11"/>
      <c r="D984" s="9"/>
      <c r="E984" s="10"/>
      <c r="F984" s="10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11"/>
      <c r="D985" s="9"/>
      <c r="E985" s="10"/>
      <c r="F985" s="10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11"/>
      <c r="D986" s="9"/>
      <c r="E986" s="10"/>
      <c r="F986" s="10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11"/>
      <c r="D987" s="9"/>
      <c r="E987" s="10"/>
      <c r="F987" s="10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11"/>
      <c r="D988" s="9"/>
      <c r="E988" s="10"/>
      <c r="F988" s="10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11"/>
      <c r="D989" s="9"/>
      <c r="E989" s="10"/>
      <c r="F989" s="10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11"/>
      <c r="D990" s="9"/>
      <c r="E990" s="10"/>
      <c r="F990" s="10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11"/>
      <c r="D991" s="9"/>
      <c r="E991" s="10"/>
      <c r="F991" s="10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11"/>
      <c r="D992" s="9"/>
      <c r="E992" s="10"/>
      <c r="F992" s="10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11"/>
      <c r="D993" s="9"/>
      <c r="E993" s="10"/>
      <c r="F993" s="10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11"/>
      <c r="D994" s="9"/>
      <c r="E994" s="10"/>
      <c r="F994" s="10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11"/>
      <c r="D995" s="9"/>
      <c r="E995" s="10"/>
      <c r="F995" s="10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11"/>
      <c r="D996" s="9"/>
      <c r="E996" s="10"/>
      <c r="F996" s="10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11"/>
      <c r="D997" s="9"/>
      <c r="E997" s="10"/>
      <c r="F997" s="10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11"/>
      <c r="D998" s="9"/>
      <c r="E998" s="10"/>
      <c r="F998" s="10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11"/>
      <c r="D999" s="9"/>
      <c r="E999" s="10"/>
      <c r="F999" s="10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11"/>
      <c r="D1000" s="9"/>
      <c r="E1000" s="10"/>
      <c r="F1000" s="10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11"/>
      <c r="D1001" s="9"/>
      <c r="E1001" s="10"/>
      <c r="F1001" s="10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8.25"/>
    <col customWidth="1" min="3" max="3" width="28.88"/>
    <col customWidth="1" hidden="1" min="4" max="4" width="7.75"/>
    <col customWidth="1" min="5" max="7" width="11.88"/>
    <col customWidth="1" hidden="1" min="8" max="8" width="8.38"/>
    <col customWidth="1" min="9" max="11" width="8.38"/>
    <col customWidth="1" hidden="1" min="12" max="12" width="9.63"/>
    <col customWidth="1" hidden="1" min="13" max="13" width="7.5"/>
    <col customWidth="1" hidden="1" min="14" max="14" width="12.63"/>
    <col customWidth="1" hidden="1" min="15" max="15" width="6.88"/>
    <col customWidth="1" hidden="1" min="16" max="16" width="12.13"/>
    <col customWidth="1" hidden="1" min="17" max="17" width="10.63"/>
    <col customWidth="1" hidden="1" min="18" max="18" width="5.5"/>
    <col customWidth="1" hidden="1" min="19" max="19" width="7.38"/>
    <col customWidth="1" hidden="1" min="20" max="20" width="6.13"/>
    <col customWidth="1" hidden="1" min="21" max="21" width="6.63"/>
    <col customWidth="1" hidden="1" min="22" max="22" width="3.5"/>
    <col customWidth="1" hidden="1" min="23" max="23" width="7.13"/>
    <col customWidth="1" hidden="1" min="24" max="24" width="7.0"/>
    <col customWidth="1" hidden="1" min="25" max="25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tr">
        <f>IFERROR(__xludf.DUMMYFUNCTION("FILTER(Master!A:Z, Master!Y:Y = ""X"")"),"Adventuring Gear")</f>
        <v>Adventuring Gear</v>
      </c>
      <c r="B2" s="4" t="str">
        <f>IFERROR(__xludf.DUMMYFUNCTION("""COMPUTED_VALUE"""),"Ammunition")</f>
        <v>Ammunition</v>
      </c>
      <c r="C2" s="4" t="str">
        <f>IFERROR(__xludf.DUMMYFUNCTION("""COMPUTED_VALUE"""),"Bullets, Firearm (10)")</f>
        <v>Bullets, Firearm (10)</v>
      </c>
      <c r="D2" s="5">
        <f>IFERROR(__xludf.DUMMYFUNCTION("""COMPUTED_VALUE"""),2.0)</f>
        <v>2</v>
      </c>
      <c r="E2" s="6">
        <f>IFERROR(__xludf.DUMMYFUNCTION("""COMPUTED_VALUE"""),3.0)</f>
        <v>3</v>
      </c>
      <c r="F2" s="6">
        <f>IFERROR(__xludf.DUMMYFUNCTION("""COMPUTED_VALUE"""),2.25)</f>
        <v>2.25</v>
      </c>
      <c r="G2" s="6">
        <f>IFERROR(__xludf.DUMMYFUNCTION("""COMPUTED_VALUE"""),4.5)</f>
        <v>4.5</v>
      </c>
      <c r="H2" s="4" t="str">
        <f>IFERROR(__xludf.DUMMYFUNCTION("""COMPUTED_VALUE"""),"PHB 2024")</f>
        <v>PHB 2024</v>
      </c>
      <c r="I2" s="4"/>
      <c r="J2" s="4"/>
      <c r="K2" s="4" t="str">
        <f>IFERROR(__xludf.DUMMYFUNCTION("""COMPUTED_VALUE"""),"x")</f>
        <v>x</v>
      </c>
      <c r="L2" s="7"/>
      <c r="M2" s="7"/>
      <c r="N2" s="7"/>
      <c r="O2" s="7"/>
      <c r="P2" s="7"/>
      <c r="Q2" s="7"/>
      <c r="R2" s="7"/>
      <c r="S2" s="7"/>
      <c r="T2" s="4"/>
      <c r="U2" s="7"/>
      <c r="V2" s="7"/>
      <c r="W2" s="7"/>
      <c r="X2" s="7"/>
      <c r="Y2" s="7" t="str">
        <f>IFERROR(__xludf.DUMMYFUNCTION("""COMPUTED_VALUE"""),"x")</f>
        <v>x</v>
      </c>
    </row>
    <row r="3">
      <c r="A3" s="4" t="str">
        <f>IFERROR(__xludf.DUMMYFUNCTION("""COMPUTED_VALUE"""),"Adventuring Gear")</f>
        <v>Adventuring Gear</v>
      </c>
      <c r="B3" s="4" t="str">
        <f>IFERROR(__xludf.DUMMYFUNCTION("""COMPUTED_VALUE"""),"-")</f>
        <v>-</v>
      </c>
      <c r="C3" s="8" t="str">
        <f>IFERROR(__xludf.DUMMYFUNCTION("""COMPUTED_VALUE"""),"Pouch")</f>
        <v>Pouch</v>
      </c>
      <c r="D3" s="5">
        <f>IFERROR(__xludf.DUMMYFUNCTION("""COMPUTED_VALUE"""),1.0)</f>
        <v>1</v>
      </c>
      <c r="E3" s="6">
        <f>IFERROR(__xludf.DUMMYFUNCTION("""COMPUTED_VALUE"""),0.5)</f>
        <v>0.5</v>
      </c>
      <c r="F3" s="6">
        <f>IFERROR(__xludf.DUMMYFUNCTION("""COMPUTED_VALUE"""),0.375)</f>
        <v>0.375</v>
      </c>
      <c r="G3" s="6">
        <f>IFERROR(__xludf.DUMMYFUNCTION("""COMPUTED_VALUE"""),0.75)</f>
        <v>0.75</v>
      </c>
      <c r="H3" s="4" t="str">
        <f>IFERROR(__xludf.DUMMYFUNCTION("""COMPUTED_VALUE"""),"PHB 2024")</f>
        <v>PHB 2024</v>
      </c>
      <c r="I3" s="4" t="str">
        <f>IFERROR(__xludf.DUMMYFUNCTION("""COMPUTED_VALUE"""),"x")</f>
        <v>x</v>
      </c>
      <c r="J3" s="4" t="str">
        <f>IFERROR(__xludf.DUMMYFUNCTION("""COMPUTED_VALUE"""),"x")</f>
        <v>x</v>
      </c>
      <c r="K3" s="4" t="str">
        <f>IFERROR(__xludf.DUMMYFUNCTION("""COMPUTED_VALUE"""),"x")</f>
        <v>x</v>
      </c>
      <c r="L3" s="7"/>
      <c r="M3" s="7"/>
      <c r="N3" s="7"/>
      <c r="O3" s="7"/>
      <c r="P3" s="7" t="str">
        <f>IFERROR(__xludf.DUMMYFUNCTION("""COMPUTED_VALUE"""),"x")</f>
        <v>x</v>
      </c>
      <c r="Q3" s="7" t="str">
        <f>IFERROR(__xludf.DUMMYFUNCTION("""COMPUTED_VALUE"""),"x")</f>
        <v>x</v>
      </c>
      <c r="R3" s="7" t="str">
        <f>IFERROR(__xludf.DUMMYFUNCTION("""COMPUTED_VALUE"""),"x")</f>
        <v>x</v>
      </c>
      <c r="S3" s="7"/>
      <c r="T3" s="4" t="str">
        <f>IFERROR(__xludf.DUMMYFUNCTION("""COMPUTED_VALUE"""),"x")</f>
        <v>x</v>
      </c>
      <c r="U3" s="7" t="str">
        <f>IFERROR(__xludf.DUMMYFUNCTION("""COMPUTED_VALUE"""),"x")</f>
        <v>x</v>
      </c>
      <c r="V3" s="7"/>
      <c r="W3" s="7"/>
      <c r="X3" s="7"/>
      <c r="Y3" s="7" t="str">
        <f>IFERROR(__xludf.DUMMYFUNCTION("""COMPUTED_VALUE"""),"x")</f>
        <v>x</v>
      </c>
    </row>
    <row r="4">
      <c r="A4" s="4" t="str">
        <f>IFERROR(__xludf.DUMMYFUNCTION("""COMPUTED_VALUE"""),"Weapons")</f>
        <v>Weapons</v>
      </c>
      <c r="B4" s="4" t="str">
        <f>IFERROR(__xludf.DUMMYFUNCTION("""COMPUTED_VALUE"""),"Martial Ranged Weapons")</f>
        <v>Martial Ranged Weapons</v>
      </c>
      <c r="C4" s="8" t="str">
        <f>IFERROR(__xludf.DUMMYFUNCTION("""COMPUTED_VALUE"""),"Musket")</f>
        <v>Musket</v>
      </c>
      <c r="D4" s="5">
        <f>IFERROR(__xludf.DUMMYFUNCTION("""COMPUTED_VALUE"""),10.0)</f>
        <v>10</v>
      </c>
      <c r="E4" s="6">
        <f>IFERROR(__xludf.DUMMYFUNCTION("""COMPUTED_VALUE"""),500.0)</f>
        <v>500</v>
      </c>
      <c r="F4" s="6">
        <f>IFERROR(__xludf.DUMMYFUNCTION("""COMPUTED_VALUE"""),375.0)</f>
        <v>375</v>
      </c>
      <c r="G4" s="6">
        <f>IFERROR(__xludf.DUMMYFUNCTION("""COMPUTED_VALUE"""),750.0)</f>
        <v>750</v>
      </c>
      <c r="H4" s="4" t="str">
        <f>IFERROR(__xludf.DUMMYFUNCTION("""COMPUTED_VALUE"""),"PHB 2024")</f>
        <v>PHB 2024</v>
      </c>
      <c r="I4" s="4"/>
      <c r="J4" s="4"/>
      <c r="K4" s="4" t="str">
        <f>IFERROR(__xludf.DUMMYFUNCTION("""COMPUTED_VALUE"""),"x")</f>
        <v>x</v>
      </c>
      <c r="L4" s="7"/>
      <c r="M4" s="4"/>
      <c r="N4" s="7"/>
      <c r="O4" s="7"/>
      <c r="P4" s="7"/>
      <c r="Q4" s="4"/>
      <c r="R4" s="7"/>
      <c r="S4" s="7"/>
      <c r="T4" s="7"/>
      <c r="U4" s="7"/>
      <c r="V4" s="7"/>
      <c r="W4" s="7"/>
      <c r="X4" s="7"/>
      <c r="Y4" s="7" t="str">
        <f>IFERROR(__xludf.DUMMYFUNCTION("""COMPUTED_VALUE"""),"x")</f>
        <v>x</v>
      </c>
    </row>
    <row r="5">
      <c r="A5" s="4" t="str">
        <f>IFERROR(__xludf.DUMMYFUNCTION("""COMPUTED_VALUE"""),"Weapons")</f>
        <v>Weapons</v>
      </c>
      <c r="B5" s="4" t="str">
        <f>IFERROR(__xludf.DUMMYFUNCTION("""COMPUTED_VALUE"""),"Martial Ranged Weapons")</f>
        <v>Martial Ranged Weapons</v>
      </c>
      <c r="C5" s="8" t="str">
        <f>IFERROR(__xludf.DUMMYFUNCTION("""COMPUTED_VALUE"""),"Pistol")</f>
        <v>Pistol</v>
      </c>
      <c r="D5" s="5">
        <f>IFERROR(__xludf.DUMMYFUNCTION("""COMPUTED_VALUE"""),3.0)</f>
        <v>3</v>
      </c>
      <c r="E5" s="6">
        <f>IFERROR(__xludf.DUMMYFUNCTION("""COMPUTED_VALUE"""),250.0)</f>
        <v>250</v>
      </c>
      <c r="F5" s="6">
        <f>IFERROR(__xludf.DUMMYFUNCTION("""COMPUTED_VALUE"""),187.5)</f>
        <v>187.5</v>
      </c>
      <c r="G5" s="6">
        <f>IFERROR(__xludf.DUMMYFUNCTION("""COMPUTED_VALUE"""),375.0)</f>
        <v>375</v>
      </c>
      <c r="H5" s="4" t="str">
        <f>IFERROR(__xludf.DUMMYFUNCTION("""COMPUTED_VALUE"""),"PHB 2024")</f>
        <v>PHB 2024</v>
      </c>
      <c r="I5" s="4"/>
      <c r="J5" s="4"/>
      <c r="K5" s="4" t="str">
        <f>IFERROR(__xludf.DUMMYFUNCTION("""COMPUTED_VALUE"""),"x")</f>
        <v>x</v>
      </c>
      <c r="L5" s="7"/>
      <c r="M5" s="4"/>
      <c r="N5" s="7"/>
      <c r="O5" s="7"/>
      <c r="P5" s="7"/>
      <c r="Q5" s="4"/>
      <c r="R5" s="7"/>
      <c r="S5" s="7"/>
      <c r="T5" s="7"/>
      <c r="U5" s="7"/>
      <c r="V5" s="7"/>
      <c r="W5" s="7"/>
      <c r="X5" s="7"/>
      <c r="Y5" s="7" t="str">
        <f>IFERROR(__xludf.DUMMYFUNCTION("""COMPUTED_VALUE"""),"x")</f>
        <v>x</v>
      </c>
    </row>
    <row r="6">
      <c r="A6" s="4"/>
      <c r="B6" s="4"/>
      <c r="C6" s="4"/>
      <c r="D6" s="5"/>
      <c r="E6" s="6"/>
      <c r="F6" s="6"/>
      <c r="G6" s="6"/>
      <c r="H6" s="4"/>
      <c r="I6" s="4"/>
      <c r="J6" s="4"/>
      <c r="K6" s="4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4"/>
      <c r="X6" s="4"/>
      <c r="Y6" s="4"/>
    </row>
    <row r="7">
      <c r="A7" s="4"/>
      <c r="B7" s="4"/>
      <c r="C7" s="4"/>
      <c r="D7" s="5"/>
      <c r="E7" s="6"/>
      <c r="F7" s="6"/>
      <c r="G7" s="6"/>
      <c r="H7" s="4"/>
      <c r="I7" s="4"/>
      <c r="J7" s="4"/>
      <c r="K7" s="4"/>
      <c r="L7" s="7"/>
      <c r="M7" s="7"/>
      <c r="N7" s="7"/>
      <c r="O7" s="7"/>
      <c r="P7" s="7"/>
      <c r="Q7" s="4"/>
      <c r="R7" s="7"/>
      <c r="S7" s="7"/>
      <c r="T7" s="7"/>
      <c r="U7" s="7"/>
      <c r="V7" s="7"/>
      <c r="W7" s="7"/>
      <c r="X7" s="7"/>
      <c r="Y7" s="7"/>
    </row>
    <row r="8">
      <c r="A8" s="4"/>
      <c r="B8" s="4"/>
      <c r="C8" s="4"/>
      <c r="D8" s="5"/>
      <c r="E8" s="6"/>
      <c r="F8" s="6"/>
      <c r="G8" s="6"/>
      <c r="H8" s="4"/>
      <c r="I8" s="4"/>
      <c r="J8" s="4"/>
      <c r="K8" s="4"/>
      <c r="L8" s="7"/>
      <c r="M8" s="7"/>
      <c r="N8" s="7"/>
      <c r="O8" s="7"/>
      <c r="P8" s="7"/>
      <c r="Q8" s="4"/>
      <c r="R8" s="7"/>
      <c r="S8" s="7"/>
      <c r="T8" s="7"/>
      <c r="U8" s="7"/>
      <c r="V8" s="7"/>
      <c r="W8" s="7"/>
      <c r="X8" s="7"/>
      <c r="Y8" s="7"/>
    </row>
    <row r="9">
      <c r="A9" s="4"/>
      <c r="B9" s="4"/>
      <c r="C9" s="4"/>
      <c r="D9" s="5"/>
      <c r="E9" s="6"/>
      <c r="F9" s="6"/>
      <c r="G9" s="6"/>
      <c r="H9" s="4"/>
      <c r="I9" s="4"/>
      <c r="J9" s="4"/>
      <c r="K9" s="4"/>
      <c r="L9" s="7"/>
      <c r="M9" s="7"/>
      <c r="N9" s="7"/>
      <c r="O9" s="7"/>
      <c r="P9" s="7"/>
      <c r="Q9" s="7"/>
      <c r="R9" s="7"/>
      <c r="S9" s="7"/>
      <c r="T9" s="4"/>
      <c r="U9" s="7"/>
      <c r="V9" s="7"/>
      <c r="W9" s="7"/>
      <c r="X9" s="7"/>
      <c r="Y9" s="7"/>
    </row>
    <row r="10">
      <c r="A10" s="4"/>
      <c r="B10" s="4"/>
      <c r="C10" s="4"/>
      <c r="D10" s="5"/>
      <c r="E10" s="6"/>
      <c r="F10" s="6"/>
      <c r="G10" s="6"/>
      <c r="H10" s="4"/>
      <c r="I10" s="4"/>
      <c r="J10" s="4"/>
      <c r="K10" s="4"/>
      <c r="L10" s="7"/>
      <c r="M10" s="7"/>
      <c r="N10" s="7"/>
      <c r="O10" s="7"/>
      <c r="P10" s="7"/>
      <c r="Q10" s="7"/>
      <c r="R10" s="7"/>
      <c r="S10" s="4"/>
      <c r="T10" s="7"/>
      <c r="U10" s="4"/>
      <c r="V10" s="7"/>
      <c r="W10" s="7"/>
      <c r="X10" s="7"/>
      <c r="Y10" s="7"/>
    </row>
    <row r="11">
      <c r="A11" s="4"/>
      <c r="B11" s="4"/>
      <c r="C11" s="4"/>
      <c r="D11" s="5"/>
      <c r="E11" s="6"/>
      <c r="F11" s="6"/>
      <c r="G11" s="6"/>
      <c r="H11" s="4"/>
      <c r="I11" s="4"/>
      <c r="J11" s="4"/>
      <c r="K11" s="4"/>
      <c r="L11" s="7"/>
      <c r="M11" s="7"/>
      <c r="N11" s="7"/>
      <c r="O11" s="7"/>
      <c r="P11" s="7"/>
      <c r="Q11" s="7"/>
      <c r="R11" s="7"/>
      <c r="S11" s="4"/>
      <c r="T11" s="7"/>
      <c r="U11" s="4"/>
      <c r="V11" s="7"/>
      <c r="W11" s="7"/>
      <c r="X11" s="7"/>
      <c r="Y11" s="7"/>
    </row>
    <row r="12">
      <c r="A12" s="4"/>
      <c r="B12" s="4"/>
      <c r="C12" s="4"/>
      <c r="D12" s="5"/>
      <c r="E12" s="6"/>
      <c r="F12" s="6"/>
      <c r="G12" s="6"/>
      <c r="H12" s="4"/>
      <c r="I12" s="4"/>
      <c r="J12" s="4"/>
      <c r="K12" s="4"/>
      <c r="L12" s="7"/>
      <c r="M12" s="7"/>
      <c r="N12" s="7"/>
      <c r="O12" s="7"/>
      <c r="P12" s="7"/>
      <c r="Q12" s="7"/>
      <c r="R12" s="7"/>
      <c r="S12" s="7"/>
      <c r="T12" s="7"/>
      <c r="U12" s="4"/>
      <c r="V12" s="7"/>
      <c r="W12" s="7"/>
      <c r="X12" s="7"/>
      <c r="Y12" s="7"/>
    </row>
    <row r="13">
      <c r="A13" s="4"/>
      <c r="B13" s="4"/>
      <c r="C13" s="4"/>
      <c r="D13" s="5"/>
      <c r="E13" s="6"/>
      <c r="F13" s="6"/>
      <c r="G13" s="6"/>
      <c r="H13" s="4"/>
      <c r="I13" s="4"/>
      <c r="J13" s="4"/>
      <c r="K13" s="4"/>
      <c r="L13" s="7"/>
      <c r="M13" s="7"/>
      <c r="N13" s="7"/>
      <c r="O13" s="7"/>
      <c r="P13" s="7"/>
      <c r="Q13" s="7"/>
      <c r="R13" s="7"/>
      <c r="S13" s="7"/>
      <c r="T13" s="7"/>
      <c r="U13" s="4"/>
      <c r="V13" s="7"/>
      <c r="W13" s="7"/>
      <c r="X13" s="7"/>
      <c r="Y13" s="7"/>
    </row>
    <row r="14">
      <c r="A14" s="4"/>
      <c r="B14" s="4"/>
      <c r="C14" s="4"/>
      <c r="D14" s="5"/>
      <c r="E14" s="6"/>
      <c r="F14" s="6"/>
      <c r="G14" s="6"/>
      <c r="H14" s="4"/>
      <c r="I14" s="4"/>
      <c r="J14" s="4"/>
      <c r="K14" s="4"/>
      <c r="L14" s="7"/>
      <c r="M14" s="7"/>
      <c r="N14" s="7"/>
      <c r="O14" s="7"/>
      <c r="P14" s="7"/>
      <c r="Q14" s="7"/>
      <c r="R14" s="7"/>
      <c r="S14" s="7"/>
      <c r="T14" s="7"/>
      <c r="U14" s="4"/>
      <c r="V14" s="7"/>
      <c r="W14" s="7"/>
      <c r="X14" s="7"/>
      <c r="Y14" s="7"/>
    </row>
    <row r="15">
      <c r="A15" s="4"/>
      <c r="B15" s="4"/>
      <c r="C15" s="4"/>
      <c r="D15" s="5"/>
      <c r="E15" s="6"/>
      <c r="F15" s="6"/>
      <c r="G15" s="6"/>
      <c r="H15" s="4"/>
      <c r="I15" s="4"/>
      <c r="J15" s="4"/>
      <c r="K15" s="4"/>
      <c r="L15" s="7"/>
      <c r="M15" s="7"/>
      <c r="N15" s="7"/>
      <c r="O15" s="7"/>
      <c r="P15" s="7"/>
      <c r="Q15" s="4"/>
      <c r="R15" s="7"/>
      <c r="S15" s="7"/>
      <c r="T15" s="7"/>
      <c r="U15" s="7"/>
      <c r="V15" s="7"/>
      <c r="W15" s="7"/>
      <c r="X15" s="7"/>
      <c r="Y15" s="7"/>
    </row>
    <row r="16">
      <c r="A16" s="4"/>
      <c r="B16" s="4"/>
      <c r="C16" s="4"/>
      <c r="D16" s="5"/>
      <c r="E16" s="6"/>
      <c r="F16" s="6"/>
      <c r="G16" s="6"/>
      <c r="H16" s="4"/>
      <c r="I16" s="4"/>
      <c r="J16" s="4"/>
      <c r="K16" s="4"/>
      <c r="L16" s="4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4"/>
      <c r="B17" s="4"/>
      <c r="C17" s="4"/>
      <c r="D17" s="5"/>
      <c r="E17" s="6"/>
      <c r="F17" s="6"/>
      <c r="G17" s="6"/>
      <c r="H17" s="4"/>
      <c r="I17" s="4"/>
      <c r="J17" s="4"/>
      <c r="K17" s="4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</row>
    <row r="18">
      <c r="A18" s="4"/>
      <c r="B18" s="4"/>
      <c r="C18" s="4"/>
      <c r="D18" s="5"/>
      <c r="E18" s="6"/>
      <c r="F18" s="6"/>
      <c r="G18" s="6"/>
      <c r="H18" s="4"/>
      <c r="I18" s="4"/>
      <c r="J18" s="4"/>
      <c r="K18" s="4"/>
      <c r="L18" s="7"/>
      <c r="M18" s="7"/>
      <c r="N18" s="7"/>
      <c r="O18" s="7"/>
      <c r="P18" s="7"/>
      <c r="Q18" s="7"/>
      <c r="R18" s="4"/>
      <c r="S18" s="7"/>
      <c r="T18" s="7"/>
      <c r="U18" s="7"/>
      <c r="V18" s="7"/>
      <c r="W18" s="7"/>
      <c r="X18" s="7"/>
      <c r="Y18" s="7"/>
    </row>
    <row r="19">
      <c r="A19" s="4"/>
      <c r="B19" s="4"/>
      <c r="C19" s="4"/>
      <c r="D19" s="5"/>
      <c r="E19" s="6"/>
      <c r="F19" s="6"/>
      <c r="G19" s="6"/>
      <c r="H19" s="4"/>
      <c r="I19" s="4"/>
      <c r="J19" s="4"/>
      <c r="K19" s="4"/>
      <c r="L19" s="7"/>
      <c r="M19" s="7"/>
      <c r="N19" s="7"/>
      <c r="O19" s="7"/>
      <c r="P19" s="7"/>
      <c r="Q19" s="4"/>
      <c r="R19" s="7"/>
      <c r="S19" s="7"/>
      <c r="T19" s="7"/>
      <c r="U19" s="7"/>
      <c r="V19" s="7"/>
      <c r="W19" s="7"/>
      <c r="X19" s="7"/>
      <c r="Y19" s="7"/>
    </row>
    <row r="20">
      <c r="A20" s="4"/>
      <c r="B20" s="4"/>
      <c r="C20" s="4"/>
      <c r="D20" s="5"/>
      <c r="E20" s="6"/>
      <c r="F20" s="6"/>
      <c r="G20" s="6"/>
      <c r="H20" s="4"/>
      <c r="I20" s="4"/>
      <c r="J20" s="4"/>
      <c r="K20" s="4"/>
      <c r="L20" s="4"/>
      <c r="M20" s="7"/>
      <c r="N20" s="7"/>
      <c r="O20" s="4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4"/>
      <c r="B21" s="4"/>
      <c r="C21" s="4"/>
      <c r="D21" s="5"/>
      <c r="E21" s="6"/>
      <c r="F21" s="6"/>
      <c r="G21" s="6"/>
      <c r="H21" s="4"/>
      <c r="I21" s="4"/>
      <c r="J21" s="4"/>
      <c r="K21" s="4"/>
      <c r="L21" s="7"/>
      <c r="M21" s="7"/>
      <c r="N21" s="7"/>
      <c r="O21" s="4"/>
      <c r="P21" s="4"/>
      <c r="Q21" s="4"/>
      <c r="R21" s="7"/>
      <c r="S21" s="7"/>
      <c r="T21" s="7"/>
      <c r="U21" s="7"/>
      <c r="V21" s="7"/>
      <c r="W21" s="7"/>
      <c r="X21" s="7"/>
      <c r="Y21" s="7"/>
    </row>
    <row r="22">
      <c r="A22" s="4"/>
      <c r="B22" s="4"/>
      <c r="C22" s="4"/>
      <c r="D22" s="5"/>
      <c r="E22" s="6"/>
      <c r="F22" s="6"/>
      <c r="G22" s="6"/>
      <c r="H22" s="4"/>
      <c r="I22" s="4"/>
      <c r="J22" s="4"/>
      <c r="K22" s="4"/>
      <c r="L22" s="4"/>
      <c r="M22" s="7"/>
      <c r="N22" s="7"/>
      <c r="O22" s="7"/>
      <c r="P22" s="7"/>
      <c r="Q22" s="4"/>
      <c r="R22" s="7"/>
      <c r="S22" s="7"/>
      <c r="T22" s="7"/>
      <c r="U22" s="7"/>
      <c r="V22" s="7"/>
      <c r="W22" s="7"/>
      <c r="X22" s="7"/>
      <c r="Y22" s="7"/>
    </row>
    <row r="23">
      <c r="A23" s="4"/>
      <c r="B23" s="4"/>
      <c r="C23" s="4"/>
      <c r="D23" s="5"/>
      <c r="E23" s="6"/>
      <c r="F23" s="6"/>
      <c r="G23" s="6"/>
      <c r="H23" s="4"/>
      <c r="I23" s="4"/>
      <c r="J23" s="4"/>
      <c r="K23" s="4"/>
      <c r="L23" s="7"/>
      <c r="M23" s="7"/>
      <c r="N23" s="7"/>
      <c r="O23" s="4"/>
      <c r="P23" s="7"/>
      <c r="Q23" s="7"/>
      <c r="R23" s="7"/>
      <c r="S23" s="7"/>
      <c r="T23" s="7"/>
      <c r="U23" s="4"/>
      <c r="V23" s="7"/>
      <c r="W23" s="7"/>
      <c r="X23" s="7"/>
      <c r="Y23" s="7"/>
    </row>
    <row r="24">
      <c r="A24" s="4"/>
      <c r="B24" s="4"/>
      <c r="C24" s="4"/>
      <c r="D24" s="5"/>
      <c r="E24" s="6"/>
      <c r="F24" s="6"/>
      <c r="G24" s="6"/>
      <c r="H24" s="4"/>
      <c r="I24" s="4"/>
      <c r="J24" s="4"/>
      <c r="K24" s="4"/>
      <c r="L24" s="7"/>
      <c r="M24" s="7"/>
      <c r="N24" s="7"/>
      <c r="O24" s="7"/>
      <c r="P24" s="4"/>
      <c r="Q24" s="4"/>
      <c r="R24" s="7"/>
      <c r="S24" s="7"/>
      <c r="T24" s="7"/>
      <c r="U24" s="4"/>
      <c r="V24" s="7"/>
      <c r="W24" s="7"/>
      <c r="X24" s="7"/>
      <c r="Y24" s="7"/>
    </row>
    <row r="25">
      <c r="A25" s="4"/>
      <c r="B25" s="4"/>
      <c r="C25" s="4"/>
      <c r="D25" s="5"/>
      <c r="E25" s="6"/>
      <c r="F25" s="6"/>
      <c r="G25" s="6"/>
      <c r="H25" s="4"/>
      <c r="I25" s="4"/>
      <c r="J25" s="4"/>
      <c r="K25" s="4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</row>
    <row r="26">
      <c r="A26" s="4"/>
      <c r="B26" s="4"/>
      <c r="C26" s="4"/>
      <c r="D26" s="5"/>
      <c r="E26" s="6"/>
      <c r="F26" s="6"/>
      <c r="G26" s="6"/>
      <c r="H26" s="4"/>
      <c r="I26" s="4"/>
      <c r="J26" s="4"/>
      <c r="K26" s="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4"/>
      <c r="X26" s="7"/>
      <c r="Y26" s="7"/>
    </row>
    <row r="27">
      <c r="A27" s="4"/>
      <c r="B27" s="4"/>
      <c r="C27" s="4"/>
      <c r="D27" s="5"/>
      <c r="E27" s="6"/>
      <c r="F27" s="6"/>
      <c r="G27" s="6"/>
      <c r="H27" s="4"/>
      <c r="I27" s="4"/>
      <c r="J27" s="4"/>
      <c r="K27" s="4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4"/>
      <c r="X27" s="7"/>
      <c r="Y27" s="7"/>
    </row>
    <row r="28">
      <c r="A28" s="4"/>
      <c r="B28" s="4"/>
      <c r="C28" s="4"/>
      <c r="D28" s="5"/>
      <c r="E28" s="6"/>
      <c r="F28" s="6"/>
      <c r="G28" s="6"/>
      <c r="H28" s="4"/>
      <c r="I28" s="4"/>
      <c r="J28" s="4"/>
      <c r="K28" s="4"/>
      <c r="L28" s="7"/>
      <c r="M28" s="7"/>
      <c r="N28" s="7"/>
      <c r="O28" s="4"/>
      <c r="P28" s="4"/>
      <c r="Q28" s="4"/>
      <c r="R28" s="7"/>
      <c r="S28" s="7"/>
      <c r="T28" s="7"/>
      <c r="U28" s="4"/>
      <c r="V28" s="7"/>
      <c r="W28" s="7"/>
      <c r="X28" s="7"/>
      <c r="Y28" s="7"/>
    </row>
    <row r="29">
      <c r="A29" s="4"/>
      <c r="B29" s="4"/>
      <c r="C29" s="4"/>
      <c r="D29" s="5"/>
      <c r="E29" s="6"/>
      <c r="F29" s="6"/>
      <c r="G29" s="6"/>
      <c r="H29" s="4"/>
      <c r="I29" s="4"/>
      <c r="J29" s="4"/>
      <c r="K29" s="4"/>
      <c r="L29" s="7"/>
      <c r="M29" s="4"/>
      <c r="N29" s="7"/>
      <c r="O29" s="7"/>
      <c r="P29" s="7"/>
      <c r="Q29" s="4"/>
      <c r="R29" s="7"/>
      <c r="S29" s="7"/>
      <c r="T29" s="7"/>
      <c r="U29" s="7"/>
      <c r="V29" s="7"/>
      <c r="W29" s="7"/>
      <c r="X29" s="7"/>
      <c r="Y29" s="7"/>
    </row>
    <row r="30">
      <c r="A30" s="4"/>
      <c r="B30" s="4"/>
      <c r="C30" s="8"/>
      <c r="D30" s="5"/>
      <c r="E30" s="6"/>
      <c r="F30" s="6"/>
      <c r="G30" s="6"/>
      <c r="H30" s="4"/>
      <c r="I30" s="4"/>
      <c r="J30" s="4"/>
      <c r="K30" s="4"/>
      <c r="L30" s="7"/>
      <c r="M30" s="7"/>
      <c r="N30" s="7"/>
      <c r="O30" s="4"/>
      <c r="P30" s="7"/>
      <c r="Q30" s="4"/>
      <c r="R30" s="7"/>
      <c r="S30" s="7"/>
      <c r="T30" s="7"/>
      <c r="U30" s="4"/>
      <c r="V30" s="7"/>
      <c r="W30" s="7"/>
      <c r="X30" s="7"/>
      <c r="Y30" s="7"/>
    </row>
    <row r="31">
      <c r="A31" s="4"/>
      <c r="B31" s="4"/>
      <c r="C31" s="8"/>
      <c r="D31" s="5"/>
      <c r="E31" s="6"/>
      <c r="F31" s="6"/>
      <c r="G31" s="6"/>
      <c r="H31" s="4"/>
      <c r="I31" s="4"/>
      <c r="J31" s="4"/>
      <c r="K31" s="4"/>
      <c r="L31" s="4"/>
      <c r="M31" s="7"/>
      <c r="N31" s="7"/>
      <c r="O31" s="7"/>
      <c r="P31" s="7"/>
      <c r="Q31" s="4"/>
      <c r="R31" s="7"/>
      <c r="S31" s="7"/>
      <c r="T31" s="7"/>
      <c r="U31" s="7"/>
      <c r="V31" s="7"/>
      <c r="W31" s="7"/>
      <c r="X31" s="7"/>
      <c r="Y31" s="7"/>
    </row>
    <row r="32">
      <c r="A32" s="4"/>
      <c r="B32" s="4"/>
      <c r="C32" s="8"/>
      <c r="D32" s="5"/>
      <c r="E32" s="6"/>
      <c r="F32" s="6"/>
      <c r="G32" s="6"/>
      <c r="H32" s="4"/>
      <c r="I32" s="4"/>
      <c r="J32" s="4"/>
      <c r="K32" s="4"/>
      <c r="L32" s="7"/>
      <c r="M32" s="7"/>
      <c r="N32" s="7"/>
      <c r="O32" s="7"/>
      <c r="P32" s="4"/>
      <c r="Q32" s="4"/>
      <c r="R32" s="7"/>
      <c r="S32" s="7"/>
      <c r="T32" s="7"/>
      <c r="U32" s="7"/>
      <c r="V32" s="7"/>
      <c r="W32" s="7"/>
      <c r="X32" s="7"/>
      <c r="Y32" s="7"/>
    </row>
    <row r="33">
      <c r="A33" s="4"/>
      <c r="B33" s="4"/>
      <c r="C33" s="8"/>
      <c r="D33" s="5"/>
      <c r="E33" s="6"/>
      <c r="F33" s="6"/>
      <c r="G33" s="6"/>
      <c r="H33" s="4"/>
      <c r="I33" s="4"/>
      <c r="J33" s="4"/>
      <c r="K33" s="4"/>
      <c r="L33" s="7"/>
      <c r="M33" s="7"/>
      <c r="N33" s="7"/>
      <c r="O33" s="7"/>
      <c r="P33" s="7"/>
      <c r="Q33" s="4"/>
      <c r="R33" s="7"/>
      <c r="S33" s="7"/>
      <c r="T33" s="7"/>
      <c r="U33" s="7"/>
      <c r="V33" s="7"/>
      <c r="W33" s="7"/>
      <c r="X33" s="7"/>
      <c r="Y33" s="7"/>
    </row>
    <row r="34">
      <c r="A34" s="4"/>
      <c r="B34" s="4"/>
      <c r="C34" s="8"/>
      <c r="D34" s="5"/>
      <c r="E34" s="6"/>
      <c r="F34" s="6"/>
      <c r="G34" s="6"/>
      <c r="H34" s="4"/>
      <c r="I34" s="4"/>
      <c r="J34" s="4"/>
      <c r="K34" s="4"/>
      <c r="L34" s="7"/>
      <c r="M34" s="7"/>
      <c r="N34" s="7"/>
      <c r="O34" s="7"/>
      <c r="P34" s="4"/>
      <c r="Q34" s="7"/>
      <c r="R34" s="4"/>
      <c r="S34" s="7"/>
      <c r="T34" s="7"/>
      <c r="U34" s="7"/>
      <c r="V34" s="7"/>
      <c r="W34" s="7"/>
      <c r="X34" s="7"/>
      <c r="Y34" s="7"/>
    </row>
    <row r="35">
      <c r="A35" s="4"/>
      <c r="B35" s="4"/>
      <c r="C35" s="8"/>
      <c r="D35" s="5"/>
      <c r="E35" s="6"/>
      <c r="F35" s="6"/>
      <c r="G35" s="6"/>
      <c r="H35" s="4"/>
      <c r="I35" s="4"/>
      <c r="J35" s="4"/>
      <c r="K35" s="4"/>
      <c r="L35" s="7"/>
      <c r="M35" s="7"/>
      <c r="N35" s="7"/>
      <c r="O35" s="7"/>
      <c r="P35" s="7"/>
      <c r="Q35" s="4"/>
      <c r="R35" s="4"/>
      <c r="S35" s="7"/>
      <c r="T35" s="7"/>
      <c r="U35" s="7"/>
      <c r="V35" s="7"/>
      <c r="W35" s="7"/>
      <c r="X35" s="7"/>
      <c r="Y35" s="7"/>
    </row>
    <row r="36">
      <c r="A36" s="4"/>
      <c r="B36" s="4"/>
      <c r="C36" s="8"/>
      <c r="D36" s="5"/>
      <c r="E36" s="6"/>
      <c r="F36" s="6"/>
      <c r="G36" s="6"/>
      <c r="H36" s="4"/>
      <c r="I36" s="4"/>
      <c r="J36" s="4"/>
      <c r="K36" s="4"/>
      <c r="L36" s="7"/>
      <c r="M36" s="7"/>
      <c r="N36" s="7"/>
      <c r="O36" s="7"/>
      <c r="P36" s="7"/>
      <c r="Q36" s="7"/>
      <c r="R36" s="4"/>
      <c r="S36" s="7"/>
      <c r="T36" s="4"/>
      <c r="U36" s="4"/>
      <c r="V36" s="7"/>
      <c r="W36" s="7"/>
      <c r="X36" s="7"/>
      <c r="Y36" s="7"/>
    </row>
    <row r="37">
      <c r="A37" s="4"/>
      <c r="B37" s="4"/>
      <c r="C37" s="8"/>
      <c r="D37" s="5"/>
      <c r="E37" s="6"/>
      <c r="F37" s="6"/>
      <c r="G37" s="6"/>
      <c r="H37" s="4"/>
      <c r="I37" s="4"/>
      <c r="J37" s="4"/>
      <c r="K37" s="4"/>
      <c r="L37" s="7"/>
      <c r="M37" s="7"/>
      <c r="N37" s="7"/>
      <c r="O37" s="7"/>
      <c r="P37" s="7"/>
      <c r="Q37" s="7"/>
      <c r="R37" s="4"/>
      <c r="S37" s="7"/>
      <c r="T37" s="7"/>
      <c r="U37" s="7"/>
      <c r="V37" s="7"/>
      <c r="W37" s="4"/>
      <c r="X37" s="7"/>
      <c r="Y37" s="7"/>
    </row>
    <row r="38">
      <c r="A38" s="4"/>
      <c r="B38" s="4"/>
      <c r="C38" s="8"/>
      <c r="D38" s="5"/>
      <c r="E38" s="6"/>
      <c r="F38" s="6"/>
      <c r="G38" s="6"/>
      <c r="H38" s="4"/>
      <c r="I38" s="4"/>
      <c r="J38" s="4"/>
      <c r="K38" s="4"/>
      <c r="L38" s="4"/>
      <c r="M38" s="7"/>
      <c r="N38" s="7"/>
      <c r="O38" s="7"/>
      <c r="P38" s="7"/>
      <c r="Q38" s="4"/>
      <c r="R38" s="7"/>
      <c r="S38" s="7"/>
      <c r="T38" s="7"/>
      <c r="U38" s="7"/>
      <c r="V38" s="7"/>
      <c r="W38" s="4"/>
      <c r="X38" s="7"/>
      <c r="Y38" s="7"/>
    </row>
    <row r="39">
      <c r="A39" s="4"/>
      <c r="B39" s="4"/>
      <c r="C39" s="8"/>
      <c r="D39" s="5"/>
      <c r="E39" s="6"/>
      <c r="F39" s="6"/>
      <c r="G39" s="6"/>
      <c r="H39" s="4"/>
      <c r="I39" s="4"/>
      <c r="J39" s="4"/>
      <c r="K39" s="4"/>
      <c r="L39" s="7"/>
      <c r="M39" s="7"/>
      <c r="N39" s="7"/>
      <c r="O39" s="4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4"/>
      <c r="B40" s="8"/>
      <c r="C40" s="4"/>
      <c r="D40" s="5"/>
      <c r="E40" s="6"/>
      <c r="F40" s="6"/>
      <c r="G40" s="6"/>
      <c r="H40" s="4"/>
      <c r="I40" s="4"/>
      <c r="J40" s="4"/>
      <c r="K40" s="4"/>
      <c r="L40" s="7"/>
      <c r="M40" s="7"/>
      <c r="N40" s="7"/>
      <c r="O40" s="7"/>
      <c r="P40" s="7"/>
      <c r="Q40" s="7"/>
      <c r="R40" s="7"/>
      <c r="S40" s="7"/>
      <c r="T40" s="7"/>
      <c r="U40" s="4"/>
      <c r="V40" s="7"/>
      <c r="W40" s="7"/>
      <c r="X40" s="7"/>
      <c r="Y40" s="7"/>
    </row>
    <row r="41">
      <c r="A41" s="4"/>
      <c r="B41" s="8"/>
      <c r="C41" s="8"/>
      <c r="D41" s="5"/>
      <c r="E41" s="6"/>
      <c r="F41" s="6"/>
      <c r="G41" s="6"/>
      <c r="H41" s="4"/>
      <c r="I41" s="4"/>
      <c r="J41" s="4"/>
      <c r="K41" s="4"/>
      <c r="L41" s="7"/>
      <c r="M41" s="7"/>
      <c r="N41" s="7"/>
      <c r="O41" s="7"/>
      <c r="P41" s="7"/>
      <c r="Q41" s="7"/>
      <c r="R41" s="7"/>
      <c r="S41" s="7"/>
      <c r="T41" s="7"/>
      <c r="U41" s="4"/>
      <c r="V41" s="7"/>
      <c r="W41" s="7"/>
      <c r="X41" s="7"/>
      <c r="Y41" s="7"/>
    </row>
    <row r="42">
      <c r="A42" s="4"/>
      <c r="B42" s="8"/>
      <c r="C42" s="8"/>
      <c r="D42" s="5"/>
      <c r="E42" s="6"/>
      <c r="F42" s="6"/>
      <c r="G42" s="6"/>
      <c r="H42" s="4"/>
      <c r="I42" s="4"/>
      <c r="J42" s="4"/>
      <c r="K42" s="4"/>
      <c r="L42" s="7"/>
      <c r="M42" s="7"/>
      <c r="N42" s="7"/>
      <c r="O42" s="7"/>
      <c r="P42" s="7"/>
      <c r="Q42" s="7"/>
      <c r="R42" s="7"/>
      <c r="S42" s="7"/>
      <c r="T42" s="7"/>
      <c r="U42" s="4"/>
      <c r="V42" s="7"/>
      <c r="W42" s="7"/>
      <c r="X42" s="7"/>
      <c r="Y42" s="7"/>
    </row>
    <row r="43">
      <c r="A43" s="4"/>
      <c r="B43" s="4"/>
      <c r="C43" s="8"/>
      <c r="D43" s="5"/>
      <c r="E43" s="6"/>
      <c r="F43" s="6"/>
      <c r="G43" s="6"/>
      <c r="H43" s="4"/>
      <c r="I43" s="4"/>
      <c r="J43" s="4"/>
      <c r="K43" s="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4"/>
      <c r="B44" s="4"/>
      <c r="C44" s="8"/>
      <c r="D44" s="5"/>
      <c r="E44" s="6"/>
      <c r="F44" s="6"/>
      <c r="G44" s="6"/>
      <c r="H44" s="4"/>
      <c r="I44" s="4"/>
      <c r="J44" s="4"/>
      <c r="K44" s="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4"/>
      <c r="B45" s="4"/>
      <c r="C45" s="8"/>
      <c r="D45" s="5"/>
      <c r="E45" s="6"/>
      <c r="F45" s="6"/>
      <c r="G45" s="6"/>
      <c r="H45" s="4"/>
      <c r="I45" s="4"/>
      <c r="J45" s="4"/>
      <c r="K45" s="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4"/>
      <c r="B46" s="4"/>
      <c r="C46" s="8"/>
      <c r="D46" s="5"/>
      <c r="E46" s="6"/>
      <c r="F46" s="6"/>
      <c r="G46" s="6"/>
      <c r="H46" s="4"/>
      <c r="I46" s="4"/>
      <c r="J46" s="4"/>
      <c r="K46" s="4"/>
      <c r="L46" s="7"/>
      <c r="M46" s="7"/>
      <c r="N46" s="7"/>
      <c r="O46" s="4"/>
      <c r="P46" s="4"/>
      <c r="Q46" s="4"/>
      <c r="R46" s="7"/>
      <c r="S46" s="7"/>
      <c r="T46" s="4"/>
      <c r="U46" s="7"/>
      <c r="V46" s="7"/>
      <c r="W46" s="7"/>
      <c r="X46" s="7"/>
      <c r="Y46" s="7"/>
    </row>
    <row r="47">
      <c r="A47" s="4"/>
      <c r="B47" s="4"/>
      <c r="C47" s="8"/>
      <c r="D47" s="5"/>
      <c r="E47" s="6"/>
      <c r="F47" s="6"/>
      <c r="G47" s="6"/>
      <c r="H47" s="4"/>
      <c r="I47" s="4"/>
      <c r="J47" s="4"/>
      <c r="K47" s="4"/>
      <c r="L47" s="4"/>
      <c r="M47" s="7"/>
      <c r="N47" s="7"/>
      <c r="O47" s="7"/>
      <c r="P47" s="7"/>
      <c r="Q47" s="4"/>
      <c r="R47" s="7"/>
      <c r="S47" s="7"/>
      <c r="T47" s="7"/>
      <c r="U47" s="7"/>
      <c r="V47" s="7"/>
      <c r="W47" s="4"/>
      <c r="X47" s="7"/>
      <c r="Y47" s="7"/>
    </row>
    <row r="48">
      <c r="A48" s="4"/>
      <c r="B48" s="4"/>
      <c r="C48" s="8"/>
      <c r="D48" s="5"/>
      <c r="E48" s="6"/>
      <c r="F48" s="6"/>
      <c r="G48" s="6"/>
      <c r="H48" s="4"/>
      <c r="I48" s="4"/>
      <c r="J48" s="4"/>
      <c r="K48" s="4"/>
      <c r="L48" s="7"/>
      <c r="M48" s="7"/>
      <c r="N48" s="7"/>
      <c r="O48" s="4"/>
      <c r="P48" s="7"/>
      <c r="Q48" s="4"/>
      <c r="R48" s="7"/>
      <c r="S48" s="7"/>
      <c r="T48" s="7"/>
      <c r="U48" s="7"/>
      <c r="V48" s="7"/>
      <c r="W48" s="7"/>
      <c r="X48" s="7"/>
      <c r="Y48" s="7"/>
    </row>
    <row r="49">
      <c r="A49" s="4"/>
      <c r="B49" s="4"/>
      <c r="C49" s="8"/>
      <c r="D49" s="5"/>
      <c r="E49" s="6"/>
      <c r="F49" s="6"/>
      <c r="G49" s="6"/>
      <c r="H49" s="4"/>
      <c r="I49" s="4"/>
      <c r="J49" s="4"/>
      <c r="K49" s="4"/>
      <c r="L49" s="7"/>
      <c r="M49" s="7"/>
      <c r="N49" s="7"/>
      <c r="O49" s="4"/>
      <c r="P49" s="7"/>
      <c r="Q49" s="7"/>
      <c r="R49" s="7"/>
      <c r="S49" s="4"/>
      <c r="T49" s="7"/>
      <c r="U49" s="7"/>
      <c r="V49" s="7"/>
      <c r="W49" s="7"/>
      <c r="X49" s="7"/>
      <c r="Y49" s="7"/>
    </row>
    <row r="50">
      <c r="A50" s="4"/>
      <c r="B50" s="4"/>
      <c r="C50" s="8"/>
      <c r="D50" s="5"/>
      <c r="E50" s="6"/>
      <c r="F50" s="6"/>
      <c r="G50" s="6"/>
      <c r="H50" s="4"/>
      <c r="I50" s="4"/>
      <c r="J50" s="4"/>
      <c r="K50" s="4"/>
      <c r="L50" s="7"/>
      <c r="M50" s="7"/>
      <c r="N50" s="7"/>
      <c r="O50" s="4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4"/>
      <c r="B51" s="4"/>
      <c r="C51" s="8"/>
      <c r="D51" s="5"/>
      <c r="E51" s="6"/>
      <c r="F51" s="6"/>
      <c r="G51" s="6"/>
      <c r="H51" s="4"/>
      <c r="I51" s="4"/>
      <c r="J51" s="4"/>
      <c r="K51" s="4"/>
      <c r="L51" s="7"/>
      <c r="M51" s="7"/>
      <c r="N51" s="7"/>
      <c r="O51" s="4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4"/>
      <c r="B52" s="4"/>
      <c r="C52" s="8"/>
      <c r="D52" s="5"/>
      <c r="E52" s="6"/>
      <c r="F52" s="6"/>
      <c r="G52" s="6"/>
      <c r="H52" s="4"/>
      <c r="I52" s="4"/>
      <c r="J52" s="4"/>
      <c r="K52" s="4"/>
      <c r="L52" s="7"/>
      <c r="M52" s="7"/>
      <c r="N52" s="7"/>
      <c r="O52" s="4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4"/>
      <c r="B53" s="4"/>
      <c r="C53" s="8"/>
      <c r="D53" s="5"/>
      <c r="E53" s="6"/>
      <c r="F53" s="6"/>
      <c r="G53" s="6"/>
      <c r="H53" s="4"/>
      <c r="I53" s="4"/>
      <c r="J53" s="4"/>
      <c r="K53" s="4"/>
      <c r="L53" s="4"/>
      <c r="M53" s="7"/>
      <c r="N53" s="7"/>
      <c r="O53" s="7"/>
      <c r="P53" s="7"/>
      <c r="Q53" s="4"/>
      <c r="R53" s="7"/>
      <c r="S53" s="7"/>
      <c r="T53" s="7"/>
      <c r="U53" s="7"/>
      <c r="V53" s="7"/>
      <c r="W53" s="7"/>
      <c r="X53" s="7"/>
      <c r="Y53" s="7"/>
    </row>
    <row r="54">
      <c r="A54" s="4"/>
      <c r="B54" s="4"/>
      <c r="C54" s="8"/>
      <c r="D54" s="5"/>
      <c r="E54" s="6"/>
      <c r="F54" s="6"/>
      <c r="G54" s="6"/>
      <c r="H54" s="4"/>
      <c r="I54" s="4"/>
      <c r="J54" s="4"/>
      <c r="K54" s="4"/>
      <c r="L54" s="7"/>
      <c r="M54" s="7"/>
      <c r="N54" s="7"/>
      <c r="O54" s="4"/>
      <c r="P54" s="4"/>
      <c r="Q54" s="4"/>
      <c r="R54" s="7"/>
      <c r="S54" s="7"/>
      <c r="T54" s="7"/>
      <c r="U54" s="4"/>
      <c r="V54" s="7"/>
      <c r="W54" s="4"/>
      <c r="X54" s="7"/>
      <c r="Y54" s="7"/>
    </row>
    <row r="55">
      <c r="A55" s="4"/>
      <c r="B55" s="4"/>
      <c r="C55" s="8"/>
      <c r="D55" s="5"/>
      <c r="E55" s="6"/>
      <c r="F55" s="6"/>
      <c r="G55" s="6"/>
      <c r="H55" s="4"/>
      <c r="I55" s="4"/>
      <c r="J55" s="4"/>
      <c r="K55" s="4"/>
      <c r="L55" s="7"/>
      <c r="M55" s="7"/>
      <c r="N55" s="7"/>
      <c r="O55" s="4"/>
      <c r="P55" s="4"/>
      <c r="Q55" s="4"/>
      <c r="R55" s="7"/>
      <c r="S55" s="7"/>
      <c r="T55" s="7"/>
      <c r="U55" s="4"/>
      <c r="V55" s="7"/>
      <c r="W55" s="4"/>
      <c r="X55" s="7"/>
      <c r="Y55" s="7"/>
    </row>
    <row r="56">
      <c r="A56" s="4"/>
      <c r="B56" s="4"/>
      <c r="C56" s="8"/>
      <c r="D56" s="5"/>
      <c r="E56" s="6"/>
      <c r="F56" s="6"/>
      <c r="G56" s="6"/>
      <c r="H56" s="4"/>
      <c r="I56" s="4"/>
      <c r="J56" s="4"/>
      <c r="K56" s="4"/>
      <c r="L56" s="7"/>
      <c r="M56" s="7"/>
      <c r="N56" s="7"/>
      <c r="O56" s="7"/>
      <c r="P56" s="4"/>
      <c r="Q56" s="4"/>
      <c r="R56" s="7"/>
      <c r="S56" s="7"/>
      <c r="T56" s="7"/>
      <c r="U56" s="7"/>
      <c r="V56" s="7"/>
      <c r="W56" s="7"/>
      <c r="X56" s="7"/>
      <c r="Y56" s="7"/>
    </row>
    <row r="57">
      <c r="A57" s="4"/>
      <c r="B57" s="4"/>
      <c r="C57" s="8"/>
      <c r="D57" s="5"/>
      <c r="E57" s="6"/>
      <c r="F57" s="6"/>
      <c r="G57" s="6"/>
      <c r="H57" s="4"/>
      <c r="I57" s="4"/>
      <c r="J57" s="4"/>
      <c r="K57" s="4"/>
      <c r="L57" s="7"/>
      <c r="M57" s="7"/>
      <c r="N57" s="7"/>
      <c r="O57" s="7"/>
      <c r="P57" s="4"/>
      <c r="Q57" s="4"/>
      <c r="R57" s="7"/>
      <c r="S57" s="7"/>
      <c r="T57" s="7"/>
      <c r="U57" s="7"/>
      <c r="V57" s="7"/>
      <c r="W57" s="7"/>
      <c r="X57" s="7"/>
      <c r="Y57" s="7"/>
    </row>
    <row r="58">
      <c r="A58" s="4"/>
      <c r="B58" s="4"/>
      <c r="C58" s="8"/>
      <c r="D58" s="5"/>
      <c r="E58" s="6"/>
      <c r="F58" s="6"/>
      <c r="G58" s="6"/>
      <c r="H58" s="4"/>
      <c r="I58" s="4"/>
      <c r="J58" s="4"/>
      <c r="K58" s="4"/>
      <c r="L58" s="4"/>
      <c r="M58" s="7"/>
      <c r="N58" s="7"/>
      <c r="O58" s="4"/>
      <c r="P58" s="4"/>
      <c r="Q58" s="7"/>
      <c r="R58" s="7"/>
      <c r="S58" s="7"/>
      <c r="T58" s="7"/>
      <c r="U58" s="7"/>
      <c r="V58" s="7"/>
      <c r="W58" s="7"/>
      <c r="X58" s="7"/>
      <c r="Y58" s="7"/>
    </row>
    <row r="59">
      <c r="A59" s="4"/>
      <c r="B59" s="4"/>
      <c r="C59" s="8"/>
      <c r="D59" s="5"/>
      <c r="E59" s="6"/>
      <c r="F59" s="6"/>
      <c r="G59" s="6"/>
      <c r="H59" s="4"/>
      <c r="I59" s="4"/>
      <c r="J59" s="4"/>
      <c r="K59" s="4"/>
      <c r="L59" s="4"/>
      <c r="M59" s="7"/>
      <c r="N59" s="7"/>
      <c r="O59" s="7"/>
      <c r="P59" s="7"/>
      <c r="Q59" s="4"/>
      <c r="R59" s="7"/>
      <c r="S59" s="7"/>
      <c r="T59" s="7"/>
      <c r="U59" s="7"/>
      <c r="V59" s="7"/>
      <c r="W59" s="4"/>
      <c r="X59" s="7"/>
      <c r="Y59" s="7"/>
    </row>
    <row r="60">
      <c r="A60" s="4"/>
      <c r="B60" s="4"/>
      <c r="C60" s="8"/>
      <c r="D60" s="5"/>
      <c r="E60" s="6"/>
      <c r="F60" s="6"/>
      <c r="G60" s="6"/>
      <c r="H60" s="4"/>
      <c r="I60" s="4"/>
      <c r="J60" s="4"/>
      <c r="K60" s="4"/>
      <c r="L60" s="4"/>
      <c r="M60" s="7"/>
      <c r="N60" s="7"/>
      <c r="O60" s="4"/>
      <c r="P60" s="4"/>
      <c r="Q60" s="4"/>
      <c r="R60" s="7"/>
      <c r="S60" s="7"/>
      <c r="T60" s="7"/>
      <c r="U60" s="7"/>
      <c r="V60" s="7"/>
      <c r="W60" s="7"/>
      <c r="X60" s="7"/>
      <c r="Y60" s="7"/>
    </row>
    <row r="61">
      <c r="A61" s="4"/>
      <c r="B61" s="4"/>
      <c r="C61" s="8"/>
      <c r="D61" s="5"/>
      <c r="E61" s="6"/>
      <c r="F61" s="6"/>
      <c r="G61" s="6"/>
      <c r="H61" s="4"/>
      <c r="I61" s="4"/>
      <c r="J61" s="4"/>
      <c r="K61" s="4"/>
      <c r="L61" s="4"/>
      <c r="M61" s="7"/>
      <c r="N61" s="7"/>
      <c r="O61" s="7"/>
      <c r="P61" s="4"/>
      <c r="Q61" s="4"/>
      <c r="R61" s="7"/>
      <c r="S61" s="7"/>
      <c r="T61" s="7"/>
      <c r="U61" s="7"/>
      <c r="V61" s="7"/>
      <c r="W61" s="4"/>
      <c r="X61" s="7"/>
      <c r="Y61" s="7"/>
    </row>
    <row r="62">
      <c r="A62" s="4"/>
      <c r="B62" s="4"/>
      <c r="C62" s="8"/>
      <c r="D62" s="5"/>
      <c r="E62" s="6"/>
      <c r="F62" s="6"/>
      <c r="G62" s="6"/>
      <c r="H62" s="4"/>
      <c r="I62" s="4"/>
      <c r="J62" s="4"/>
      <c r="K62" s="4"/>
      <c r="L62" s="7"/>
      <c r="M62" s="7"/>
      <c r="N62" s="7"/>
      <c r="O62" s="4"/>
      <c r="P62" s="7"/>
      <c r="Q62" s="7"/>
      <c r="R62" s="7"/>
      <c r="S62" s="4"/>
      <c r="T62" s="7"/>
      <c r="U62" s="7"/>
      <c r="V62" s="7"/>
      <c r="W62" s="7"/>
      <c r="X62" s="7"/>
      <c r="Y62" s="7"/>
    </row>
    <row r="63">
      <c r="A63" s="4"/>
      <c r="B63" s="4"/>
      <c r="C63" s="8"/>
      <c r="D63" s="5"/>
      <c r="E63" s="6"/>
      <c r="F63" s="6"/>
      <c r="G63" s="6"/>
      <c r="H63" s="4"/>
      <c r="I63" s="4"/>
      <c r="J63" s="4"/>
      <c r="K63" s="4"/>
      <c r="L63" s="4"/>
      <c r="M63" s="7"/>
      <c r="N63" s="7"/>
      <c r="O63" s="7"/>
      <c r="P63" s="7"/>
      <c r="Q63" s="7"/>
      <c r="R63" s="7"/>
      <c r="S63" s="7"/>
      <c r="T63" s="7"/>
      <c r="U63" s="7"/>
      <c r="V63" s="7"/>
      <c r="W63" s="4"/>
      <c r="X63" s="7"/>
      <c r="Y63" s="7"/>
    </row>
    <row r="64">
      <c r="A64" s="4"/>
      <c r="B64" s="4"/>
      <c r="C64" s="8"/>
      <c r="D64" s="5"/>
      <c r="E64" s="6"/>
      <c r="F64" s="6"/>
      <c r="G64" s="6"/>
      <c r="H64" s="4"/>
      <c r="I64" s="4"/>
      <c r="J64" s="4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4"/>
      <c r="B65" s="4"/>
      <c r="C65" s="8"/>
      <c r="D65" s="5"/>
      <c r="E65" s="6"/>
      <c r="F65" s="6"/>
      <c r="G65" s="6"/>
      <c r="H65" s="4"/>
      <c r="I65" s="4"/>
      <c r="J65" s="4"/>
      <c r="K65" s="4"/>
      <c r="L65" s="4"/>
      <c r="M65" s="7"/>
      <c r="N65" s="7"/>
      <c r="O65" s="7"/>
      <c r="P65" s="4"/>
      <c r="Q65" s="4"/>
      <c r="R65" s="7"/>
      <c r="S65" s="7"/>
      <c r="T65" s="7"/>
      <c r="U65" s="7"/>
      <c r="V65" s="7"/>
      <c r="W65" s="7"/>
      <c r="X65" s="7"/>
      <c r="Y65" s="7"/>
    </row>
    <row r="66">
      <c r="A66" s="4"/>
      <c r="B66" s="4"/>
      <c r="C66" s="8"/>
      <c r="D66" s="5"/>
      <c r="E66" s="6"/>
      <c r="F66" s="6"/>
      <c r="G66" s="6"/>
      <c r="H66" s="4"/>
      <c r="I66" s="4"/>
      <c r="J66" s="4"/>
      <c r="K66" s="4"/>
      <c r="L66" s="7"/>
      <c r="M66" s="7"/>
      <c r="N66" s="7"/>
      <c r="O66" s="7"/>
      <c r="P66" s="4"/>
      <c r="Q66" s="7"/>
      <c r="R66" s="7"/>
      <c r="S66" s="7"/>
      <c r="T66" s="7"/>
      <c r="U66" s="7"/>
      <c r="V66" s="7"/>
      <c r="W66" s="7"/>
      <c r="X66" s="7"/>
      <c r="Y66" s="7"/>
    </row>
    <row r="67">
      <c r="A67" s="4"/>
      <c r="B67" s="4"/>
      <c r="C67" s="8"/>
      <c r="D67" s="5"/>
      <c r="E67" s="6"/>
      <c r="F67" s="6"/>
      <c r="G67" s="6"/>
      <c r="H67" s="4"/>
      <c r="I67" s="4"/>
      <c r="J67" s="4"/>
      <c r="K67" s="4"/>
      <c r="L67" s="7"/>
      <c r="M67" s="7"/>
      <c r="N67" s="7"/>
      <c r="O67" s="4"/>
      <c r="P67" s="7"/>
      <c r="Q67" s="7"/>
      <c r="R67" s="7"/>
      <c r="S67" s="7"/>
      <c r="T67" s="4"/>
      <c r="U67" s="7"/>
      <c r="V67" s="7"/>
      <c r="W67" s="4"/>
      <c r="X67" s="7"/>
      <c r="Y67" s="7"/>
    </row>
    <row r="68">
      <c r="A68" s="4"/>
      <c r="B68" s="4"/>
      <c r="C68" s="8"/>
      <c r="D68" s="5"/>
      <c r="E68" s="6"/>
      <c r="F68" s="6"/>
      <c r="G68" s="6"/>
      <c r="H68" s="4"/>
      <c r="I68" s="4"/>
      <c r="J68" s="4"/>
      <c r="K68" s="4"/>
      <c r="L68" s="7"/>
      <c r="M68" s="7"/>
      <c r="N68" s="7"/>
      <c r="O68" s="4"/>
      <c r="P68" s="4"/>
      <c r="Q68" s="4"/>
      <c r="R68" s="7"/>
      <c r="S68" s="7"/>
      <c r="T68" s="7"/>
      <c r="U68" s="4"/>
      <c r="V68" s="7"/>
      <c r="W68" s="7"/>
      <c r="X68" s="7"/>
      <c r="Y68" s="7"/>
    </row>
    <row r="69">
      <c r="A69" s="4"/>
      <c r="B69" s="4"/>
      <c r="C69" s="8"/>
      <c r="D69" s="5"/>
      <c r="E69" s="6"/>
      <c r="F69" s="6"/>
      <c r="G69" s="6"/>
      <c r="H69" s="4"/>
      <c r="I69" s="4"/>
      <c r="J69" s="4"/>
      <c r="K69" s="4"/>
      <c r="L69" s="7"/>
      <c r="M69" s="7"/>
      <c r="N69" s="7"/>
      <c r="O69" s="4"/>
      <c r="P69" s="4"/>
      <c r="Q69" s="4"/>
      <c r="R69" s="7"/>
      <c r="S69" s="7"/>
      <c r="T69" s="7"/>
      <c r="U69" s="4"/>
      <c r="V69" s="7"/>
      <c r="W69" s="7"/>
      <c r="X69" s="7"/>
      <c r="Y69" s="7"/>
    </row>
    <row r="70">
      <c r="A70" s="4"/>
      <c r="B70" s="4"/>
      <c r="C70" s="8"/>
      <c r="D70" s="5"/>
      <c r="E70" s="6"/>
      <c r="F70" s="6"/>
      <c r="G70" s="6"/>
      <c r="H70" s="4"/>
      <c r="I70" s="4"/>
      <c r="J70" s="4"/>
      <c r="K70" s="4"/>
      <c r="L70" s="7"/>
      <c r="M70" s="7"/>
      <c r="N70" s="7"/>
      <c r="O70" s="4"/>
      <c r="P70" s="7"/>
      <c r="Q70" s="7"/>
      <c r="R70" s="7"/>
      <c r="S70" s="7"/>
      <c r="T70" s="4"/>
      <c r="U70" s="7"/>
      <c r="V70" s="7"/>
      <c r="W70" s="7"/>
      <c r="X70" s="7"/>
      <c r="Y70" s="7"/>
    </row>
    <row r="71">
      <c r="A71" s="4"/>
      <c r="B71" s="4"/>
      <c r="C71" s="8"/>
      <c r="D71" s="5"/>
      <c r="E71" s="6"/>
      <c r="F71" s="6"/>
      <c r="G71" s="6"/>
      <c r="H71" s="4"/>
      <c r="I71" s="4"/>
      <c r="J71" s="4"/>
      <c r="K71" s="4"/>
      <c r="L71" s="7"/>
      <c r="M71" s="7"/>
      <c r="N71" s="7"/>
      <c r="O71" s="7"/>
      <c r="P71" s="7"/>
      <c r="Q71" s="7"/>
      <c r="R71" s="7"/>
      <c r="S71" s="7"/>
      <c r="T71" s="4"/>
      <c r="U71" s="7"/>
      <c r="V71" s="7"/>
      <c r="W71" s="4"/>
      <c r="X71" s="7"/>
      <c r="Y71" s="7"/>
    </row>
    <row r="72">
      <c r="A72" s="4"/>
      <c r="B72" s="4"/>
      <c r="C72" s="8"/>
      <c r="D72" s="5"/>
      <c r="E72" s="6"/>
      <c r="F72" s="6"/>
      <c r="G72" s="6"/>
      <c r="H72" s="4"/>
      <c r="I72" s="4"/>
      <c r="J72" s="4"/>
      <c r="K72" s="4"/>
      <c r="L72" s="7"/>
      <c r="M72" s="7"/>
      <c r="N72" s="7"/>
      <c r="O72" s="7"/>
      <c r="P72" s="7"/>
      <c r="Q72" s="4"/>
      <c r="R72" s="7"/>
      <c r="S72" s="7"/>
      <c r="T72" s="7"/>
      <c r="U72" s="7"/>
      <c r="V72" s="7"/>
      <c r="W72" s="7"/>
      <c r="X72" s="7"/>
      <c r="Y72" s="7"/>
    </row>
    <row r="73">
      <c r="A73" s="4"/>
      <c r="B73" s="4"/>
      <c r="C73" s="8"/>
      <c r="D73" s="5"/>
      <c r="E73" s="6"/>
      <c r="F73" s="6"/>
      <c r="G73" s="6"/>
      <c r="H73" s="4"/>
      <c r="I73" s="4"/>
      <c r="J73" s="4"/>
      <c r="K73" s="4"/>
      <c r="L73" s="4"/>
      <c r="M73" s="7"/>
      <c r="N73" s="7"/>
      <c r="O73" s="7"/>
      <c r="P73" s="4"/>
      <c r="Q73" s="4"/>
      <c r="R73" s="7"/>
      <c r="S73" s="7"/>
      <c r="T73" s="7"/>
      <c r="U73" s="7"/>
      <c r="V73" s="7"/>
      <c r="W73" s="7"/>
      <c r="X73" s="7"/>
      <c r="Y73" s="7"/>
    </row>
    <row r="74">
      <c r="A74" s="4"/>
      <c r="B74" s="4"/>
      <c r="C74" s="8"/>
      <c r="D74" s="5"/>
      <c r="E74" s="6"/>
      <c r="F74" s="6"/>
      <c r="G74" s="6"/>
      <c r="H74" s="4"/>
      <c r="I74" s="4"/>
      <c r="J74" s="4"/>
      <c r="K74" s="4"/>
      <c r="L74" s="7"/>
      <c r="M74" s="7"/>
      <c r="N74" s="7"/>
      <c r="O74" s="4"/>
      <c r="P74" s="7"/>
      <c r="Q74" s="7"/>
      <c r="R74" s="7"/>
      <c r="S74" s="7"/>
      <c r="T74" s="4"/>
      <c r="U74" s="7"/>
      <c r="V74" s="7"/>
      <c r="W74" s="7"/>
      <c r="X74" s="7"/>
      <c r="Y74" s="7"/>
    </row>
    <row r="75">
      <c r="A75" s="4"/>
      <c r="B75" s="4"/>
      <c r="C75" s="8"/>
      <c r="D75" s="5"/>
      <c r="E75" s="6"/>
      <c r="F75" s="6"/>
      <c r="G75" s="6"/>
      <c r="H75" s="4"/>
      <c r="I75" s="4"/>
      <c r="J75" s="4"/>
      <c r="K75" s="4"/>
      <c r="L75" s="7"/>
      <c r="M75" s="7"/>
      <c r="N75" s="7"/>
      <c r="O75" s="7"/>
      <c r="P75" s="4"/>
      <c r="Q75" s="4"/>
      <c r="R75" s="4"/>
      <c r="S75" s="7"/>
      <c r="T75" s="4"/>
      <c r="U75" s="4"/>
      <c r="V75" s="7"/>
      <c r="W75" s="4"/>
      <c r="X75" s="4"/>
      <c r="Y75" s="4"/>
    </row>
    <row r="76">
      <c r="A76" s="4"/>
      <c r="B76" s="4"/>
      <c r="C76" s="8"/>
      <c r="D76" s="5"/>
      <c r="E76" s="6"/>
      <c r="F76" s="6"/>
      <c r="G76" s="6"/>
      <c r="H76" s="4"/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4"/>
      <c r="B77" s="4"/>
      <c r="C77" s="8"/>
      <c r="D77" s="5"/>
      <c r="E77" s="6"/>
      <c r="F77" s="6"/>
      <c r="G77" s="6"/>
      <c r="H77" s="4"/>
      <c r="I77" s="4"/>
      <c r="J77" s="4"/>
      <c r="K77" s="4"/>
      <c r="L77" s="7"/>
      <c r="M77" s="4"/>
      <c r="N77" s="7"/>
      <c r="O77" s="7"/>
      <c r="P77" s="7"/>
      <c r="Q77" s="4"/>
      <c r="R77" s="7"/>
      <c r="S77" s="7"/>
      <c r="T77" s="7"/>
      <c r="U77" s="7"/>
      <c r="V77" s="7"/>
      <c r="W77" s="7"/>
      <c r="X77" s="7"/>
      <c r="Y77" s="7"/>
    </row>
    <row r="78">
      <c r="A78" s="4"/>
      <c r="B78" s="4"/>
      <c r="C78" s="8"/>
      <c r="D78" s="5"/>
      <c r="E78" s="6"/>
      <c r="F78" s="6"/>
      <c r="G78" s="6"/>
      <c r="H78" s="4"/>
      <c r="I78" s="4"/>
      <c r="J78" s="4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4"/>
      <c r="X78" s="7"/>
      <c r="Y78" s="7"/>
    </row>
    <row r="79">
      <c r="A79" s="4"/>
      <c r="B79" s="4"/>
      <c r="C79" s="8"/>
      <c r="D79" s="5"/>
      <c r="E79" s="6"/>
      <c r="F79" s="6"/>
      <c r="G79" s="6"/>
      <c r="H79" s="4"/>
      <c r="I79" s="4"/>
      <c r="J79" s="4"/>
      <c r="K79" s="4"/>
      <c r="L79" s="7"/>
      <c r="M79" s="7"/>
      <c r="N79" s="7"/>
      <c r="O79" s="4"/>
      <c r="P79" s="7"/>
      <c r="Q79" s="4"/>
      <c r="R79" s="4"/>
      <c r="S79" s="7"/>
      <c r="T79" s="7"/>
      <c r="U79" s="4"/>
      <c r="V79" s="7"/>
      <c r="W79" s="7"/>
      <c r="X79" s="7"/>
      <c r="Y79" s="7"/>
    </row>
    <row r="80">
      <c r="A80" s="4"/>
      <c r="B80" s="4"/>
      <c r="C80" s="8"/>
      <c r="D80" s="5"/>
      <c r="E80" s="6"/>
      <c r="F80" s="6"/>
      <c r="G80" s="6"/>
      <c r="H80" s="4"/>
      <c r="I80" s="4"/>
      <c r="J80" s="4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4"/>
      <c r="B81" s="4"/>
      <c r="C81" s="8"/>
      <c r="D81" s="5"/>
      <c r="E81" s="6"/>
      <c r="F81" s="6"/>
      <c r="G81" s="6"/>
      <c r="H81" s="4"/>
      <c r="I81" s="4"/>
      <c r="J81" s="4"/>
      <c r="K81" s="4"/>
      <c r="L81" s="7"/>
      <c r="M81" s="7"/>
      <c r="N81" s="7"/>
      <c r="O81" s="7"/>
      <c r="P81" s="4"/>
      <c r="Q81" s="4"/>
      <c r="R81" s="7"/>
      <c r="S81" s="7"/>
      <c r="T81" s="7"/>
      <c r="U81" s="7"/>
      <c r="V81" s="7"/>
      <c r="W81" s="4"/>
      <c r="X81" s="7"/>
      <c r="Y81" s="7"/>
    </row>
    <row r="82">
      <c r="A82" s="4"/>
      <c r="B82" s="4"/>
      <c r="C82" s="8"/>
      <c r="D82" s="5"/>
      <c r="E82" s="6"/>
      <c r="F82" s="6"/>
      <c r="G82" s="6"/>
      <c r="H82" s="4"/>
      <c r="I82" s="4"/>
      <c r="J82" s="4"/>
      <c r="K82" s="4"/>
      <c r="L82" s="7"/>
      <c r="M82" s="7"/>
      <c r="N82" s="7"/>
      <c r="O82" s="7"/>
      <c r="P82" s="4"/>
      <c r="Q82" s="4"/>
      <c r="R82" s="4"/>
      <c r="S82" s="7"/>
      <c r="T82" s="7"/>
      <c r="U82" s="7"/>
      <c r="V82" s="7"/>
      <c r="W82" s="7"/>
      <c r="X82" s="7"/>
      <c r="Y82" s="7"/>
    </row>
    <row r="83">
      <c r="A83" s="4"/>
      <c r="B83" s="4"/>
      <c r="C83" s="8"/>
      <c r="D83" s="5"/>
      <c r="E83" s="6"/>
      <c r="F83" s="6"/>
      <c r="G83" s="6"/>
      <c r="H83" s="4"/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4"/>
      <c r="B84" s="4"/>
      <c r="C84" s="8"/>
      <c r="D84" s="5"/>
      <c r="E84" s="6"/>
      <c r="F84" s="6"/>
      <c r="G84" s="6"/>
      <c r="H84" s="4"/>
      <c r="I84" s="4"/>
      <c r="J84" s="4"/>
      <c r="K84" s="4"/>
      <c r="L84" s="7"/>
      <c r="M84" s="7"/>
      <c r="N84" s="7"/>
      <c r="O84" s="7"/>
      <c r="P84" s="4"/>
      <c r="Q84" s="4"/>
      <c r="R84" s="7"/>
      <c r="S84" s="7"/>
      <c r="T84" s="7"/>
      <c r="U84" s="7"/>
      <c r="V84" s="7"/>
      <c r="W84" s="7"/>
      <c r="X84" s="7"/>
      <c r="Y84" s="7"/>
    </row>
    <row r="85">
      <c r="A85" s="4"/>
      <c r="B85" s="4"/>
      <c r="C85" s="8"/>
      <c r="D85" s="5"/>
      <c r="E85" s="6"/>
      <c r="F85" s="6"/>
      <c r="G85" s="6"/>
      <c r="H85" s="4"/>
      <c r="I85" s="4"/>
      <c r="J85" s="4"/>
      <c r="K85" s="4"/>
      <c r="L85" s="7"/>
      <c r="M85" s="7"/>
      <c r="N85" s="7"/>
      <c r="O85" s="7"/>
      <c r="P85" s="7"/>
      <c r="Q85" s="4"/>
      <c r="R85" s="7"/>
      <c r="S85" s="7"/>
      <c r="T85" s="7"/>
      <c r="U85" s="7"/>
      <c r="V85" s="7"/>
      <c r="W85" s="7"/>
      <c r="X85" s="7"/>
      <c r="Y85" s="7"/>
    </row>
    <row r="86">
      <c r="A86" s="4"/>
      <c r="B86" s="4"/>
      <c r="C86" s="8"/>
      <c r="D86" s="5"/>
      <c r="E86" s="6"/>
      <c r="F86" s="6"/>
      <c r="G86" s="6"/>
      <c r="H86" s="4"/>
      <c r="I86" s="4"/>
      <c r="J86" s="4"/>
      <c r="K86" s="4"/>
      <c r="L86" s="7"/>
      <c r="M86" s="7"/>
      <c r="N86" s="7"/>
      <c r="O86" s="7"/>
      <c r="P86" s="7"/>
      <c r="Q86" s="7"/>
      <c r="R86" s="7"/>
      <c r="S86" s="7"/>
      <c r="T86" s="7"/>
      <c r="U86" s="4"/>
      <c r="V86" s="7"/>
      <c r="W86" s="7"/>
      <c r="X86" s="7"/>
      <c r="Y86" s="7"/>
    </row>
    <row r="87">
      <c r="A87" s="4"/>
      <c r="B87" s="4"/>
      <c r="C87" s="8"/>
      <c r="D87" s="5"/>
      <c r="E87" s="6"/>
      <c r="F87" s="6"/>
      <c r="G87" s="6"/>
      <c r="H87" s="4"/>
      <c r="I87" s="4"/>
      <c r="J87" s="4"/>
      <c r="K87" s="4"/>
      <c r="L87" s="7"/>
      <c r="M87" s="7"/>
      <c r="N87" s="7"/>
      <c r="O87" s="7"/>
      <c r="P87" s="7"/>
      <c r="Q87" s="7"/>
      <c r="R87" s="7"/>
      <c r="S87" s="7"/>
      <c r="T87" s="7"/>
      <c r="U87" s="4"/>
      <c r="V87" s="7"/>
      <c r="W87" s="7"/>
      <c r="X87" s="7"/>
      <c r="Y87" s="7"/>
    </row>
    <row r="88">
      <c r="A88" s="4"/>
      <c r="B88" s="4"/>
      <c r="C88" s="8"/>
      <c r="D88" s="5"/>
      <c r="E88" s="6"/>
      <c r="F88" s="6"/>
      <c r="G88" s="6"/>
      <c r="H88" s="4"/>
      <c r="I88" s="4"/>
      <c r="J88" s="4"/>
      <c r="K88" s="4"/>
      <c r="L88" s="4"/>
      <c r="M88" s="7"/>
      <c r="N88" s="7"/>
      <c r="O88" s="7"/>
      <c r="P88" s="7"/>
      <c r="Q88" s="7"/>
      <c r="R88" s="7"/>
      <c r="S88" s="7"/>
      <c r="T88" s="7"/>
      <c r="U88" s="7"/>
      <c r="V88" s="7"/>
      <c r="W88" s="4"/>
      <c r="X88" s="7"/>
      <c r="Y88" s="7"/>
    </row>
    <row r="89">
      <c r="A89" s="4"/>
      <c r="B89" s="4"/>
      <c r="C89" s="8"/>
      <c r="D89" s="5"/>
      <c r="E89" s="6"/>
      <c r="F89" s="6"/>
      <c r="G89" s="6"/>
      <c r="H89" s="4"/>
      <c r="I89" s="4"/>
      <c r="J89" s="4"/>
      <c r="K89" s="4"/>
      <c r="L89" s="7"/>
      <c r="M89" s="7"/>
      <c r="N89" s="7"/>
      <c r="O89" s="7"/>
      <c r="P89" s="7"/>
      <c r="Q89" s="4"/>
      <c r="R89" s="7"/>
      <c r="S89" s="7"/>
      <c r="T89" s="7"/>
      <c r="U89" s="7"/>
      <c r="V89" s="7"/>
      <c r="W89" s="7"/>
      <c r="X89" s="7"/>
      <c r="Y89" s="7"/>
    </row>
    <row r="90">
      <c r="A90" s="4"/>
      <c r="B90" s="4"/>
      <c r="C90" s="8"/>
      <c r="D90" s="5"/>
      <c r="E90" s="6"/>
      <c r="F90" s="6"/>
      <c r="G90" s="6"/>
      <c r="H90" s="4"/>
      <c r="I90" s="4"/>
      <c r="J90" s="4"/>
      <c r="K90" s="4"/>
      <c r="L90" s="7"/>
      <c r="M90" s="7"/>
      <c r="N90" s="7"/>
      <c r="O90" s="7"/>
      <c r="P90" s="4"/>
      <c r="Q90" s="7"/>
      <c r="R90" s="7"/>
      <c r="S90" s="7"/>
      <c r="T90" s="7"/>
      <c r="U90" s="7"/>
      <c r="V90" s="7"/>
      <c r="W90" s="7"/>
      <c r="X90" s="7"/>
      <c r="Y90" s="7"/>
    </row>
    <row r="91">
      <c r="A91" s="4"/>
      <c r="B91" s="4"/>
      <c r="C91" s="8"/>
      <c r="D91" s="5"/>
      <c r="E91" s="6"/>
      <c r="F91" s="6"/>
      <c r="G91" s="6"/>
      <c r="H91" s="4"/>
      <c r="I91" s="4"/>
      <c r="J91" s="4"/>
      <c r="K91" s="4"/>
      <c r="L91" s="7"/>
      <c r="M91" s="7"/>
      <c r="N91" s="7"/>
      <c r="O91" s="7"/>
      <c r="P91" s="7"/>
      <c r="Q91" s="4"/>
      <c r="R91" s="4"/>
      <c r="S91" s="7"/>
      <c r="T91" s="7"/>
      <c r="U91" s="7"/>
      <c r="V91" s="7"/>
      <c r="W91" s="7"/>
      <c r="X91" s="7"/>
      <c r="Y91" s="7"/>
    </row>
    <row r="92">
      <c r="A92" s="4"/>
      <c r="B92" s="4"/>
      <c r="C92" s="8"/>
      <c r="D92" s="5"/>
      <c r="E92" s="6"/>
      <c r="F92" s="6"/>
      <c r="G92" s="6"/>
      <c r="H92" s="4"/>
      <c r="I92" s="4"/>
      <c r="J92" s="4"/>
      <c r="K92" s="4"/>
      <c r="L92" s="7"/>
      <c r="M92" s="7"/>
      <c r="N92" s="7"/>
      <c r="O92" s="7"/>
      <c r="P92" s="7"/>
      <c r="Q92" s="4"/>
      <c r="R92" s="7"/>
      <c r="S92" s="7"/>
      <c r="T92" s="7"/>
      <c r="U92" s="7"/>
      <c r="V92" s="7"/>
      <c r="W92" s="7"/>
      <c r="X92" s="7"/>
      <c r="Y92" s="7"/>
    </row>
    <row r="93">
      <c r="A93" s="4"/>
      <c r="B93" s="4"/>
      <c r="C93" s="8"/>
      <c r="D93" s="5"/>
      <c r="E93" s="6"/>
      <c r="F93" s="6"/>
      <c r="G93" s="6"/>
      <c r="H93" s="4"/>
      <c r="I93" s="4"/>
      <c r="J93" s="4"/>
      <c r="K93" s="4"/>
      <c r="L93" s="7"/>
      <c r="M93" s="7"/>
      <c r="N93" s="7"/>
      <c r="O93" s="4"/>
      <c r="P93" s="7"/>
      <c r="Q93" s="4"/>
      <c r="R93" s="7"/>
      <c r="S93" s="7"/>
      <c r="T93" s="7"/>
      <c r="U93" s="7"/>
      <c r="V93" s="7"/>
      <c r="W93" s="7"/>
      <c r="X93" s="7"/>
      <c r="Y93" s="7"/>
    </row>
    <row r="94">
      <c r="A94" s="4"/>
      <c r="B94" s="4"/>
      <c r="C94" s="8"/>
      <c r="D94" s="5"/>
      <c r="E94" s="6"/>
      <c r="F94" s="6"/>
      <c r="G94" s="6"/>
      <c r="H94" s="4"/>
      <c r="I94" s="4"/>
      <c r="J94" s="4"/>
      <c r="K94" s="4"/>
      <c r="L94" s="7"/>
      <c r="M94" s="7"/>
      <c r="N94" s="7"/>
      <c r="O94" s="4"/>
      <c r="P94" s="4"/>
      <c r="Q94" s="4"/>
      <c r="R94" s="7"/>
      <c r="S94" s="7"/>
      <c r="T94" s="4"/>
      <c r="U94" s="4"/>
      <c r="V94" s="7"/>
      <c r="W94" s="4"/>
      <c r="X94" s="7"/>
      <c r="Y94" s="7"/>
    </row>
    <row r="95">
      <c r="A95" s="4"/>
      <c r="B95" s="4"/>
      <c r="C95" s="8"/>
      <c r="D95" s="5"/>
      <c r="E95" s="6"/>
      <c r="F95" s="6"/>
      <c r="G95" s="6"/>
      <c r="H95" s="4"/>
      <c r="I95" s="4"/>
      <c r="J95" s="4"/>
      <c r="K95" s="4"/>
      <c r="L95" s="7"/>
      <c r="M95" s="7"/>
      <c r="N95" s="4"/>
      <c r="O95" s="4"/>
      <c r="P95" s="7"/>
      <c r="Q95" s="4"/>
      <c r="R95" s="7"/>
      <c r="S95" s="7"/>
      <c r="T95" s="7"/>
      <c r="U95" s="7"/>
      <c r="V95" s="7"/>
      <c r="W95" s="7"/>
      <c r="X95" s="7"/>
      <c r="Y95" s="7"/>
    </row>
    <row r="96">
      <c r="A96" s="4"/>
      <c r="B96" s="4"/>
      <c r="C96" s="8"/>
      <c r="D96" s="5"/>
      <c r="E96" s="6"/>
      <c r="F96" s="6"/>
      <c r="G96" s="6"/>
      <c r="H96" s="4"/>
      <c r="I96" s="4"/>
      <c r="J96" s="4"/>
      <c r="K96" s="4"/>
      <c r="L96" s="7"/>
      <c r="M96" s="7"/>
      <c r="N96" s="7"/>
      <c r="O96" s="7"/>
      <c r="P96" s="7"/>
      <c r="Q96" s="4"/>
      <c r="R96" s="7"/>
      <c r="S96" s="7"/>
      <c r="T96" s="7"/>
      <c r="U96" s="7"/>
      <c r="V96" s="7"/>
      <c r="W96" s="7"/>
      <c r="X96" s="7"/>
      <c r="Y96" s="7"/>
    </row>
    <row r="97">
      <c r="A97" s="4"/>
      <c r="B97" s="4"/>
      <c r="C97" s="8"/>
      <c r="D97" s="5"/>
      <c r="E97" s="6"/>
      <c r="F97" s="6"/>
      <c r="G97" s="6"/>
      <c r="H97" s="4"/>
      <c r="I97" s="4"/>
      <c r="J97" s="4"/>
      <c r="K97" s="4"/>
      <c r="L97" s="4"/>
      <c r="M97" s="7"/>
      <c r="N97" s="7"/>
      <c r="O97" s="7"/>
      <c r="P97" s="7"/>
      <c r="Q97" s="4"/>
      <c r="R97" s="7"/>
      <c r="S97" s="7"/>
      <c r="T97" s="7"/>
      <c r="U97" s="7"/>
      <c r="V97" s="7"/>
      <c r="W97" s="4"/>
      <c r="X97" s="7"/>
      <c r="Y97" s="7"/>
    </row>
    <row r="98">
      <c r="A98" s="4"/>
      <c r="B98" s="4"/>
      <c r="C98" s="8"/>
      <c r="D98" s="5"/>
      <c r="E98" s="6"/>
      <c r="F98" s="6"/>
      <c r="G98" s="6"/>
      <c r="H98" s="4"/>
      <c r="I98" s="4"/>
      <c r="J98" s="4"/>
      <c r="K98" s="4"/>
      <c r="L98" s="7"/>
      <c r="M98" s="7"/>
      <c r="N98" s="7"/>
      <c r="O98" s="7"/>
      <c r="P98" s="7"/>
      <c r="Q98" s="4"/>
      <c r="R98" s="7"/>
      <c r="S98" s="7"/>
      <c r="T98" s="7"/>
      <c r="U98" s="7"/>
      <c r="V98" s="7"/>
      <c r="W98" s="7"/>
      <c r="X98" s="7"/>
      <c r="Y98" s="7"/>
    </row>
    <row r="99">
      <c r="A99" s="4"/>
      <c r="B99" s="4"/>
      <c r="C99" s="8"/>
      <c r="D99" s="5"/>
      <c r="E99" s="6"/>
      <c r="F99" s="6"/>
      <c r="G99" s="6"/>
      <c r="H99" s="4"/>
      <c r="I99" s="4"/>
      <c r="J99" s="4"/>
      <c r="K99" s="4"/>
      <c r="L99" s="4"/>
      <c r="M99" s="7"/>
      <c r="N99" s="7"/>
      <c r="O99" s="7"/>
      <c r="P99" s="7"/>
      <c r="Q99" s="4"/>
      <c r="R99" s="7"/>
      <c r="S99" s="7"/>
      <c r="T99" s="7"/>
      <c r="U99" s="7"/>
      <c r="V99" s="7"/>
      <c r="W99" s="7"/>
      <c r="X99" s="7"/>
      <c r="Y99" s="7"/>
    </row>
    <row r="100">
      <c r="A100" s="4"/>
      <c r="B100" s="4"/>
      <c r="C100" s="8"/>
      <c r="D100" s="5"/>
      <c r="E100" s="6"/>
      <c r="F100" s="6"/>
      <c r="G100" s="6"/>
      <c r="H100" s="4"/>
      <c r="I100" s="4"/>
      <c r="J100" s="4"/>
      <c r="K100" s="4"/>
      <c r="L100" s="4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4"/>
      <c r="B101" s="4"/>
      <c r="C101" s="8"/>
      <c r="D101" s="5"/>
      <c r="E101" s="6"/>
      <c r="F101" s="6"/>
      <c r="G101" s="6"/>
      <c r="H101" s="4"/>
      <c r="I101" s="4"/>
      <c r="J101" s="4"/>
      <c r="K101" s="4"/>
      <c r="L101" s="4"/>
      <c r="M101" s="7"/>
      <c r="N101" s="7"/>
      <c r="O101" s="7"/>
      <c r="P101" s="7"/>
      <c r="Q101" s="4"/>
      <c r="R101" s="7"/>
      <c r="S101" s="7"/>
      <c r="T101" s="7"/>
      <c r="U101" s="7"/>
      <c r="V101" s="7"/>
      <c r="W101" s="7"/>
      <c r="X101" s="7"/>
      <c r="Y101" s="7"/>
    </row>
    <row r="102">
      <c r="A102" s="4"/>
      <c r="B102" s="4"/>
      <c r="C102" s="8"/>
      <c r="D102" s="5"/>
      <c r="E102" s="6"/>
      <c r="F102" s="6"/>
      <c r="G102" s="6"/>
      <c r="H102" s="4"/>
      <c r="I102" s="4"/>
      <c r="J102" s="4"/>
      <c r="K102" s="4"/>
      <c r="L102" s="4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4"/>
      <c r="B103" s="4"/>
      <c r="C103" s="8"/>
      <c r="D103" s="5"/>
      <c r="E103" s="6"/>
      <c r="F103" s="6"/>
      <c r="G103" s="6"/>
      <c r="H103" s="4"/>
      <c r="I103" s="4"/>
      <c r="J103" s="4"/>
      <c r="K103" s="4"/>
      <c r="L103" s="7"/>
      <c r="M103" s="7"/>
      <c r="N103" s="7"/>
      <c r="O103" s="7"/>
      <c r="P103" s="7"/>
      <c r="Q103" s="4"/>
      <c r="R103" s="7"/>
      <c r="S103" s="7"/>
      <c r="T103" s="7"/>
      <c r="U103" s="4"/>
      <c r="V103" s="7"/>
      <c r="W103" s="7"/>
      <c r="X103" s="7"/>
      <c r="Y103" s="7"/>
    </row>
    <row r="104">
      <c r="A104" s="4"/>
      <c r="B104" s="4"/>
      <c r="C104" s="8"/>
      <c r="D104" s="5"/>
      <c r="E104" s="6"/>
      <c r="F104" s="6"/>
      <c r="G104" s="6"/>
      <c r="H104" s="4"/>
      <c r="I104" s="4"/>
      <c r="J104" s="4"/>
      <c r="K104" s="4"/>
      <c r="L104" s="4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4"/>
      <c r="B105" s="4"/>
      <c r="C105" s="8"/>
      <c r="D105" s="5"/>
      <c r="E105" s="6"/>
      <c r="F105" s="6"/>
      <c r="G105" s="6"/>
      <c r="H105" s="4"/>
      <c r="I105" s="4"/>
      <c r="J105" s="4"/>
      <c r="K105" s="4"/>
      <c r="L105" s="4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4"/>
      <c r="B106" s="4"/>
      <c r="C106" s="8"/>
      <c r="D106" s="5"/>
      <c r="E106" s="6"/>
      <c r="F106" s="6"/>
      <c r="G106" s="6"/>
      <c r="H106" s="4"/>
      <c r="I106" s="4"/>
      <c r="J106" s="4"/>
      <c r="K106" s="4"/>
      <c r="L106" s="4"/>
      <c r="M106" s="7"/>
      <c r="N106" s="7"/>
      <c r="O106" s="7"/>
      <c r="P106" s="7"/>
      <c r="Q106" s="4"/>
      <c r="R106" s="7"/>
      <c r="S106" s="7"/>
      <c r="T106" s="7"/>
      <c r="U106" s="7"/>
      <c r="V106" s="7"/>
      <c r="W106" s="4"/>
      <c r="X106" s="7"/>
      <c r="Y106" s="7"/>
    </row>
    <row r="107">
      <c r="A107" s="4"/>
      <c r="B107" s="4"/>
      <c r="C107" s="8"/>
      <c r="D107" s="5"/>
      <c r="E107" s="6"/>
      <c r="F107" s="6"/>
      <c r="G107" s="6"/>
      <c r="H107" s="4"/>
      <c r="I107" s="4"/>
      <c r="J107" s="4"/>
      <c r="K107" s="4"/>
      <c r="L107" s="7"/>
      <c r="M107" s="4"/>
      <c r="N107" s="7"/>
      <c r="O107" s="7"/>
      <c r="P107" s="7"/>
      <c r="Q107" s="4"/>
      <c r="R107" s="7"/>
      <c r="S107" s="7"/>
      <c r="T107" s="7"/>
      <c r="U107" s="7"/>
      <c r="V107" s="7"/>
      <c r="W107" s="4"/>
      <c r="X107" s="7"/>
      <c r="Y107" s="7"/>
    </row>
    <row r="108">
      <c r="A108" s="4"/>
      <c r="B108" s="4"/>
      <c r="C108" s="8"/>
      <c r="D108" s="5"/>
      <c r="E108" s="6"/>
      <c r="F108" s="6"/>
      <c r="G108" s="6"/>
      <c r="H108" s="4"/>
      <c r="I108" s="4"/>
      <c r="J108" s="4"/>
      <c r="K108" s="4"/>
      <c r="L108" s="7"/>
      <c r="M108" s="4"/>
      <c r="N108" s="7"/>
      <c r="O108" s="7"/>
      <c r="P108" s="7"/>
      <c r="Q108" s="4"/>
      <c r="R108" s="7"/>
      <c r="S108" s="7"/>
      <c r="T108" s="7"/>
      <c r="U108" s="7"/>
      <c r="V108" s="7"/>
      <c r="W108" s="4"/>
      <c r="X108" s="7"/>
      <c r="Y108" s="7"/>
    </row>
    <row r="109">
      <c r="A109" s="4"/>
      <c r="B109" s="4"/>
      <c r="C109" s="8"/>
      <c r="D109" s="5"/>
      <c r="E109" s="6"/>
      <c r="F109" s="6"/>
      <c r="G109" s="6"/>
      <c r="H109" s="4"/>
      <c r="I109" s="4"/>
      <c r="J109" s="4"/>
      <c r="K109" s="4"/>
      <c r="L109" s="7"/>
      <c r="M109" s="7"/>
      <c r="N109" s="4"/>
      <c r="O109" s="7"/>
      <c r="P109" s="7"/>
      <c r="Q109" s="4"/>
      <c r="R109" s="7"/>
      <c r="S109" s="7"/>
      <c r="T109" s="7"/>
      <c r="U109" s="7"/>
      <c r="V109" s="7"/>
      <c r="W109" s="7"/>
      <c r="X109" s="7"/>
      <c r="Y109" s="7"/>
    </row>
    <row r="110">
      <c r="A110" s="4"/>
      <c r="B110" s="4"/>
      <c r="C110" s="8"/>
      <c r="D110" s="5"/>
      <c r="E110" s="6"/>
      <c r="F110" s="6"/>
      <c r="G110" s="6"/>
      <c r="H110" s="4"/>
      <c r="I110" s="4"/>
      <c r="J110" s="4"/>
      <c r="K110" s="4"/>
      <c r="L110" s="4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4"/>
      <c r="B111" s="4"/>
      <c r="C111" s="8"/>
      <c r="D111" s="5"/>
      <c r="E111" s="6"/>
      <c r="F111" s="6"/>
      <c r="G111" s="6"/>
      <c r="H111" s="4"/>
      <c r="I111" s="4"/>
      <c r="J111" s="4"/>
      <c r="K111" s="4"/>
      <c r="L111" s="4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4"/>
      <c r="B112" s="4"/>
      <c r="C112" s="8"/>
      <c r="D112" s="5"/>
      <c r="E112" s="6"/>
      <c r="F112" s="6"/>
      <c r="G112" s="6"/>
      <c r="H112" s="4"/>
      <c r="I112" s="4"/>
      <c r="J112" s="4"/>
      <c r="K112" s="4"/>
      <c r="L112" s="4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4"/>
      <c r="B113" s="4"/>
      <c r="C113" s="8"/>
      <c r="D113" s="5"/>
      <c r="E113" s="6"/>
      <c r="F113" s="6"/>
      <c r="G113" s="6"/>
      <c r="H113" s="4"/>
      <c r="I113" s="4"/>
      <c r="J113" s="4"/>
      <c r="K113" s="4"/>
      <c r="L113" s="4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4"/>
      <c r="B114" s="4"/>
      <c r="C114" s="8"/>
      <c r="D114" s="5"/>
      <c r="E114" s="6"/>
      <c r="F114" s="6"/>
      <c r="G114" s="6"/>
      <c r="H114" s="4"/>
      <c r="I114" s="4"/>
      <c r="J114" s="4"/>
      <c r="K114" s="4"/>
      <c r="L114" s="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4"/>
      <c r="B115" s="4"/>
      <c r="C115" s="8"/>
      <c r="D115" s="5"/>
      <c r="E115" s="6"/>
      <c r="F115" s="6"/>
      <c r="G115" s="6"/>
      <c r="H115" s="4"/>
      <c r="I115" s="4"/>
      <c r="J115" s="4"/>
      <c r="K115" s="4"/>
      <c r="L115" s="4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4"/>
      <c r="B116" s="4"/>
      <c r="C116" s="8"/>
      <c r="D116" s="5"/>
      <c r="E116" s="6"/>
      <c r="F116" s="6"/>
      <c r="G116" s="6"/>
      <c r="H116" s="4"/>
      <c r="I116" s="4"/>
      <c r="J116" s="4"/>
      <c r="K116" s="4"/>
      <c r="L116" s="4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4"/>
      <c r="B117" s="4"/>
      <c r="C117" s="8"/>
      <c r="D117" s="5"/>
      <c r="E117" s="6"/>
      <c r="F117" s="6"/>
      <c r="G117" s="6"/>
      <c r="H117" s="4"/>
      <c r="I117" s="4"/>
      <c r="J117" s="4"/>
      <c r="K117" s="4"/>
      <c r="L117" s="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4"/>
      <c r="B118" s="4"/>
      <c r="C118" s="8"/>
      <c r="D118" s="5"/>
      <c r="E118" s="6"/>
      <c r="F118" s="6"/>
      <c r="G118" s="6"/>
      <c r="H118" s="4"/>
      <c r="I118" s="4"/>
      <c r="J118" s="4"/>
      <c r="K118" s="4"/>
      <c r="L118" s="4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4"/>
      <c r="B119" s="4"/>
      <c r="C119" s="8"/>
      <c r="D119" s="5"/>
      <c r="E119" s="6"/>
      <c r="F119" s="6"/>
      <c r="G119" s="6"/>
      <c r="H119" s="4"/>
      <c r="I119" s="4"/>
      <c r="J119" s="4"/>
      <c r="K119" s="4"/>
      <c r="L119" s="4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4"/>
      <c r="B120" s="4"/>
      <c r="C120" s="8"/>
      <c r="D120" s="5"/>
      <c r="E120" s="6"/>
      <c r="F120" s="6"/>
      <c r="G120" s="6"/>
      <c r="H120" s="4"/>
      <c r="I120" s="4"/>
      <c r="J120" s="4"/>
      <c r="K120" s="4"/>
      <c r="L120" s="4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4"/>
      <c r="B121" s="4"/>
      <c r="C121" s="8"/>
      <c r="D121" s="5"/>
      <c r="E121" s="6"/>
      <c r="F121" s="6"/>
      <c r="G121" s="6"/>
      <c r="H121" s="4"/>
      <c r="I121" s="4"/>
      <c r="J121" s="4"/>
      <c r="K121" s="4"/>
      <c r="L121" s="4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"/>
      <c r="X121" s="7"/>
      <c r="Y121" s="7"/>
    </row>
    <row r="122">
      <c r="A122" s="4"/>
      <c r="B122" s="4"/>
      <c r="C122" s="8"/>
      <c r="D122" s="5"/>
      <c r="E122" s="6"/>
      <c r="F122" s="6"/>
      <c r="G122" s="6"/>
      <c r="H122" s="4"/>
      <c r="I122" s="4"/>
      <c r="J122" s="4"/>
      <c r="K122" s="4"/>
      <c r="L122" s="4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4"/>
      <c r="B123" s="4"/>
      <c r="C123" s="8"/>
      <c r="D123" s="5"/>
      <c r="E123" s="6"/>
      <c r="F123" s="6"/>
      <c r="G123" s="6"/>
      <c r="H123" s="4"/>
      <c r="I123" s="4"/>
      <c r="J123" s="4"/>
      <c r="K123" s="4"/>
      <c r="L123" s="4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"/>
      <c r="X123" s="7"/>
      <c r="Y123" s="7"/>
    </row>
    <row r="124">
      <c r="A124" s="4"/>
      <c r="B124" s="4"/>
      <c r="C124" s="8"/>
      <c r="D124" s="5"/>
      <c r="E124" s="6"/>
      <c r="F124" s="6"/>
      <c r="G124" s="6"/>
      <c r="H124" s="4"/>
      <c r="I124" s="4"/>
      <c r="J124" s="4"/>
      <c r="K124" s="4"/>
      <c r="L124" s="4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4"/>
      <c r="B125" s="4"/>
      <c r="C125" s="8"/>
      <c r="D125" s="5"/>
      <c r="E125" s="6"/>
      <c r="F125" s="6"/>
      <c r="G125" s="6"/>
      <c r="H125" s="4"/>
      <c r="I125" s="4"/>
      <c r="J125" s="4"/>
      <c r="K125" s="4"/>
      <c r="L125" s="4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4"/>
      <c r="B126" s="4"/>
      <c r="C126" s="8"/>
      <c r="D126" s="5"/>
      <c r="E126" s="6"/>
      <c r="F126" s="6"/>
      <c r="G126" s="6"/>
      <c r="H126" s="4"/>
      <c r="I126" s="4"/>
      <c r="J126" s="4"/>
      <c r="K126" s="4"/>
      <c r="L126" s="4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4"/>
      <c r="B127" s="4"/>
      <c r="C127" s="8"/>
      <c r="D127" s="5"/>
      <c r="E127" s="6"/>
      <c r="F127" s="6"/>
      <c r="G127" s="6"/>
      <c r="H127" s="4"/>
      <c r="I127" s="4"/>
      <c r="J127" s="4"/>
      <c r="K127" s="4"/>
      <c r="L127" s="7"/>
      <c r="M127" s="7"/>
      <c r="N127" s="7"/>
      <c r="O127" s="7"/>
      <c r="P127" s="7"/>
      <c r="Q127" s="4"/>
      <c r="R127" s="7"/>
      <c r="S127" s="7"/>
      <c r="T127" s="7"/>
      <c r="U127" s="7"/>
      <c r="V127" s="7"/>
      <c r="W127" s="7"/>
      <c r="X127" s="7"/>
      <c r="Y127" s="7"/>
    </row>
    <row r="128">
      <c r="A128" s="4"/>
      <c r="B128" s="4"/>
      <c r="C128" s="8"/>
      <c r="D128" s="5"/>
      <c r="E128" s="6"/>
      <c r="F128" s="6"/>
      <c r="G128" s="6"/>
      <c r="H128" s="4"/>
      <c r="I128" s="4"/>
      <c r="J128" s="4"/>
      <c r="K128" s="4"/>
      <c r="L128" s="7"/>
      <c r="M128" s="7"/>
      <c r="N128" s="7"/>
      <c r="O128" s="7"/>
      <c r="P128" s="7"/>
      <c r="Q128" s="4"/>
      <c r="R128" s="7"/>
      <c r="S128" s="7"/>
      <c r="T128" s="7"/>
      <c r="U128" s="7"/>
      <c r="V128" s="7"/>
      <c r="W128" s="4"/>
      <c r="X128" s="7"/>
      <c r="Y128" s="7"/>
    </row>
    <row r="129">
      <c r="A129" s="4"/>
      <c r="B129" s="4"/>
      <c r="C129" s="8"/>
      <c r="D129" s="5"/>
      <c r="E129" s="6"/>
      <c r="F129" s="6"/>
      <c r="G129" s="6"/>
      <c r="H129" s="4"/>
      <c r="I129" s="4"/>
      <c r="J129" s="4"/>
      <c r="K129" s="4"/>
      <c r="L129" s="7"/>
      <c r="M129" s="4"/>
      <c r="N129" s="7"/>
      <c r="O129" s="7"/>
      <c r="P129" s="7"/>
      <c r="Q129" s="4"/>
      <c r="R129" s="7"/>
      <c r="S129" s="7"/>
      <c r="T129" s="7"/>
      <c r="U129" s="7"/>
      <c r="V129" s="7"/>
      <c r="W129" s="4"/>
      <c r="X129" s="7"/>
      <c r="Y129" s="7"/>
    </row>
    <row r="130">
      <c r="A130" s="4"/>
      <c r="B130" s="4"/>
      <c r="C130" s="8"/>
      <c r="D130" s="5"/>
      <c r="E130" s="6"/>
      <c r="F130" s="6"/>
      <c r="G130" s="6"/>
      <c r="H130" s="4"/>
      <c r="I130" s="4"/>
      <c r="J130" s="4"/>
      <c r="K130" s="4"/>
      <c r="L130" s="7"/>
      <c r="M130" s="4"/>
      <c r="N130" s="7"/>
      <c r="O130" s="7"/>
      <c r="P130" s="7"/>
      <c r="Q130" s="4"/>
      <c r="R130" s="7"/>
      <c r="S130" s="7"/>
      <c r="T130" s="7"/>
      <c r="U130" s="7"/>
      <c r="V130" s="7"/>
      <c r="W130" s="4"/>
      <c r="X130" s="7"/>
      <c r="Y130" s="7"/>
    </row>
    <row r="131">
      <c r="A131" s="4"/>
      <c r="B131" s="4"/>
      <c r="C131" s="8"/>
      <c r="D131" s="5"/>
      <c r="E131" s="6"/>
      <c r="F131" s="6"/>
      <c r="G131" s="6"/>
      <c r="H131" s="4"/>
      <c r="I131" s="4"/>
      <c r="J131" s="4"/>
      <c r="K131" s="4"/>
      <c r="L131" s="7"/>
      <c r="M131" s="4"/>
      <c r="N131" s="7"/>
      <c r="O131" s="7"/>
      <c r="P131" s="7"/>
      <c r="Q131" s="4"/>
      <c r="R131" s="7"/>
      <c r="S131" s="7"/>
      <c r="T131" s="7"/>
      <c r="U131" s="7"/>
      <c r="V131" s="7"/>
      <c r="W131" s="4"/>
      <c r="X131" s="7"/>
      <c r="Y131" s="7"/>
    </row>
    <row r="132">
      <c r="A132" s="4"/>
      <c r="B132" s="4"/>
      <c r="C132" s="8"/>
      <c r="D132" s="5"/>
      <c r="E132" s="6"/>
      <c r="F132" s="6"/>
      <c r="G132" s="6"/>
      <c r="H132" s="4"/>
      <c r="I132" s="4"/>
      <c r="J132" s="4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"/>
      <c r="X132" s="4"/>
      <c r="Y132" s="4"/>
    </row>
    <row r="133">
      <c r="A133" s="4"/>
      <c r="B133" s="4"/>
      <c r="C133" s="8"/>
      <c r="D133" s="5"/>
      <c r="E133" s="6"/>
      <c r="F133" s="6"/>
      <c r="G133" s="6"/>
      <c r="H133" s="4"/>
      <c r="I133" s="4"/>
      <c r="J133" s="4"/>
      <c r="K133" s="4"/>
      <c r="L133" s="7"/>
      <c r="M133" s="7"/>
      <c r="N133" s="7"/>
      <c r="O133" s="7"/>
      <c r="P133" s="7"/>
      <c r="Q133" s="4"/>
      <c r="R133" s="7"/>
      <c r="S133" s="7"/>
      <c r="T133" s="7"/>
      <c r="U133" s="7"/>
      <c r="V133" s="7"/>
      <c r="W133" s="4"/>
      <c r="X133" s="4"/>
      <c r="Y133" s="4"/>
    </row>
    <row r="134">
      <c r="A134" s="4"/>
      <c r="B134" s="4"/>
      <c r="C134" s="8"/>
      <c r="D134" s="5"/>
      <c r="E134" s="6"/>
      <c r="F134" s="6"/>
      <c r="G134" s="6"/>
      <c r="H134" s="4"/>
      <c r="I134" s="4"/>
      <c r="J134" s="4"/>
      <c r="K134" s="4"/>
      <c r="L134" s="7"/>
      <c r="M134" s="7"/>
      <c r="N134" s="7"/>
      <c r="O134" s="7"/>
      <c r="P134" s="7"/>
      <c r="Q134" s="4"/>
      <c r="R134" s="7"/>
      <c r="S134" s="7"/>
      <c r="T134" s="7"/>
      <c r="U134" s="7"/>
      <c r="V134" s="7"/>
      <c r="W134" s="4"/>
      <c r="X134" s="7"/>
      <c r="Y134" s="7"/>
    </row>
    <row r="135">
      <c r="A135" s="4"/>
      <c r="B135" s="4"/>
      <c r="C135" s="8"/>
      <c r="D135" s="5"/>
      <c r="E135" s="6"/>
      <c r="F135" s="6"/>
      <c r="G135" s="6"/>
      <c r="H135" s="4"/>
      <c r="I135" s="4"/>
      <c r="J135" s="4"/>
      <c r="K135" s="4"/>
      <c r="L135" s="7"/>
      <c r="M135" s="7"/>
      <c r="N135" s="4"/>
      <c r="O135" s="7"/>
      <c r="P135" s="7"/>
      <c r="Q135" s="4"/>
      <c r="R135" s="7"/>
      <c r="S135" s="7"/>
      <c r="T135" s="7"/>
      <c r="U135" s="7"/>
      <c r="V135" s="7"/>
      <c r="W135" s="4"/>
      <c r="X135" s="7"/>
      <c r="Y135" s="7"/>
    </row>
    <row r="136">
      <c r="A136" s="4"/>
      <c r="B136" s="4"/>
      <c r="C136" s="8"/>
      <c r="D136" s="5"/>
      <c r="E136" s="6"/>
      <c r="F136" s="6"/>
      <c r="G136" s="6"/>
      <c r="H136" s="4"/>
      <c r="I136" s="4"/>
      <c r="J136" s="4"/>
      <c r="K136" s="4"/>
      <c r="L136" s="7"/>
      <c r="M136" s="7"/>
      <c r="N136" s="4"/>
      <c r="O136" s="7"/>
      <c r="P136" s="7"/>
      <c r="Q136" s="4"/>
      <c r="R136" s="7"/>
      <c r="S136" s="7"/>
      <c r="T136" s="7"/>
      <c r="U136" s="7"/>
      <c r="V136" s="7"/>
      <c r="W136" s="4"/>
      <c r="X136" s="7"/>
      <c r="Y136" s="7"/>
    </row>
    <row r="137">
      <c r="A137" s="4"/>
      <c r="B137" s="4"/>
      <c r="C137" s="8"/>
      <c r="D137" s="5"/>
      <c r="E137" s="6"/>
      <c r="F137" s="6"/>
      <c r="G137" s="6"/>
      <c r="H137" s="4"/>
      <c r="I137" s="4"/>
      <c r="J137" s="4"/>
      <c r="K137" s="4"/>
      <c r="L137" s="7"/>
      <c r="M137" s="7"/>
      <c r="N137" s="4"/>
      <c r="O137" s="7"/>
      <c r="P137" s="7"/>
      <c r="Q137" s="4"/>
      <c r="R137" s="7"/>
      <c r="S137" s="7"/>
      <c r="T137" s="7"/>
      <c r="U137" s="7"/>
      <c r="V137" s="7"/>
      <c r="W137" s="7"/>
      <c r="X137" s="7"/>
      <c r="Y137" s="7"/>
    </row>
    <row r="138">
      <c r="A138" s="4"/>
      <c r="B138" s="4"/>
      <c r="C138" s="8"/>
      <c r="D138" s="5"/>
      <c r="E138" s="6"/>
      <c r="F138" s="6"/>
      <c r="G138" s="6"/>
      <c r="H138" s="4"/>
      <c r="I138" s="4"/>
      <c r="J138" s="4"/>
      <c r="K138" s="4"/>
      <c r="L138" s="4"/>
      <c r="M138" s="7"/>
      <c r="N138" s="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4"/>
      <c r="B139" s="4"/>
      <c r="C139" s="8"/>
      <c r="D139" s="5"/>
      <c r="E139" s="6"/>
      <c r="F139" s="6"/>
      <c r="G139" s="6"/>
      <c r="H139" s="4"/>
      <c r="I139" s="4"/>
      <c r="J139" s="4"/>
      <c r="K139" s="4"/>
      <c r="L139" s="4"/>
      <c r="M139" s="7"/>
      <c r="N139" s="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4"/>
      <c r="B140" s="4"/>
      <c r="C140" s="8"/>
      <c r="D140" s="5"/>
      <c r="E140" s="6"/>
      <c r="F140" s="6"/>
      <c r="G140" s="6"/>
      <c r="H140" s="4"/>
      <c r="I140" s="4"/>
      <c r="J140" s="4"/>
      <c r="K140" s="4"/>
      <c r="L140" s="4"/>
      <c r="M140" s="7"/>
      <c r="N140" s="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4"/>
      <c r="B141" s="4"/>
      <c r="C141" s="8"/>
      <c r="D141" s="5"/>
      <c r="E141" s="6"/>
      <c r="F141" s="6"/>
      <c r="G141" s="6"/>
      <c r="H141" s="4"/>
      <c r="I141" s="4"/>
      <c r="J141" s="4"/>
      <c r="K141" s="4"/>
      <c r="L141" s="4"/>
      <c r="M141" s="7"/>
      <c r="N141" s="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4"/>
      <c r="B142" s="4"/>
      <c r="C142" s="8"/>
      <c r="D142" s="5"/>
      <c r="E142" s="6"/>
      <c r="F142" s="6"/>
      <c r="G142" s="6"/>
      <c r="H142" s="4"/>
      <c r="I142" s="4"/>
      <c r="J142" s="4"/>
      <c r="K142" s="4"/>
      <c r="L142" s="4"/>
      <c r="M142" s="7"/>
      <c r="N142" s="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4"/>
      <c r="B143" s="4"/>
      <c r="C143" s="8"/>
      <c r="D143" s="5"/>
      <c r="E143" s="6"/>
      <c r="F143" s="6"/>
      <c r="G143" s="6"/>
      <c r="H143" s="4"/>
      <c r="I143" s="4"/>
      <c r="J143" s="4"/>
      <c r="K143" s="4"/>
      <c r="L143" s="4"/>
      <c r="M143" s="7"/>
      <c r="N143" s="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4"/>
      <c r="B144" s="4"/>
      <c r="C144" s="8"/>
      <c r="D144" s="5"/>
      <c r="E144" s="6"/>
      <c r="F144" s="6"/>
      <c r="G144" s="6"/>
      <c r="H144" s="4"/>
      <c r="I144" s="4"/>
      <c r="J144" s="4"/>
      <c r="K144" s="4"/>
      <c r="L144" s="4"/>
      <c r="M144" s="7"/>
      <c r="N144" s="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4"/>
      <c r="B145" s="4"/>
      <c r="C145" s="8"/>
      <c r="D145" s="5"/>
      <c r="E145" s="6"/>
      <c r="F145" s="6"/>
      <c r="G145" s="6"/>
      <c r="H145" s="4"/>
      <c r="I145" s="4"/>
      <c r="J145" s="4"/>
      <c r="K145" s="4"/>
      <c r="L145" s="4"/>
      <c r="M145" s="7"/>
      <c r="N145" s="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4"/>
      <c r="B146" s="4"/>
      <c r="C146" s="4"/>
      <c r="D146" s="5"/>
      <c r="E146" s="6"/>
      <c r="F146" s="6"/>
      <c r="G146" s="6"/>
      <c r="H146" s="4"/>
      <c r="I146" s="4"/>
      <c r="J146" s="4"/>
      <c r="K146" s="4"/>
      <c r="L146" s="7"/>
      <c r="M146" s="7"/>
      <c r="N146" s="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4"/>
      <c r="B147" s="4"/>
      <c r="C147" s="8"/>
      <c r="D147" s="5"/>
      <c r="E147" s="6"/>
      <c r="F147" s="6"/>
      <c r="G147" s="6"/>
      <c r="H147" s="4"/>
      <c r="I147" s="4"/>
      <c r="J147" s="4"/>
      <c r="K147" s="4"/>
      <c r="L147" s="7"/>
      <c r="M147" s="7"/>
      <c r="N147" s="7"/>
      <c r="O147" s="7"/>
      <c r="P147" s="7"/>
      <c r="Q147" s="7"/>
      <c r="R147" s="7"/>
      <c r="S147" s="7"/>
      <c r="T147" s="4"/>
      <c r="U147" s="4"/>
      <c r="V147" s="7"/>
      <c r="W147" s="7"/>
      <c r="X147" s="7"/>
      <c r="Y147" s="7"/>
    </row>
    <row r="148">
      <c r="A148" s="4"/>
      <c r="B148" s="4"/>
      <c r="C148" s="8"/>
      <c r="D148" s="5"/>
      <c r="E148" s="6"/>
      <c r="F148" s="6"/>
      <c r="G148" s="6"/>
      <c r="H148" s="4"/>
      <c r="I148" s="4"/>
      <c r="J148" s="4"/>
      <c r="K148" s="4"/>
      <c r="L148" s="7"/>
      <c r="M148" s="7"/>
      <c r="N148" s="7"/>
      <c r="O148" s="7"/>
      <c r="P148" s="7"/>
      <c r="Q148" s="7"/>
      <c r="R148" s="7"/>
      <c r="S148" s="7"/>
      <c r="T148" s="4"/>
      <c r="U148" s="7"/>
      <c r="V148" s="7"/>
      <c r="W148" s="7"/>
      <c r="X148" s="7"/>
      <c r="Y148" s="7"/>
    </row>
    <row r="149">
      <c r="A149" s="4"/>
      <c r="B149" s="4"/>
      <c r="C149" s="8"/>
      <c r="D149" s="5"/>
      <c r="E149" s="6"/>
      <c r="F149" s="6"/>
      <c r="G149" s="6"/>
      <c r="H149" s="4"/>
      <c r="I149" s="4"/>
      <c r="J149" s="4"/>
      <c r="K149" s="4"/>
      <c r="L149" s="7"/>
      <c r="M149" s="7"/>
      <c r="N149" s="7"/>
      <c r="O149" s="4"/>
      <c r="P149" s="7"/>
      <c r="Q149" s="7"/>
      <c r="R149" s="7"/>
      <c r="S149" s="7"/>
      <c r="T149" s="7"/>
      <c r="U149" s="4"/>
      <c r="V149" s="7"/>
      <c r="W149" s="7"/>
      <c r="X149" s="7"/>
      <c r="Y149" s="7"/>
    </row>
    <row r="150">
      <c r="A150" s="4"/>
      <c r="B150" s="4"/>
      <c r="C150" s="8"/>
      <c r="D150" s="5"/>
      <c r="E150" s="6"/>
      <c r="F150" s="6"/>
      <c r="G150" s="6"/>
      <c r="H150" s="4"/>
      <c r="I150" s="4"/>
      <c r="J150" s="4"/>
      <c r="K150" s="4"/>
      <c r="L150" s="4"/>
      <c r="M150" s="7"/>
      <c r="N150" s="7"/>
      <c r="O150" s="7"/>
      <c r="P150" s="4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4"/>
      <c r="B151" s="4"/>
      <c r="C151" s="8"/>
      <c r="D151" s="5"/>
      <c r="E151" s="6"/>
      <c r="F151" s="6"/>
      <c r="G151" s="6"/>
      <c r="H151" s="4"/>
      <c r="I151" s="4"/>
      <c r="J151" s="4"/>
      <c r="K151" s="4"/>
      <c r="L151" s="7"/>
      <c r="M151" s="7"/>
      <c r="N151" s="7"/>
      <c r="O151" s="7"/>
      <c r="P151" s="7"/>
      <c r="Q151" s="4"/>
      <c r="R151" s="7"/>
      <c r="S151" s="7"/>
      <c r="T151" s="7"/>
      <c r="U151" s="7"/>
      <c r="V151" s="7"/>
      <c r="W151" s="7"/>
      <c r="X151" s="7"/>
      <c r="Y151" s="7"/>
    </row>
    <row r="152">
      <c r="A152" s="4"/>
      <c r="B152" s="4"/>
      <c r="C152" s="8"/>
      <c r="D152" s="5"/>
      <c r="E152" s="6"/>
      <c r="F152" s="6"/>
      <c r="G152" s="6"/>
      <c r="H152" s="4"/>
      <c r="I152" s="4"/>
      <c r="J152" s="4"/>
      <c r="K152" s="4"/>
      <c r="L152" s="7"/>
      <c r="M152" s="7"/>
      <c r="N152" s="4"/>
      <c r="O152" s="7"/>
      <c r="P152" s="4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4"/>
      <c r="B153" s="4"/>
      <c r="C153" s="8"/>
      <c r="D153" s="5"/>
      <c r="E153" s="6"/>
      <c r="F153" s="6"/>
      <c r="G153" s="6"/>
      <c r="H153" s="4"/>
      <c r="I153" s="4"/>
      <c r="J153" s="4"/>
      <c r="K153" s="4"/>
      <c r="L153" s="7"/>
      <c r="M153" s="7"/>
      <c r="N153" s="7"/>
      <c r="O153" s="7"/>
      <c r="P153" s="4"/>
      <c r="Q153" s="7"/>
      <c r="R153" s="7"/>
      <c r="S153" s="7"/>
      <c r="T153" s="4"/>
      <c r="U153" s="7"/>
      <c r="V153" s="7"/>
      <c r="W153" s="7"/>
      <c r="X153" s="7"/>
      <c r="Y153" s="7"/>
    </row>
    <row r="154">
      <c r="A154" s="4"/>
      <c r="B154" s="4"/>
      <c r="C154" s="8"/>
      <c r="D154" s="5"/>
      <c r="E154" s="6"/>
      <c r="F154" s="6"/>
      <c r="G154" s="6"/>
      <c r="H154" s="4"/>
      <c r="I154" s="4"/>
      <c r="J154" s="4"/>
      <c r="K154" s="4"/>
      <c r="L154" s="7"/>
      <c r="M154" s="7"/>
      <c r="N154" s="7"/>
      <c r="O154" s="7"/>
      <c r="P154" s="4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4"/>
      <c r="B155" s="4"/>
      <c r="C155" s="8"/>
      <c r="D155" s="5"/>
      <c r="E155" s="6"/>
      <c r="F155" s="6"/>
      <c r="G155" s="6"/>
      <c r="H155" s="4"/>
      <c r="I155" s="4"/>
      <c r="J155" s="4"/>
      <c r="K155" s="4"/>
      <c r="L155" s="7"/>
      <c r="M155" s="7"/>
      <c r="N155" s="7"/>
      <c r="O155" s="7"/>
      <c r="P155" s="7"/>
      <c r="Q155" s="4"/>
      <c r="R155" s="7"/>
      <c r="S155" s="4"/>
      <c r="T155" s="7"/>
      <c r="U155" s="7"/>
      <c r="V155" s="7"/>
      <c r="W155" s="7"/>
      <c r="X155" s="7"/>
      <c r="Y155" s="7"/>
    </row>
    <row r="156">
      <c r="A156" s="4"/>
      <c r="B156" s="4"/>
      <c r="C156" s="8"/>
      <c r="D156" s="5"/>
      <c r="E156" s="6"/>
      <c r="F156" s="6"/>
      <c r="G156" s="6"/>
      <c r="H156" s="4"/>
      <c r="I156" s="4"/>
      <c r="J156" s="4"/>
      <c r="K156" s="4"/>
      <c r="L156" s="7"/>
      <c r="M156" s="7"/>
      <c r="N156" s="4"/>
      <c r="O156" s="7"/>
      <c r="P156" s="4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4"/>
      <c r="B157" s="4"/>
      <c r="C157" s="8"/>
      <c r="D157" s="5"/>
      <c r="E157" s="6"/>
      <c r="F157" s="6"/>
      <c r="G157" s="6"/>
      <c r="H157" s="4"/>
      <c r="I157" s="4"/>
      <c r="J157" s="4"/>
      <c r="K157" s="4"/>
      <c r="L157" s="4"/>
      <c r="M157" s="7"/>
      <c r="N157" s="7"/>
      <c r="O157" s="7"/>
      <c r="P157" s="4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4"/>
      <c r="B158" s="4"/>
      <c r="C158" s="8"/>
      <c r="D158" s="5"/>
      <c r="E158" s="6"/>
      <c r="F158" s="6"/>
      <c r="G158" s="6"/>
      <c r="H158" s="4"/>
      <c r="I158" s="4"/>
      <c r="J158" s="4"/>
      <c r="K158" s="4"/>
      <c r="L158" s="7"/>
      <c r="M158" s="7"/>
      <c r="N158" s="7"/>
      <c r="O158" s="7"/>
      <c r="P158" s="4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4"/>
      <c r="B159" s="4"/>
      <c r="C159" s="8"/>
      <c r="D159" s="5"/>
      <c r="E159" s="6"/>
      <c r="F159" s="6"/>
      <c r="G159" s="6"/>
      <c r="H159" s="4"/>
      <c r="I159" s="4"/>
      <c r="J159" s="4"/>
      <c r="K159" s="4"/>
      <c r="L159" s="7"/>
      <c r="M159" s="7"/>
      <c r="N159" s="7"/>
      <c r="O159" s="7"/>
      <c r="P159" s="4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4"/>
      <c r="B160" s="4"/>
      <c r="C160" s="8"/>
      <c r="D160" s="5"/>
      <c r="E160" s="6"/>
      <c r="F160" s="6"/>
      <c r="G160" s="6"/>
      <c r="H160" s="4"/>
      <c r="I160" s="4"/>
      <c r="J160" s="4"/>
      <c r="K160" s="4"/>
      <c r="L160" s="4"/>
      <c r="M160" s="7"/>
      <c r="N160" s="7"/>
      <c r="O160" s="7"/>
      <c r="P160" s="4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4"/>
      <c r="B161" s="4"/>
      <c r="C161" s="8"/>
      <c r="D161" s="5"/>
      <c r="E161" s="6"/>
      <c r="F161" s="6"/>
      <c r="G161" s="6"/>
      <c r="H161" s="4"/>
      <c r="I161" s="4"/>
      <c r="J161" s="4"/>
      <c r="K161" s="4"/>
      <c r="L161" s="4"/>
      <c r="M161" s="7"/>
      <c r="N161" s="7"/>
      <c r="O161" s="7"/>
      <c r="P161" s="7"/>
      <c r="Q161" s="4"/>
      <c r="R161" s="7"/>
      <c r="S161" s="7"/>
      <c r="T161" s="7"/>
      <c r="U161" s="7"/>
      <c r="V161" s="7"/>
      <c r="W161" s="7"/>
      <c r="X161" s="7"/>
      <c r="Y161" s="7"/>
    </row>
    <row r="162">
      <c r="A162" s="4"/>
      <c r="B162" s="4"/>
      <c r="C162" s="8"/>
      <c r="D162" s="5"/>
      <c r="E162" s="6"/>
      <c r="F162" s="6"/>
      <c r="G162" s="6"/>
      <c r="H162" s="4"/>
      <c r="I162" s="4"/>
      <c r="J162" s="4"/>
      <c r="K162" s="4"/>
      <c r="L162" s="7"/>
      <c r="M162" s="7"/>
      <c r="N162" s="7"/>
      <c r="O162" s="7"/>
      <c r="P162" s="4"/>
      <c r="Q162" s="7"/>
      <c r="R162" s="4"/>
      <c r="S162" s="7"/>
      <c r="T162" s="7"/>
      <c r="U162" s="7"/>
      <c r="V162" s="7"/>
      <c r="W162" s="7"/>
      <c r="X162" s="7"/>
      <c r="Y162" s="7"/>
    </row>
    <row r="163">
      <c r="A163" s="4"/>
      <c r="B163" s="4"/>
      <c r="C163" s="8"/>
      <c r="D163" s="5"/>
      <c r="E163" s="6"/>
      <c r="F163" s="6"/>
      <c r="G163" s="6"/>
      <c r="H163" s="4"/>
      <c r="I163" s="4"/>
      <c r="J163" s="4"/>
      <c r="K163" s="4"/>
      <c r="L163" s="7"/>
      <c r="M163" s="7"/>
      <c r="N163" s="7"/>
      <c r="O163" s="7"/>
      <c r="P163" s="4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4"/>
      <c r="B164" s="4"/>
      <c r="C164" s="8"/>
      <c r="D164" s="5"/>
      <c r="E164" s="6"/>
      <c r="F164" s="6"/>
      <c r="G164" s="6"/>
      <c r="H164" s="4"/>
      <c r="I164" s="4"/>
      <c r="J164" s="4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"/>
      <c r="X164" s="7"/>
      <c r="Y164" s="7"/>
    </row>
    <row r="165">
      <c r="A165" s="4"/>
      <c r="B165" s="4"/>
      <c r="C165" s="8"/>
      <c r="D165" s="5"/>
      <c r="E165" s="6"/>
      <c r="F165" s="6"/>
      <c r="G165" s="6"/>
      <c r="H165" s="4"/>
      <c r="I165" s="4"/>
      <c r="J165" s="4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"/>
      <c r="X165" s="7"/>
      <c r="Y165" s="7"/>
    </row>
    <row r="166">
      <c r="A166" s="4"/>
      <c r="B166" s="8"/>
      <c r="C166" s="4"/>
      <c r="D166" s="5"/>
      <c r="E166" s="6"/>
      <c r="F166" s="6"/>
      <c r="G166" s="6"/>
      <c r="H166" s="4"/>
      <c r="I166" s="4"/>
      <c r="J166" s="4"/>
      <c r="K166" s="4"/>
      <c r="L166" s="7"/>
      <c r="M166" s="7"/>
      <c r="N166" s="7"/>
      <c r="O166" s="7"/>
      <c r="P166" s="4"/>
      <c r="Q166" s="7"/>
      <c r="R166" s="7"/>
      <c r="S166" s="7"/>
      <c r="T166" s="7"/>
      <c r="U166" s="7"/>
      <c r="V166" s="7"/>
      <c r="W166" s="4"/>
      <c r="X166" s="7"/>
      <c r="Y166" s="7"/>
    </row>
    <row r="167">
      <c r="A167" s="4"/>
      <c r="B167" s="8"/>
      <c r="C167" s="8"/>
      <c r="D167" s="5"/>
      <c r="E167" s="6"/>
      <c r="F167" s="6"/>
      <c r="G167" s="6"/>
      <c r="H167" s="4"/>
      <c r="I167" s="4"/>
      <c r="J167" s="4"/>
      <c r="K167" s="4"/>
      <c r="L167" s="7"/>
      <c r="M167" s="7"/>
      <c r="N167" s="7"/>
      <c r="O167" s="7"/>
      <c r="P167" s="4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4"/>
      <c r="B168" s="8"/>
      <c r="C168" s="8"/>
      <c r="D168" s="5"/>
      <c r="E168" s="6"/>
      <c r="F168" s="6"/>
      <c r="G168" s="6"/>
      <c r="H168" s="4"/>
      <c r="I168" s="4"/>
      <c r="J168" s="4"/>
      <c r="K168" s="4"/>
      <c r="L168" s="7"/>
      <c r="M168" s="7"/>
      <c r="N168" s="7"/>
      <c r="O168" s="7"/>
      <c r="P168" s="4"/>
      <c r="Q168" s="7"/>
      <c r="R168" s="7"/>
      <c r="S168" s="7"/>
      <c r="T168" s="7"/>
      <c r="U168" s="7"/>
      <c r="V168" s="7"/>
      <c r="W168" s="4"/>
      <c r="X168" s="7"/>
      <c r="Y168" s="7"/>
    </row>
    <row r="169">
      <c r="A169" s="4"/>
      <c r="B169" s="8"/>
      <c r="C169" s="8"/>
      <c r="D169" s="5"/>
      <c r="E169" s="6"/>
      <c r="F169" s="6"/>
      <c r="G169" s="6"/>
      <c r="H169" s="4"/>
      <c r="I169" s="4"/>
      <c r="J169" s="4"/>
      <c r="K169" s="4"/>
      <c r="L169" s="7"/>
      <c r="M169" s="7"/>
      <c r="N169" s="7"/>
      <c r="O169" s="7"/>
      <c r="P169" s="4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4"/>
      <c r="B170" s="4"/>
      <c r="C170" s="8"/>
      <c r="D170" s="5"/>
      <c r="E170" s="6"/>
      <c r="F170" s="6"/>
      <c r="G170" s="6"/>
      <c r="H170" s="4"/>
      <c r="I170" s="4"/>
      <c r="J170" s="4"/>
      <c r="K170" s="4"/>
      <c r="L170" s="7"/>
      <c r="M170" s="7"/>
      <c r="N170" s="7"/>
      <c r="O170" s="4"/>
      <c r="P170" s="7"/>
      <c r="Q170" s="4"/>
      <c r="R170" s="7"/>
      <c r="S170" s="7"/>
      <c r="T170" s="7"/>
      <c r="U170" s="7"/>
      <c r="V170" s="7"/>
      <c r="W170" s="7"/>
      <c r="X170" s="7"/>
      <c r="Y170" s="7"/>
    </row>
    <row r="171">
      <c r="A171" s="4"/>
      <c r="B171" s="4"/>
      <c r="C171" s="8"/>
      <c r="D171" s="5"/>
      <c r="E171" s="6"/>
      <c r="F171" s="6"/>
      <c r="G171" s="6"/>
      <c r="H171" s="4"/>
      <c r="I171" s="4"/>
      <c r="J171" s="4"/>
      <c r="K171" s="4"/>
      <c r="L171" s="7"/>
      <c r="M171" s="7"/>
      <c r="N171" s="4"/>
      <c r="O171" s="7"/>
      <c r="P171" s="7"/>
      <c r="Q171" s="7"/>
      <c r="R171" s="7"/>
      <c r="S171" s="7"/>
      <c r="T171" s="7"/>
      <c r="U171" s="7"/>
      <c r="V171" s="7"/>
      <c r="W171" s="7"/>
      <c r="X171" s="4"/>
      <c r="Y171" s="7"/>
    </row>
    <row r="172">
      <c r="A172" s="4"/>
      <c r="B172" s="4"/>
      <c r="C172" s="8"/>
      <c r="D172" s="5"/>
      <c r="E172" s="6"/>
      <c r="F172" s="6"/>
      <c r="G172" s="6"/>
      <c r="H172" s="4"/>
      <c r="I172" s="4"/>
      <c r="J172" s="4"/>
      <c r="K172" s="4"/>
      <c r="L172" s="7"/>
      <c r="M172" s="7"/>
      <c r="N172" s="4"/>
      <c r="O172" s="7"/>
      <c r="P172" s="7"/>
      <c r="Q172" s="7"/>
      <c r="R172" s="7"/>
      <c r="S172" s="7"/>
      <c r="T172" s="7"/>
      <c r="U172" s="7"/>
      <c r="V172" s="7"/>
      <c r="W172" s="7"/>
      <c r="X172" s="4"/>
      <c r="Y172" s="7"/>
    </row>
    <row r="173">
      <c r="A173" s="4"/>
      <c r="B173" s="4"/>
      <c r="C173" s="8"/>
      <c r="D173" s="5"/>
      <c r="E173" s="6"/>
      <c r="F173" s="6"/>
      <c r="G173" s="6"/>
      <c r="H173" s="4"/>
      <c r="I173" s="4"/>
      <c r="J173" s="4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4"/>
      <c r="Y173" s="7"/>
    </row>
    <row r="174">
      <c r="A174" s="4"/>
      <c r="B174" s="4"/>
      <c r="C174" s="8"/>
      <c r="D174" s="5"/>
      <c r="E174" s="6"/>
      <c r="F174" s="6"/>
      <c r="G174" s="6"/>
      <c r="H174" s="4"/>
      <c r="I174" s="4"/>
      <c r="J174" s="4"/>
      <c r="K174" s="4"/>
      <c r="L174" s="7"/>
      <c r="M174" s="7"/>
      <c r="N174" s="7"/>
      <c r="O174" s="4"/>
      <c r="P174" s="7"/>
      <c r="Q174" s="7"/>
      <c r="R174" s="7"/>
      <c r="S174" s="7"/>
      <c r="T174" s="7"/>
      <c r="U174" s="7"/>
      <c r="V174" s="7"/>
      <c r="W174" s="7"/>
      <c r="X174" s="4"/>
      <c r="Y174" s="7"/>
    </row>
    <row r="175">
      <c r="A175" s="4"/>
      <c r="B175" s="4"/>
      <c r="C175" s="8"/>
      <c r="D175" s="5"/>
      <c r="E175" s="6"/>
      <c r="F175" s="6"/>
      <c r="G175" s="6"/>
      <c r="H175" s="4"/>
      <c r="I175" s="4"/>
      <c r="J175" s="4"/>
      <c r="K175" s="4"/>
      <c r="L175" s="7"/>
      <c r="M175" s="7"/>
      <c r="N175" s="7"/>
      <c r="O175" s="4"/>
      <c r="P175" s="7"/>
      <c r="Q175" s="7"/>
      <c r="R175" s="7"/>
      <c r="S175" s="7"/>
      <c r="T175" s="7"/>
      <c r="U175" s="7"/>
      <c r="V175" s="7"/>
      <c r="W175" s="7"/>
      <c r="X175" s="4"/>
      <c r="Y175" s="7"/>
    </row>
    <row r="176">
      <c r="A176" s="4"/>
      <c r="B176" s="4"/>
      <c r="C176" s="8"/>
      <c r="D176" s="5"/>
      <c r="E176" s="6"/>
      <c r="F176" s="6"/>
      <c r="G176" s="6"/>
      <c r="H176" s="4"/>
      <c r="I176" s="4"/>
      <c r="J176" s="4"/>
      <c r="K176" s="4"/>
      <c r="L176" s="7"/>
      <c r="M176" s="7"/>
      <c r="N176" s="7"/>
      <c r="O176" s="4"/>
      <c r="P176" s="7"/>
      <c r="Q176" s="7"/>
      <c r="R176" s="7"/>
      <c r="S176" s="7"/>
      <c r="T176" s="7"/>
      <c r="U176" s="7"/>
      <c r="V176" s="7"/>
      <c r="W176" s="7"/>
      <c r="X176" s="4"/>
      <c r="Y176" s="7"/>
    </row>
    <row r="177">
      <c r="A177" s="4"/>
      <c r="B177" s="4"/>
      <c r="C177" s="8"/>
      <c r="D177" s="5"/>
      <c r="E177" s="6"/>
      <c r="F177" s="6"/>
      <c r="G177" s="6"/>
      <c r="H177" s="4"/>
      <c r="I177" s="4"/>
      <c r="J177" s="4"/>
      <c r="K177" s="4"/>
      <c r="L177" s="7"/>
      <c r="M177" s="7"/>
      <c r="N177" s="7"/>
      <c r="O177" s="4"/>
      <c r="P177" s="7"/>
      <c r="Q177" s="7"/>
      <c r="R177" s="7"/>
      <c r="S177" s="7"/>
      <c r="T177" s="7"/>
      <c r="U177" s="7"/>
      <c r="V177" s="7"/>
      <c r="W177" s="7"/>
      <c r="X177" s="4"/>
      <c r="Y177" s="7"/>
    </row>
    <row r="178">
      <c r="A178" s="4"/>
      <c r="B178" s="4"/>
      <c r="C178" s="8"/>
      <c r="D178" s="5"/>
      <c r="E178" s="6"/>
      <c r="F178" s="6"/>
      <c r="G178" s="6"/>
      <c r="H178" s="4"/>
      <c r="I178" s="4"/>
      <c r="J178" s="4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4"/>
      <c r="Y178" s="7"/>
    </row>
    <row r="179">
      <c r="A179" s="4"/>
      <c r="B179" s="4"/>
      <c r="C179" s="8"/>
      <c r="D179" s="5"/>
      <c r="E179" s="6"/>
      <c r="F179" s="6"/>
      <c r="G179" s="6"/>
      <c r="H179" s="4"/>
      <c r="I179" s="4"/>
      <c r="J179" s="4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4"/>
      <c r="Y179" s="7"/>
    </row>
    <row r="180">
      <c r="A180" s="4"/>
      <c r="B180" s="4"/>
      <c r="C180" s="8"/>
      <c r="D180" s="5"/>
      <c r="E180" s="6"/>
      <c r="F180" s="6"/>
      <c r="G180" s="6"/>
      <c r="H180" s="4"/>
      <c r="I180" s="4"/>
      <c r="J180" s="4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4"/>
      <c r="Y180" s="7"/>
    </row>
    <row r="181">
      <c r="A181" s="4"/>
      <c r="B181" s="4"/>
      <c r="C181" s="8"/>
      <c r="D181" s="5"/>
      <c r="E181" s="6"/>
      <c r="F181" s="6"/>
      <c r="G181" s="6"/>
      <c r="H181" s="4"/>
      <c r="I181" s="4"/>
      <c r="J181" s="4"/>
      <c r="K181" s="4"/>
      <c r="L181" s="7"/>
      <c r="M181" s="7"/>
      <c r="N181" s="7"/>
      <c r="O181" s="7"/>
      <c r="P181" s="7"/>
      <c r="Q181" s="4"/>
      <c r="R181" s="7"/>
      <c r="S181" s="7"/>
      <c r="T181" s="7"/>
      <c r="U181" s="7"/>
      <c r="V181" s="7"/>
      <c r="W181" s="4"/>
      <c r="X181" s="7"/>
      <c r="Y181" s="7"/>
    </row>
    <row r="182">
      <c r="A182" s="4"/>
      <c r="B182" s="4"/>
      <c r="C182" s="8"/>
      <c r="D182" s="5"/>
      <c r="E182" s="6"/>
      <c r="F182" s="6"/>
      <c r="G182" s="6"/>
      <c r="H182" s="4"/>
      <c r="I182" s="4"/>
      <c r="J182" s="4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"/>
      <c r="X182" s="7"/>
      <c r="Y182" s="7"/>
    </row>
    <row r="183">
      <c r="A183" s="4"/>
      <c r="B183" s="4"/>
      <c r="C183" s="8"/>
      <c r="D183" s="5"/>
      <c r="E183" s="6"/>
      <c r="F183" s="6"/>
      <c r="G183" s="6"/>
      <c r="H183" s="4"/>
      <c r="I183" s="4"/>
      <c r="J183" s="4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"/>
      <c r="X183" s="7"/>
      <c r="Y183" s="7"/>
    </row>
    <row r="184">
      <c r="A184" s="4"/>
      <c r="B184" s="4"/>
      <c r="C184" s="8"/>
      <c r="D184" s="5"/>
      <c r="E184" s="6"/>
      <c r="F184" s="6"/>
      <c r="G184" s="6"/>
      <c r="H184" s="4"/>
      <c r="I184" s="4"/>
      <c r="J184" s="4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4"/>
      <c r="W184" s="7"/>
      <c r="X184" s="7"/>
      <c r="Y184" s="7"/>
    </row>
    <row r="185">
      <c r="A185" s="4"/>
      <c r="B185" s="4"/>
      <c r="C185" s="8"/>
      <c r="D185" s="5"/>
      <c r="E185" s="6"/>
      <c r="F185" s="6"/>
      <c r="G185" s="6"/>
      <c r="H185" s="4"/>
      <c r="I185" s="4"/>
      <c r="J185" s="4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4"/>
      <c r="W185" s="7"/>
      <c r="X185" s="7"/>
      <c r="Y185" s="7"/>
    </row>
    <row r="186">
      <c r="A186" s="4"/>
      <c r="B186" s="4"/>
      <c r="C186" s="8"/>
      <c r="D186" s="5"/>
      <c r="E186" s="6"/>
      <c r="F186" s="6"/>
      <c r="G186" s="6"/>
      <c r="H186" s="4"/>
      <c r="I186" s="4"/>
      <c r="J186" s="4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4"/>
      <c r="W186" s="7"/>
      <c r="X186" s="7"/>
      <c r="Y186" s="7"/>
    </row>
    <row r="187">
      <c r="A187" s="4"/>
      <c r="B187" s="4"/>
      <c r="C187" s="8"/>
      <c r="D187" s="5"/>
      <c r="E187" s="6"/>
      <c r="F187" s="6"/>
      <c r="G187" s="6"/>
      <c r="H187" s="4"/>
      <c r="I187" s="4"/>
      <c r="J187" s="4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4"/>
      <c r="W187" s="7"/>
      <c r="X187" s="7"/>
      <c r="Y187" s="7"/>
    </row>
    <row r="188">
      <c r="A188" s="4"/>
      <c r="B188" s="4"/>
      <c r="C188" s="8"/>
      <c r="D188" s="5"/>
      <c r="E188" s="6"/>
      <c r="F188" s="6"/>
      <c r="G188" s="6"/>
      <c r="H188" s="4"/>
      <c r="I188" s="4"/>
      <c r="J188" s="4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4"/>
      <c r="W188" s="7"/>
      <c r="X188" s="7"/>
      <c r="Y188" s="7"/>
    </row>
    <row r="189">
      <c r="A189" s="4"/>
      <c r="B189" s="4"/>
      <c r="C189" s="8"/>
      <c r="D189" s="5"/>
      <c r="E189" s="6"/>
      <c r="F189" s="6"/>
      <c r="G189" s="6"/>
      <c r="H189" s="4"/>
      <c r="I189" s="4"/>
      <c r="J189" s="4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4"/>
      <c r="W189" s="7"/>
      <c r="X189" s="7"/>
      <c r="Y189" s="7"/>
    </row>
    <row r="190">
      <c r="A190" s="4"/>
      <c r="B190" s="4"/>
      <c r="C190" s="8"/>
      <c r="D190" s="5"/>
      <c r="E190" s="6"/>
      <c r="F190" s="6"/>
      <c r="G190" s="6"/>
      <c r="H190" s="4"/>
      <c r="I190" s="4"/>
      <c r="J190" s="4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4"/>
      <c r="W190" s="7"/>
      <c r="X190" s="7"/>
      <c r="Y190" s="7"/>
    </row>
    <row r="191">
      <c r="A191" s="4"/>
      <c r="B191" s="4"/>
      <c r="C191" s="8"/>
      <c r="D191" s="5"/>
      <c r="E191" s="6"/>
      <c r="F191" s="6"/>
      <c r="G191" s="6"/>
      <c r="H191" s="4"/>
      <c r="I191" s="4"/>
      <c r="J191" s="4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4"/>
      <c r="W191" s="7"/>
      <c r="X191" s="7"/>
      <c r="Y191" s="7"/>
    </row>
    <row r="192">
      <c r="A192" s="4"/>
      <c r="B192" s="4"/>
      <c r="C192" s="8"/>
      <c r="D192" s="5"/>
      <c r="E192" s="6"/>
      <c r="F192" s="6"/>
      <c r="G192" s="6"/>
      <c r="H192" s="4"/>
      <c r="I192" s="4"/>
      <c r="J192" s="4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4"/>
      <c r="W192" s="7"/>
      <c r="X192" s="7"/>
      <c r="Y192" s="7"/>
    </row>
    <row r="193">
      <c r="A193" s="4"/>
      <c r="B193" s="4"/>
      <c r="C193" s="8"/>
      <c r="D193" s="5"/>
      <c r="E193" s="6"/>
      <c r="F193" s="6"/>
      <c r="G193" s="6"/>
      <c r="H193" s="4"/>
      <c r="I193" s="4"/>
      <c r="J193" s="4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4"/>
      <c r="W193" s="7"/>
      <c r="X193" s="7"/>
      <c r="Y193" s="7"/>
    </row>
    <row r="194">
      <c r="A194" s="4"/>
      <c r="B194" s="4"/>
      <c r="C194" s="8"/>
      <c r="D194" s="5"/>
      <c r="E194" s="6"/>
      <c r="F194" s="6"/>
      <c r="G194" s="6"/>
      <c r="H194" s="4"/>
      <c r="I194" s="4"/>
      <c r="J194" s="4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4"/>
      <c r="W194" s="7"/>
      <c r="X194" s="7"/>
      <c r="Y194" s="7"/>
    </row>
    <row r="195">
      <c r="A195" s="4"/>
      <c r="B195" s="4"/>
      <c r="C195" s="8"/>
      <c r="D195" s="5"/>
      <c r="E195" s="6"/>
      <c r="F195" s="6"/>
      <c r="G195" s="6"/>
      <c r="H195" s="4"/>
      <c r="I195" s="4"/>
      <c r="J195" s="4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4"/>
      <c r="W195" s="7"/>
      <c r="X195" s="7"/>
      <c r="Y195" s="7"/>
    </row>
    <row r="196">
      <c r="A196" s="4"/>
      <c r="B196" s="4"/>
      <c r="C196" s="8"/>
      <c r="D196" s="5"/>
      <c r="E196" s="6"/>
      <c r="F196" s="6"/>
      <c r="G196" s="6"/>
      <c r="H196" s="4"/>
      <c r="I196" s="4"/>
      <c r="J196" s="4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4"/>
      <c r="W196" s="7"/>
      <c r="X196" s="7"/>
      <c r="Y196" s="7"/>
    </row>
    <row r="197">
      <c r="A197" s="4"/>
      <c r="B197" s="4"/>
      <c r="C197" s="8"/>
      <c r="D197" s="5"/>
      <c r="E197" s="6"/>
      <c r="F197" s="6"/>
      <c r="G197" s="6"/>
      <c r="H197" s="4"/>
      <c r="I197" s="4"/>
      <c r="J197" s="4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4"/>
      <c r="W197" s="7"/>
      <c r="X197" s="7"/>
      <c r="Y197" s="7"/>
    </row>
    <row r="198">
      <c r="A198" s="4"/>
      <c r="B198" s="4"/>
      <c r="C198" s="8"/>
      <c r="D198" s="5"/>
      <c r="E198" s="6"/>
      <c r="F198" s="6"/>
      <c r="G198" s="6"/>
      <c r="H198" s="4"/>
      <c r="I198" s="4"/>
      <c r="J198" s="4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4"/>
      <c r="W198" s="7"/>
      <c r="X198" s="7"/>
      <c r="Y198" s="7"/>
    </row>
    <row r="199">
      <c r="A199" s="4"/>
      <c r="B199" s="4"/>
      <c r="C199" s="8"/>
      <c r="D199" s="5"/>
      <c r="E199" s="6"/>
      <c r="F199" s="6"/>
      <c r="G199" s="6"/>
      <c r="H199" s="4"/>
      <c r="I199" s="4"/>
      <c r="J199" s="4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4"/>
      <c r="W199" s="7"/>
      <c r="X199" s="7"/>
      <c r="Y199" s="7"/>
    </row>
    <row r="200">
      <c r="A200" s="4"/>
      <c r="B200" s="4"/>
      <c r="C200" s="8"/>
      <c r="D200" s="5"/>
      <c r="E200" s="6"/>
      <c r="F200" s="6"/>
      <c r="G200" s="6"/>
      <c r="H200" s="4"/>
      <c r="I200" s="4"/>
      <c r="J200" s="4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4"/>
      <c r="W200" s="7"/>
      <c r="X200" s="7"/>
      <c r="Y200" s="7"/>
    </row>
    <row r="201">
      <c r="A201" s="4"/>
      <c r="B201" s="4"/>
      <c r="C201" s="8"/>
      <c r="D201" s="5"/>
      <c r="E201" s="6"/>
      <c r="F201" s="6"/>
      <c r="G201" s="6"/>
      <c r="H201" s="4"/>
      <c r="I201" s="4"/>
      <c r="J201" s="4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4"/>
      <c r="B202" s="4"/>
      <c r="C202" s="8"/>
      <c r="D202" s="5"/>
      <c r="E202" s="6"/>
      <c r="F202" s="6"/>
      <c r="G202" s="6"/>
      <c r="H202" s="4"/>
      <c r="I202" s="4"/>
      <c r="J202" s="4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4"/>
      <c r="B203" s="4"/>
      <c r="C203" s="8"/>
      <c r="D203" s="5"/>
      <c r="E203" s="6"/>
      <c r="F203" s="6"/>
      <c r="G203" s="6"/>
      <c r="H203" s="4"/>
      <c r="I203" s="4"/>
      <c r="J203" s="4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4"/>
      <c r="B204" s="4"/>
      <c r="C204" s="8"/>
      <c r="D204" s="5"/>
      <c r="E204" s="6"/>
      <c r="F204" s="6"/>
      <c r="G204" s="6"/>
      <c r="H204" s="4"/>
      <c r="I204" s="4"/>
      <c r="J204" s="4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4"/>
      <c r="B205" s="4"/>
      <c r="C205" s="8"/>
      <c r="D205" s="5"/>
      <c r="E205" s="6"/>
      <c r="F205" s="6"/>
      <c r="G205" s="6"/>
      <c r="H205" s="4"/>
      <c r="I205" s="4"/>
      <c r="J205" s="4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4"/>
      <c r="B206" s="4"/>
      <c r="C206" s="8"/>
      <c r="D206" s="5"/>
      <c r="E206" s="6"/>
      <c r="F206" s="6"/>
      <c r="G206" s="6"/>
      <c r="H206" s="4"/>
      <c r="I206" s="4"/>
      <c r="J206" s="4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4"/>
      <c r="B207" s="4"/>
      <c r="C207" s="8"/>
      <c r="D207" s="5"/>
      <c r="E207" s="6"/>
      <c r="F207" s="6"/>
      <c r="G207" s="6"/>
      <c r="H207" s="4"/>
      <c r="I207" s="4"/>
      <c r="J207" s="4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4"/>
      <c r="B208" s="4"/>
      <c r="C208" s="8"/>
      <c r="D208" s="5"/>
      <c r="E208" s="6"/>
      <c r="F208" s="6"/>
      <c r="G208" s="6"/>
      <c r="H208" s="4"/>
      <c r="I208" s="4"/>
      <c r="J208" s="4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4"/>
      <c r="B209" s="4"/>
      <c r="C209" s="8"/>
      <c r="D209" s="5"/>
      <c r="E209" s="6"/>
      <c r="F209" s="6"/>
      <c r="G209" s="6"/>
      <c r="H209" s="4"/>
      <c r="I209" s="4"/>
      <c r="J209" s="4"/>
      <c r="K209" s="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4"/>
      <c r="B210" s="4"/>
      <c r="C210" s="8"/>
      <c r="D210" s="5"/>
      <c r="E210" s="6"/>
      <c r="F210" s="6"/>
      <c r="G210" s="6"/>
      <c r="H210" s="4"/>
      <c r="I210" s="4"/>
      <c r="J210" s="4"/>
      <c r="K210" s="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4"/>
      <c r="B211" s="4"/>
      <c r="C211" s="8"/>
      <c r="D211" s="5"/>
      <c r="E211" s="6"/>
      <c r="F211" s="6"/>
      <c r="G211" s="6"/>
      <c r="H211" s="4"/>
      <c r="I211" s="4"/>
      <c r="J211" s="4"/>
      <c r="K211" s="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4"/>
      <c r="B212" s="4"/>
      <c r="C212" s="8"/>
      <c r="D212" s="5"/>
      <c r="E212" s="6"/>
      <c r="F212" s="6"/>
      <c r="G212" s="6"/>
      <c r="H212" s="4"/>
      <c r="I212" s="4"/>
      <c r="J212" s="4"/>
      <c r="K212" s="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4"/>
      <c r="B213" s="4"/>
      <c r="C213" s="8"/>
      <c r="D213" s="5"/>
      <c r="E213" s="6"/>
      <c r="F213" s="6"/>
      <c r="G213" s="6"/>
      <c r="H213" s="4"/>
      <c r="I213" s="4"/>
      <c r="J213" s="4"/>
      <c r="K213" s="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4"/>
      <c r="B214" s="4"/>
      <c r="C214" s="8"/>
      <c r="D214" s="5"/>
      <c r="E214" s="6"/>
      <c r="F214" s="6"/>
      <c r="G214" s="6"/>
      <c r="H214" s="4"/>
      <c r="I214" s="4"/>
      <c r="J214" s="4"/>
      <c r="K214" s="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4"/>
      <c r="B215" s="4"/>
      <c r="C215" s="8"/>
      <c r="D215" s="5"/>
      <c r="E215" s="6"/>
      <c r="F215" s="6"/>
      <c r="G215" s="6"/>
      <c r="H215" s="4"/>
      <c r="I215" s="4"/>
      <c r="J215" s="4"/>
      <c r="K215" s="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4"/>
      <c r="B216" s="4"/>
      <c r="C216" s="8"/>
      <c r="D216" s="5"/>
      <c r="E216" s="6"/>
      <c r="F216" s="6"/>
      <c r="G216" s="6"/>
      <c r="H216" s="4"/>
      <c r="I216" s="4"/>
      <c r="J216" s="4"/>
      <c r="K216" s="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4"/>
      <c r="B217" s="4"/>
      <c r="C217" s="8"/>
      <c r="D217" s="5"/>
      <c r="E217" s="6"/>
      <c r="F217" s="6"/>
      <c r="G217" s="6"/>
      <c r="H217" s="4"/>
      <c r="I217" s="4"/>
      <c r="J217" s="4"/>
      <c r="K217" s="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4"/>
      <c r="B218" s="4"/>
      <c r="C218" s="8"/>
      <c r="D218" s="5"/>
      <c r="E218" s="6"/>
      <c r="F218" s="6"/>
      <c r="G218" s="6"/>
      <c r="H218" s="4"/>
      <c r="I218" s="4"/>
      <c r="J218" s="4"/>
      <c r="K218" s="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4"/>
      <c r="B219" s="4"/>
      <c r="C219" s="8"/>
      <c r="D219" s="5"/>
      <c r="E219" s="6"/>
      <c r="F219" s="6"/>
      <c r="G219" s="6"/>
      <c r="H219" s="4"/>
      <c r="I219" s="4"/>
      <c r="J219" s="4"/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4"/>
      <c r="B220" s="4"/>
      <c r="C220" s="8"/>
      <c r="D220" s="5"/>
      <c r="E220" s="6"/>
      <c r="F220" s="6"/>
      <c r="G220" s="6"/>
      <c r="H220" s="4"/>
      <c r="I220" s="4"/>
      <c r="J220" s="4"/>
      <c r="K220" s="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4"/>
      <c r="B221" s="4"/>
      <c r="C221" s="8"/>
      <c r="D221" s="5"/>
      <c r="E221" s="6"/>
      <c r="F221" s="6"/>
      <c r="G221" s="6"/>
      <c r="H221" s="4"/>
      <c r="I221" s="4"/>
      <c r="J221" s="4"/>
      <c r="K221" s="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4"/>
      <c r="B222" s="4"/>
      <c r="C222" s="8"/>
      <c r="D222" s="5"/>
      <c r="E222" s="6"/>
      <c r="F222" s="6"/>
      <c r="G222" s="6"/>
      <c r="H222" s="4"/>
      <c r="I222" s="4"/>
      <c r="J222" s="4"/>
      <c r="K222" s="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4"/>
      <c r="B223" s="4"/>
      <c r="C223" s="8"/>
      <c r="D223" s="5"/>
      <c r="E223" s="6"/>
      <c r="F223" s="6"/>
      <c r="G223" s="6"/>
      <c r="H223" s="4"/>
      <c r="I223" s="4"/>
      <c r="J223" s="4"/>
      <c r="K223" s="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4"/>
      <c r="B224" s="4"/>
      <c r="C224" s="8"/>
      <c r="D224" s="5"/>
      <c r="E224" s="6"/>
      <c r="F224" s="6"/>
      <c r="G224" s="6"/>
      <c r="H224" s="4"/>
      <c r="I224" s="4"/>
      <c r="J224" s="4"/>
      <c r="K224" s="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4"/>
      <c r="B225" s="4"/>
      <c r="C225" s="8"/>
      <c r="D225" s="5"/>
      <c r="E225" s="6"/>
      <c r="F225" s="6"/>
      <c r="G225" s="6"/>
      <c r="H225" s="4"/>
      <c r="I225" s="4"/>
      <c r="J225" s="4"/>
      <c r="K225" s="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4"/>
      <c r="B226" s="4"/>
      <c r="C226" s="8"/>
      <c r="D226" s="5"/>
      <c r="E226" s="6"/>
      <c r="F226" s="6"/>
      <c r="G226" s="6"/>
      <c r="H226" s="4"/>
      <c r="I226" s="4"/>
      <c r="J226" s="4"/>
      <c r="K226" s="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4"/>
      <c r="B227" s="4"/>
      <c r="C227" s="8"/>
      <c r="D227" s="5"/>
      <c r="E227" s="6"/>
      <c r="F227" s="6"/>
      <c r="G227" s="6"/>
      <c r="H227" s="4"/>
      <c r="I227" s="4"/>
      <c r="J227" s="4"/>
      <c r="K227" s="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4"/>
      <c r="B228" s="4"/>
      <c r="C228" s="8"/>
      <c r="D228" s="5"/>
      <c r="E228" s="6"/>
      <c r="F228" s="6"/>
      <c r="G228" s="6"/>
      <c r="H228" s="4"/>
      <c r="I228" s="4"/>
      <c r="J228" s="4"/>
      <c r="K228" s="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4"/>
      <c r="B229" s="4"/>
      <c r="C229" s="8"/>
      <c r="D229" s="5"/>
      <c r="E229" s="6"/>
      <c r="F229" s="6"/>
      <c r="G229" s="6"/>
      <c r="H229" s="4"/>
      <c r="I229" s="4"/>
      <c r="J229" s="4"/>
      <c r="K229" s="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4"/>
      <c r="B230" s="4"/>
      <c r="C230" s="4"/>
      <c r="D230" s="5"/>
      <c r="E230" s="6"/>
      <c r="F230" s="6"/>
      <c r="G230" s="6"/>
      <c r="H230" s="4"/>
      <c r="I230" s="4"/>
      <c r="J230" s="4"/>
      <c r="K230" s="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4"/>
      <c r="B231" s="4"/>
      <c r="C231" s="4"/>
      <c r="D231" s="5"/>
      <c r="E231" s="6"/>
      <c r="F231" s="6"/>
      <c r="G231" s="6"/>
      <c r="H231" s="4"/>
      <c r="I231" s="4"/>
      <c r="J231" s="4"/>
      <c r="K231" s="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4"/>
      <c r="B232" s="4"/>
      <c r="C232" s="4"/>
      <c r="D232" s="5"/>
      <c r="E232" s="6"/>
      <c r="F232" s="6"/>
      <c r="G232" s="6"/>
      <c r="H232" s="4"/>
      <c r="I232" s="4"/>
      <c r="J232" s="4"/>
      <c r="K232" s="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4"/>
      <c r="B233" s="4"/>
      <c r="C233" s="8"/>
      <c r="D233" s="5"/>
      <c r="E233" s="6"/>
      <c r="F233" s="6"/>
      <c r="G233" s="6"/>
      <c r="H233" s="4"/>
      <c r="I233" s="4"/>
      <c r="J233" s="4"/>
      <c r="K233" s="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4"/>
      <c r="B234" s="4"/>
      <c r="C234" s="8"/>
      <c r="D234" s="5"/>
      <c r="E234" s="6"/>
      <c r="F234" s="6"/>
      <c r="G234" s="6"/>
      <c r="H234" s="4"/>
      <c r="I234" s="4"/>
      <c r="J234" s="4"/>
      <c r="K234" s="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4"/>
      <c r="B235" s="4"/>
      <c r="C235" s="8"/>
      <c r="D235" s="5"/>
      <c r="E235" s="6"/>
      <c r="F235" s="6"/>
      <c r="G235" s="6"/>
      <c r="H235" s="4"/>
      <c r="I235" s="4"/>
      <c r="J235" s="4"/>
      <c r="K235" s="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4"/>
      <c r="B236" s="4"/>
      <c r="C236" s="8"/>
      <c r="D236" s="5"/>
      <c r="E236" s="6"/>
      <c r="F236" s="6"/>
      <c r="G236" s="6"/>
      <c r="H236" s="4"/>
      <c r="I236" s="4"/>
      <c r="J236" s="4"/>
      <c r="K236" s="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4"/>
      <c r="B237" s="4"/>
      <c r="C237" s="8"/>
      <c r="D237" s="5"/>
      <c r="E237" s="6"/>
      <c r="F237" s="6"/>
      <c r="G237" s="6"/>
      <c r="H237" s="4"/>
      <c r="I237" s="4"/>
      <c r="J237" s="4"/>
      <c r="K237" s="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4"/>
      <c r="B238" s="4"/>
      <c r="C238" s="8"/>
      <c r="D238" s="5"/>
      <c r="E238" s="6"/>
      <c r="F238" s="6"/>
      <c r="G238" s="6"/>
      <c r="H238" s="4"/>
      <c r="I238" s="4"/>
      <c r="J238" s="4"/>
      <c r="K238" s="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4"/>
      <c r="B239" s="4"/>
      <c r="C239" s="8"/>
      <c r="D239" s="5"/>
      <c r="E239" s="6"/>
      <c r="F239" s="6"/>
      <c r="G239" s="6"/>
      <c r="H239" s="4"/>
      <c r="I239" s="4"/>
      <c r="J239" s="4"/>
      <c r="K239" s="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4"/>
      <c r="B240" s="4"/>
      <c r="C240" s="8"/>
      <c r="D240" s="9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11"/>
      <c r="D241" s="9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11"/>
      <c r="D242" s="9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11"/>
      <c r="D243" s="9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11"/>
      <c r="D244" s="9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11"/>
      <c r="D245" s="9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11"/>
      <c r="D246" s="9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11"/>
      <c r="D247" s="9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11"/>
      <c r="D248" s="9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11"/>
      <c r="D249" s="9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11"/>
      <c r="D250" s="9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11"/>
      <c r="D251" s="9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11"/>
      <c r="D252" s="9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11"/>
      <c r="D253" s="9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11"/>
      <c r="D254" s="9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11"/>
      <c r="D255" s="9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11"/>
      <c r="D256" s="9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11"/>
      <c r="D257" s="9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11"/>
      <c r="D258" s="9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11"/>
      <c r="D259" s="9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11"/>
      <c r="D260" s="9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11"/>
      <c r="D261" s="9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11"/>
      <c r="D262" s="9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11"/>
      <c r="D263" s="9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11"/>
      <c r="D264" s="9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11"/>
      <c r="D265" s="9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11"/>
      <c r="D266" s="9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11"/>
      <c r="D267" s="9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11"/>
      <c r="D268" s="9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11"/>
      <c r="D269" s="9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11"/>
      <c r="D270" s="9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11"/>
      <c r="D271" s="9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11"/>
      <c r="D272" s="9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11"/>
      <c r="D273" s="9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11"/>
      <c r="D274" s="9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11"/>
      <c r="D275" s="9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11"/>
      <c r="D276" s="9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11"/>
      <c r="D277" s="9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11"/>
      <c r="D278" s="9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11"/>
      <c r="D279" s="9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11"/>
      <c r="D280" s="9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11"/>
      <c r="D281" s="9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11"/>
      <c r="D282" s="9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11"/>
      <c r="D283" s="9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11"/>
      <c r="D284" s="9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11"/>
      <c r="D285" s="9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11"/>
      <c r="D286" s="9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11"/>
      <c r="D287" s="9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11"/>
      <c r="D288" s="9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11"/>
      <c r="D289" s="9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11"/>
      <c r="D290" s="9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11"/>
      <c r="D291" s="9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11"/>
      <c r="D292" s="9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11"/>
      <c r="D293" s="9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11"/>
      <c r="D294" s="9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11"/>
      <c r="D295" s="9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11"/>
      <c r="D296" s="9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11"/>
      <c r="D297" s="9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11"/>
      <c r="D298" s="9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11"/>
      <c r="D299" s="9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11"/>
      <c r="D300" s="9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11"/>
      <c r="D301" s="9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11"/>
      <c r="D302" s="9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11"/>
      <c r="D303" s="9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11"/>
      <c r="D304" s="9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11"/>
      <c r="D305" s="9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11"/>
      <c r="D306" s="9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11"/>
      <c r="D307" s="9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11"/>
      <c r="D308" s="9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11"/>
      <c r="D309" s="9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11"/>
      <c r="D310" s="9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11"/>
      <c r="D311" s="9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11"/>
      <c r="D312" s="9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11"/>
      <c r="D313" s="9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11"/>
      <c r="D314" s="9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11"/>
      <c r="D315" s="9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11"/>
      <c r="D316" s="9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11"/>
      <c r="D317" s="9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11"/>
      <c r="D318" s="9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11"/>
      <c r="D319" s="9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11"/>
      <c r="D320" s="9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11"/>
      <c r="D321" s="9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11"/>
      <c r="D322" s="9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11"/>
      <c r="D323" s="9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11"/>
      <c r="D324" s="9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11"/>
      <c r="D325" s="9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11"/>
      <c r="D326" s="9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11"/>
      <c r="D327" s="9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11"/>
      <c r="D328" s="9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11"/>
      <c r="D329" s="9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11"/>
      <c r="D330" s="9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11"/>
      <c r="D331" s="9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11"/>
      <c r="D332" s="9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11"/>
      <c r="D333" s="9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11"/>
      <c r="D334" s="9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11"/>
      <c r="D335" s="9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11"/>
      <c r="D336" s="9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11"/>
      <c r="D337" s="9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11"/>
      <c r="D338" s="9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11"/>
      <c r="D339" s="9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11"/>
      <c r="D340" s="9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11"/>
      <c r="D341" s="9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11"/>
      <c r="D342" s="9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11"/>
      <c r="D343" s="9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11"/>
      <c r="D344" s="9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11"/>
      <c r="D345" s="9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11"/>
      <c r="D346" s="9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11"/>
      <c r="D347" s="9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11"/>
      <c r="D348" s="9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11"/>
      <c r="D349" s="9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11"/>
      <c r="D350" s="9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11"/>
      <c r="D351" s="9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11"/>
      <c r="D352" s="9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11"/>
      <c r="D353" s="9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11"/>
      <c r="D354" s="9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11"/>
      <c r="D355" s="9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11"/>
      <c r="D356" s="9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11"/>
      <c r="D357" s="9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11"/>
      <c r="D358" s="9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11"/>
      <c r="D359" s="9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11"/>
      <c r="D360" s="9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11"/>
      <c r="D361" s="9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11"/>
      <c r="D362" s="9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11"/>
      <c r="D363" s="9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11"/>
      <c r="D364" s="9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11"/>
      <c r="D365" s="9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11"/>
      <c r="D366" s="9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11"/>
      <c r="D367" s="9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11"/>
      <c r="D368" s="9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11"/>
      <c r="D369" s="9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11"/>
      <c r="D370" s="9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11"/>
      <c r="D371" s="9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11"/>
      <c r="D372" s="9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11"/>
      <c r="D373" s="9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11"/>
      <c r="D374" s="9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11"/>
      <c r="D375" s="9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11"/>
      <c r="D376" s="9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11"/>
      <c r="D377" s="9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11"/>
      <c r="D378" s="9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11"/>
      <c r="D379" s="9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11"/>
      <c r="D380" s="9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11"/>
      <c r="D381" s="9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11"/>
      <c r="D382" s="9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11"/>
      <c r="D383" s="9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11"/>
      <c r="D384" s="9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11"/>
      <c r="D385" s="9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11"/>
      <c r="D386" s="9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11"/>
      <c r="D387" s="9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11"/>
      <c r="D388" s="9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11"/>
      <c r="D389" s="9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11"/>
      <c r="D390" s="9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11"/>
      <c r="D391" s="9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11"/>
      <c r="D392" s="9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11"/>
      <c r="D393" s="9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11"/>
      <c r="D394" s="9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11"/>
      <c r="D395" s="9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11"/>
      <c r="D396" s="9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11"/>
      <c r="D397" s="9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11"/>
      <c r="D398" s="9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11"/>
      <c r="D399" s="9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11"/>
      <c r="D400" s="9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11"/>
      <c r="D401" s="9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11"/>
      <c r="D402" s="9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11"/>
      <c r="D403" s="9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11"/>
      <c r="D404" s="9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11"/>
      <c r="D405" s="9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11"/>
      <c r="D406" s="9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11"/>
      <c r="D407" s="9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11"/>
      <c r="D408" s="9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11"/>
      <c r="D409" s="9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11"/>
      <c r="D410" s="9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11"/>
      <c r="D411" s="9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11"/>
      <c r="D412" s="9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11"/>
      <c r="D413" s="9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11"/>
      <c r="D414" s="9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11"/>
      <c r="D415" s="9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11"/>
      <c r="D416" s="9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11"/>
      <c r="D417" s="9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11"/>
      <c r="D418" s="9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11"/>
      <c r="D419" s="9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11"/>
      <c r="D420" s="9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11"/>
      <c r="D421" s="9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11"/>
      <c r="D422" s="9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11"/>
      <c r="D423" s="9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11"/>
      <c r="D424" s="9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11"/>
      <c r="D425" s="9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11"/>
      <c r="D426" s="9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11"/>
      <c r="D427" s="9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11"/>
      <c r="D428" s="9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11"/>
      <c r="D429" s="9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11"/>
      <c r="D430" s="9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11"/>
      <c r="D431" s="9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11"/>
      <c r="D432" s="9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11"/>
      <c r="D433" s="9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11"/>
      <c r="D434" s="9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11"/>
      <c r="D435" s="9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11"/>
      <c r="D436" s="9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11"/>
      <c r="D437" s="9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11"/>
      <c r="D438" s="9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11"/>
      <c r="D439" s="9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11"/>
      <c r="D440" s="9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11"/>
      <c r="D441" s="9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11"/>
      <c r="D442" s="9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11"/>
      <c r="D443" s="9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11"/>
      <c r="D444" s="9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11"/>
      <c r="D445" s="9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11"/>
      <c r="D446" s="9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11"/>
      <c r="D447" s="9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11"/>
      <c r="D448" s="9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11"/>
      <c r="D449" s="9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11"/>
      <c r="D450" s="9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11"/>
      <c r="D451" s="9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11"/>
      <c r="D452" s="9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11"/>
      <c r="D453" s="9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11"/>
      <c r="D454" s="9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11"/>
      <c r="D455" s="9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11"/>
      <c r="D456" s="9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11"/>
      <c r="D457" s="9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11"/>
      <c r="D458" s="9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11"/>
      <c r="D459" s="9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11"/>
      <c r="D460" s="9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11"/>
      <c r="D461" s="9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11"/>
      <c r="D462" s="9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11"/>
      <c r="D463" s="9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11"/>
      <c r="D464" s="9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11"/>
      <c r="D465" s="9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11"/>
      <c r="D466" s="9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11"/>
      <c r="D467" s="9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11"/>
      <c r="D468" s="9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11"/>
      <c r="D469" s="9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11"/>
      <c r="D470" s="9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11"/>
      <c r="D471" s="9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11"/>
      <c r="D472" s="9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11"/>
      <c r="D473" s="9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11"/>
      <c r="D474" s="9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11"/>
      <c r="D475" s="9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11"/>
      <c r="D476" s="9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11"/>
      <c r="D477" s="9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11"/>
      <c r="D478" s="9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11"/>
      <c r="D479" s="9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11"/>
      <c r="D480" s="9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11"/>
      <c r="D481" s="9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11"/>
      <c r="D482" s="9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11"/>
      <c r="D483" s="9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11"/>
      <c r="D484" s="9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11"/>
      <c r="D485" s="9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11"/>
      <c r="D486" s="9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11"/>
      <c r="D487" s="9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11"/>
      <c r="D488" s="9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11"/>
      <c r="D489" s="9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11"/>
      <c r="D490" s="9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11"/>
      <c r="D491" s="9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11"/>
      <c r="D492" s="9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11"/>
      <c r="D493" s="9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11"/>
      <c r="D494" s="9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11"/>
      <c r="D495" s="9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11"/>
      <c r="D496" s="9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11"/>
      <c r="D497" s="9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11"/>
      <c r="D498" s="9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11"/>
      <c r="D499" s="9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11"/>
      <c r="D500" s="9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11"/>
      <c r="D501" s="9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11"/>
      <c r="D502" s="9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11"/>
      <c r="D503" s="9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11"/>
      <c r="D504" s="9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11"/>
      <c r="D505" s="9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11"/>
      <c r="D506" s="9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11"/>
      <c r="D507" s="9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11"/>
      <c r="D508" s="9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11"/>
      <c r="D509" s="9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11"/>
      <c r="D510" s="9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11"/>
      <c r="D511" s="9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11"/>
      <c r="D512" s="9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11"/>
      <c r="D513" s="9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11"/>
      <c r="D514" s="9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11"/>
      <c r="D515" s="9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11"/>
      <c r="D516" s="9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11"/>
      <c r="D517" s="9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11"/>
      <c r="D518" s="9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11"/>
      <c r="D519" s="9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11"/>
      <c r="D520" s="9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11"/>
      <c r="D521" s="9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11"/>
      <c r="D522" s="9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11"/>
      <c r="D523" s="9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11"/>
      <c r="D524" s="9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11"/>
      <c r="D525" s="9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11"/>
      <c r="D526" s="9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11"/>
      <c r="D527" s="9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11"/>
      <c r="D528" s="9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11"/>
      <c r="D529" s="9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11"/>
      <c r="D530" s="9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11"/>
      <c r="D531" s="9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11"/>
      <c r="D532" s="9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11"/>
      <c r="D533" s="9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11"/>
      <c r="D534" s="9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11"/>
      <c r="D535" s="9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11"/>
      <c r="D536" s="9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11"/>
      <c r="D537" s="9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11"/>
      <c r="D538" s="9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11"/>
      <c r="D539" s="9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11"/>
      <c r="D540" s="9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11"/>
      <c r="D541" s="9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11"/>
      <c r="D542" s="9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11"/>
      <c r="D543" s="9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11"/>
      <c r="D544" s="9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11"/>
      <c r="D545" s="9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11"/>
      <c r="D546" s="9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11"/>
      <c r="D547" s="9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11"/>
      <c r="D548" s="9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11"/>
      <c r="D549" s="9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11"/>
      <c r="D550" s="9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11"/>
      <c r="D551" s="9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11"/>
      <c r="D552" s="9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11"/>
      <c r="D553" s="9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11"/>
      <c r="D554" s="9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11"/>
      <c r="D555" s="9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11"/>
      <c r="D556" s="9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11"/>
      <c r="D557" s="9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11"/>
      <c r="D558" s="9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11"/>
      <c r="D559" s="9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11"/>
      <c r="D560" s="9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11"/>
      <c r="D561" s="9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11"/>
      <c r="D562" s="9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11"/>
      <c r="D563" s="9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11"/>
      <c r="D564" s="9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11"/>
      <c r="D565" s="9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11"/>
      <c r="D566" s="9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11"/>
      <c r="D567" s="9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11"/>
      <c r="D568" s="9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11"/>
      <c r="D569" s="9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11"/>
      <c r="D570" s="9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11"/>
      <c r="D571" s="9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11"/>
      <c r="D572" s="9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11"/>
      <c r="D573" s="9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11"/>
      <c r="D574" s="9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11"/>
      <c r="D575" s="9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11"/>
      <c r="D576" s="9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11"/>
      <c r="D577" s="9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11"/>
      <c r="D578" s="9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11"/>
      <c r="D579" s="9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11"/>
      <c r="D580" s="9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11"/>
      <c r="D581" s="9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11"/>
      <c r="D582" s="9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11"/>
      <c r="D583" s="9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11"/>
      <c r="D584" s="9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11"/>
      <c r="D585" s="9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11"/>
      <c r="D586" s="9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11"/>
      <c r="D587" s="9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11"/>
      <c r="D588" s="9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11"/>
      <c r="D589" s="9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11"/>
      <c r="D590" s="9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11"/>
      <c r="D591" s="9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11"/>
      <c r="D592" s="9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11"/>
      <c r="D593" s="9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11"/>
      <c r="D594" s="9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11"/>
      <c r="D595" s="9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11"/>
      <c r="D596" s="9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11"/>
      <c r="D597" s="9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11"/>
      <c r="D598" s="9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11"/>
      <c r="D599" s="9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11"/>
      <c r="D600" s="9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11"/>
      <c r="D601" s="9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11"/>
      <c r="D602" s="9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11"/>
      <c r="D603" s="9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11"/>
      <c r="D604" s="9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11"/>
      <c r="D605" s="9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11"/>
      <c r="D606" s="9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11"/>
      <c r="D607" s="9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11"/>
      <c r="D608" s="9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11"/>
      <c r="D609" s="9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11"/>
      <c r="D610" s="9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11"/>
      <c r="D611" s="9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11"/>
      <c r="D612" s="9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11"/>
      <c r="D613" s="9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11"/>
      <c r="D614" s="9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11"/>
      <c r="D615" s="9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11"/>
      <c r="D616" s="9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11"/>
      <c r="D617" s="9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11"/>
      <c r="D618" s="9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11"/>
      <c r="D619" s="9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11"/>
      <c r="D620" s="9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11"/>
      <c r="D621" s="9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11"/>
      <c r="D622" s="9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11"/>
      <c r="D623" s="9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11"/>
      <c r="D624" s="9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11"/>
      <c r="D625" s="9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11"/>
      <c r="D626" s="9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11"/>
      <c r="D627" s="9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11"/>
      <c r="D628" s="9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11"/>
      <c r="D629" s="9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11"/>
      <c r="D630" s="9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11"/>
      <c r="D631" s="9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11"/>
      <c r="D632" s="9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11"/>
      <c r="D633" s="9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11"/>
      <c r="D634" s="9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11"/>
      <c r="D635" s="9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11"/>
      <c r="D636" s="9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11"/>
      <c r="D637" s="9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11"/>
      <c r="D638" s="9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11"/>
      <c r="D639" s="9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11"/>
      <c r="D640" s="9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11"/>
      <c r="D641" s="9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11"/>
      <c r="D642" s="9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11"/>
      <c r="D643" s="9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11"/>
      <c r="D644" s="9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11"/>
      <c r="D645" s="9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11"/>
      <c r="D646" s="9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11"/>
      <c r="D647" s="9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11"/>
      <c r="D648" s="9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11"/>
      <c r="D649" s="9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11"/>
      <c r="D650" s="9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11"/>
      <c r="D651" s="9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11"/>
      <c r="D652" s="9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11"/>
      <c r="D653" s="9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11"/>
      <c r="D654" s="9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11"/>
      <c r="D655" s="9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11"/>
      <c r="D656" s="9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11"/>
      <c r="D657" s="9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11"/>
      <c r="D658" s="9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11"/>
      <c r="D659" s="9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11"/>
      <c r="D660" s="9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11"/>
      <c r="D661" s="9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11"/>
      <c r="D662" s="9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11"/>
      <c r="D663" s="9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11"/>
      <c r="D664" s="9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11"/>
      <c r="D665" s="9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11"/>
      <c r="D666" s="9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11"/>
      <c r="D667" s="9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11"/>
      <c r="D668" s="9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11"/>
      <c r="D669" s="9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11"/>
      <c r="D670" s="9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11"/>
      <c r="D671" s="9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11"/>
      <c r="D672" s="9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11"/>
      <c r="D673" s="9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11"/>
      <c r="D674" s="9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11"/>
      <c r="D675" s="9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11"/>
      <c r="D676" s="9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11"/>
      <c r="D677" s="9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11"/>
      <c r="D678" s="9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11"/>
      <c r="D679" s="9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11"/>
      <c r="D680" s="9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11"/>
      <c r="D681" s="9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11"/>
      <c r="D682" s="9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11"/>
      <c r="D683" s="9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11"/>
      <c r="D684" s="9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11"/>
      <c r="D685" s="9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11"/>
      <c r="D686" s="9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11"/>
      <c r="D687" s="9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11"/>
      <c r="D688" s="9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11"/>
      <c r="D689" s="9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11"/>
      <c r="D690" s="9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11"/>
      <c r="D691" s="9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11"/>
      <c r="D692" s="9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11"/>
      <c r="D693" s="9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11"/>
      <c r="D694" s="9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11"/>
      <c r="D695" s="9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11"/>
      <c r="D696" s="9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11"/>
      <c r="D697" s="9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11"/>
      <c r="D698" s="9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11"/>
      <c r="D699" s="9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11"/>
      <c r="D700" s="9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11"/>
      <c r="D701" s="9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11"/>
      <c r="D702" s="9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11"/>
      <c r="D703" s="9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11"/>
      <c r="D704" s="9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11"/>
      <c r="D705" s="9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11"/>
      <c r="D706" s="9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11"/>
      <c r="D707" s="9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11"/>
      <c r="D708" s="9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11"/>
      <c r="D709" s="9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11"/>
      <c r="D710" s="9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11"/>
      <c r="D711" s="9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11"/>
      <c r="D712" s="9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11"/>
      <c r="D713" s="9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11"/>
      <c r="D714" s="9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11"/>
      <c r="D715" s="9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11"/>
      <c r="D716" s="9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11"/>
      <c r="D717" s="9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11"/>
      <c r="D718" s="9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11"/>
      <c r="D719" s="9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11"/>
      <c r="D720" s="9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11"/>
      <c r="D721" s="9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11"/>
      <c r="D722" s="9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11"/>
      <c r="D723" s="9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11"/>
      <c r="D724" s="9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11"/>
      <c r="D725" s="9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11"/>
      <c r="D726" s="9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11"/>
      <c r="D727" s="9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11"/>
      <c r="D728" s="9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11"/>
      <c r="D729" s="9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11"/>
      <c r="D730" s="9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11"/>
      <c r="D731" s="9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11"/>
      <c r="D732" s="9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11"/>
      <c r="D733" s="9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11"/>
      <c r="D734" s="9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11"/>
      <c r="D735" s="9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11"/>
      <c r="D736" s="9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11"/>
      <c r="D737" s="9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11"/>
      <c r="D738" s="9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11"/>
      <c r="D739" s="9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11"/>
      <c r="D740" s="9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11"/>
      <c r="D741" s="9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11"/>
      <c r="D742" s="9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11"/>
      <c r="D743" s="9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11"/>
      <c r="D744" s="9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11"/>
      <c r="D745" s="9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11"/>
      <c r="D746" s="9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11"/>
      <c r="D747" s="9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11"/>
      <c r="D748" s="9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11"/>
      <c r="D749" s="9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11"/>
      <c r="D750" s="9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11"/>
      <c r="D751" s="9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11"/>
      <c r="D752" s="9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11"/>
      <c r="D753" s="9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11"/>
      <c r="D754" s="9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11"/>
      <c r="D755" s="9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11"/>
      <c r="D756" s="9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11"/>
      <c r="D757" s="9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11"/>
      <c r="D758" s="9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11"/>
      <c r="D759" s="9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11"/>
      <c r="D760" s="9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11"/>
      <c r="D761" s="9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11"/>
      <c r="D762" s="9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11"/>
      <c r="D763" s="9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11"/>
      <c r="D764" s="9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11"/>
      <c r="D765" s="9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11"/>
      <c r="D766" s="9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11"/>
      <c r="D767" s="9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11"/>
      <c r="D768" s="9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11"/>
      <c r="D769" s="9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11"/>
      <c r="D770" s="9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11"/>
      <c r="D771" s="9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11"/>
      <c r="D772" s="9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11"/>
      <c r="D773" s="9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11"/>
      <c r="D774" s="9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11"/>
      <c r="D775" s="9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11"/>
      <c r="D776" s="9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11"/>
      <c r="D777" s="9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11"/>
      <c r="D778" s="9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11"/>
      <c r="D779" s="9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11"/>
      <c r="D780" s="9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11"/>
      <c r="D781" s="9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11"/>
      <c r="D782" s="9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11"/>
      <c r="D783" s="9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11"/>
      <c r="D784" s="9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11"/>
      <c r="D785" s="9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11"/>
      <c r="D786" s="9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11"/>
      <c r="D787" s="9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11"/>
      <c r="D788" s="9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11"/>
      <c r="D789" s="9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11"/>
      <c r="D790" s="9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11"/>
      <c r="D791" s="9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11"/>
      <c r="D792" s="9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11"/>
      <c r="D793" s="9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11"/>
      <c r="D794" s="9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11"/>
      <c r="D795" s="9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11"/>
      <c r="D796" s="9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11"/>
      <c r="D797" s="9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11"/>
      <c r="D798" s="9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11"/>
      <c r="D799" s="9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11"/>
      <c r="D800" s="9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11"/>
      <c r="D801" s="9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11"/>
      <c r="D802" s="9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11"/>
      <c r="D803" s="9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11"/>
      <c r="D804" s="9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11"/>
      <c r="D805" s="9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11"/>
      <c r="D806" s="9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11"/>
      <c r="D807" s="9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11"/>
      <c r="D808" s="9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11"/>
      <c r="D809" s="9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11"/>
      <c r="D810" s="9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11"/>
      <c r="D811" s="9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11"/>
      <c r="D812" s="9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11"/>
      <c r="D813" s="9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11"/>
      <c r="D814" s="9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11"/>
      <c r="D815" s="9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11"/>
      <c r="D816" s="9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11"/>
      <c r="D817" s="9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11"/>
      <c r="D818" s="9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11"/>
      <c r="D819" s="9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11"/>
      <c r="D820" s="9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11"/>
      <c r="D821" s="9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11"/>
      <c r="D822" s="9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11"/>
      <c r="D823" s="9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11"/>
      <c r="D824" s="9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11"/>
      <c r="D825" s="9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11"/>
      <c r="D826" s="9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11"/>
      <c r="D827" s="9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11"/>
      <c r="D828" s="9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11"/>
      <c r="D829" s="9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11"/>
      <c r="D830" s="9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11"/>
      <c r="D831" s="9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11"/>
      <c r="D832" s="9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11"/>
      <c r="D833" s="9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11"/>
      <c r="D834" s="9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11"/>
      <c r="D835" s="9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11"/>
      <c r="D836" s="9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11"/>
      <c r="D837" s="9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11"/>
      <c r="D838" s="9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11"/>
      <c r="D839" s="9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11"/>
      <c r="D840" s="9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11"/>
      <c r="D841" s="9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11"/>
      <c r="D842" s="9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11"/>
      <c r="D843" s="9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11"/>
      <c r="D844" s="9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11"/>
      <c r="D845" s="9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11"/>
      <c r="D846" s="9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11"/>
      <c r="D847" s="9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11"/>
      <c r="D848" s="9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11"/>
      <c r="D849" s="9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11"/>
      <c r="D850" s="9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11"/>
      <c r="D851" s="9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11"/>
      <c r="D852" s="9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11"/>
      <c r="D853" s="9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11"/>
      <c r="D854" s="9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11"/>
      <c r="D855" s="9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11"/>
      <c r="D856" s="9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11"/>
      <c r="D857" s="9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11"/>
      <c r="D858" s="9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11"/>
      <c r="D859" s="9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11"/>
      <c r="D860" s="9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11"/>
      <c r="D861" s="9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11"/>
      <c r="D862" s="9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11"/>
      <c r="D863" s="9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11"/>
      <c r="D864" s="9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11"/>
      <c r="D865" s="9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11"/>
      <c r="D866" s="9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11"/>
      <c r="D867" s="9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11"/>
      <c r="D868" s="9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11"/>
      <c r="D869" s="9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11"/>
      <c r="D870" s="9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11"/>
      <c r="D871" s="9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11"/>
      <c r="D872" s="9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11"/>
      <c r="D873" s="9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11"/>
      <c r="D874" s="9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11"/>
      <c r="D875" s="9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11"/>
      <c r="D876" s="9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11"/>
      <c r="D877" s="9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11"/>
      <c r="D878" s="9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11"/>
      <c r="D879" s="9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11"/>
      <c r="D880" s="9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11"/>
      <c r="D881" s="9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11"/>
      <c r="D882" s="9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11"/>
      <c r="D883" s="9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11"/>
      <c r="D884" s="9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11"/>
      <c r="D885" s="9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11"/>
      <c r="D886" s="9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11"/>
      <c r="D887" s="9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11"/>
      <c r="D888" s="9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11"/>
      <c r="D889" s="9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11"/>
      <c r="D890" s="9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11"/>
      <c r="D891" s="9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11"/>
      <c r="D892" s="9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11"/>
      <c r="D893" s="9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11"/>
      <c r="D894" s="9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11"/>
      <c r="D895" s="9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11"/>
      <c r="D896" s="9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11"/>
      <c r="D897" s="9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11"/>
      <c r="D898" s="9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11"/>
      <c r="D899" s="9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11"/>
      <c r="D900" s="9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11"/>
      <c r="D901" s="9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11"/>
      <c r="D902" s="9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11"/>
      <c r="D903" s="9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11"/>
      <c r="D904" s="9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11"/>
      <c r="D905" s="9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11"/>
      <c r="D906" s="9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11"/>
      <c r="D907" s="9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11"/>
      <c r="D908" s="9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11"/>
      <c r="D909" s="9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11"/>
      <c r="D910" s="9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11"/>
      <c r="D911" s="9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11"/>
      <c r="D912" s="9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11"/>
      <c r="D913" s="9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11"/>
      <c r="D914" s="9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11"/>
      <c r="D915" s="9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11"/>
      <c r="D916" s="9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11"/>
      <c r="D917" s="9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11"/>
      <c r="D918" s="9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11"/>
      <c r="D919" s="9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11"/>
      <c r="D920" s="9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11"/>
      <c r="D921" s="9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11"/>
      <c r="D922" s="9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11"/>
      <c r="D923" s="9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11"/>
      <c r="D924" s="9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11"/>
      <c r="D925" s="9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11"/>
      <c r="D926" s="9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11"/>
      <c r="D927" s="9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11"/>
      <c r="D928" s="9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11"/>
      <c r="D929" s="9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11"/>
      <c r="D930" s="9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11"/>
      <c r="D931" s="9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11"/>
      <c r="D932" s="9"/>
      <c r="E932" s="10"/>
      <c r="F932" s="10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11"/>
      <c r="D933" s="9"/>
      <c r="E933" s="10"/>
      <c r="F933" s="10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11"/>
      <c r="D934" s="9"/>
      <c r="E934" s="10"/>
      <c r="F934" s="10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11"/>
      <c r="D935" s="9"/>
      <c r="E935" s="10"/>
      <c r="F935" s="10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11"/>
      <c r="D936" s="9"/>
      <c r="E936" s="10"/>
      <c r="F936" s="10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11"/>
      <c r="D937" s="9"/>
      <c r="E937" s="10"/>
      <c r="F937" s="10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11"/>
      <c r="D938" s="9"/>
      <c r="E938" s="10"/>
      <c r="F938" s="10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11"/>
      <c r="D939" s="9"/>
      <c r="E939" s="10"/>
      <c r="F939" s="10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11"/>
      <c r="D940" s="9"/>
      <c r="E940" s="10"/>
      <c r="F940" s="10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11"/>
      <c r="D941" s="9"/>
      <c r="E941" s="10"/>
      <c r="F941" s="10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11"/>
      <c r="D942" s="9"/>
      <c r="E942" s="10"/>
      <c r="F942" s="10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11"/>
      <c r="D943" s="9"/>
      <c r="E943" s="10"/>
      <c r="F943" s="10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11"/>
      <c r="D944" s="9"/>
      <c r="E944" s="10"/>
      <c r="F944" s="10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11"/>
      <c r="D945" s="9"/>
      <c r="E945" s="10"/>
      <c r="F945" s="10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11"/>
      <c r="D946" s="9"/>
      <c r="E946" s="10"/>
      <c r="F946" s="10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11"/>
      <c r="D947" s="9"/>
      <c r="E947" s="10"/>
      <c r="F947" s="10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11"/>
      <c r="D948" s="9"/>
      <c r="E948" s="10"/>
      <c r="F948" s="10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11"/>
      <c r="D949" s="9"/>
      <c r="E949" s="10"/>
      <c r="F949" s="10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11"/>
      <c r="D950" s="9"/>
      <c r="E950" s="10"/>
      <c r="F950" s="10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11"/>
      <c r="D951" s="9"/>
      <c r="E951" s="10"/>
      <c r="F951" s="10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11"/>
      <c r="D952" s="9"/>
      <c r="E952" s="10"/>
      <c r="F952" s="10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11"/>
      <c r="D953" s="9"/>
      <c r="E953" s="10"/>
      <c r="F953" s="10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11"/>
      <c r="D954" s="9"/>
      <c r="E954" s="10"/>
      <c r="F954" s="10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11"/>
      <c r="D955" s="9"/>
      <c r="E955" s="10"/>
      <c r="F955" s="10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11"/>
      <c r="D956" s="9"/>
      <c r="E956" s="10"/>
      <c r="F956" s="10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11"/>
      <c r="D957" s="9"/>
      <c r="E957" s="10"/>
      <c r="F957" s="10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11"/>
      <c r="D958" s="9"/>
      <c r="E958" s="10"/>
      <c r="F958" s="10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11"/>
      <c r="D959" s="9"/>
      <c r="E959" s="10"/>
      <c r="F959" s="10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11"/>
      <c r="D960" s="9"/>
      <c r="E960" s="10"/>
      <c r="F960" s="10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11"/>
      <c r="D961" s="9"/>
      <c r="E961" s="10"/>
      <c r="F961" s="10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11"/>
      <c r="D962" s="9"/>
      <c r="E962" s="10"/>
      <c r="F962" s="10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11"/>
      <c r="D963" s="9"/>
      <c r="E963" s="10"/>
      <c r="F963" s="10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11"/>
      <c r="D964" s="9"/>
      <c r="E964" s="10"/>
      <c r="F964" s="10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11"/>
      <c r="D965" s="9"/>
      <c r="E965" s="10"/>
      <c r="F965" s="10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11"/>
      <c r="D966" s="9"/>
      <c r="E966" s="10"/>
      <c r="F966" s="10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11"/>
      <c r="D967" s="9"/>
      <c r="E967" s="10"/>
      <c r="F967" s="10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11"/>
      <c r="D968" s="9"/>
      <c r="E968" s="10"/>
      <c r="F968" s="10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11"/>
      <c r="D969" s="9"/>
      <c r="E969" s="10"/>
      <c r="F969" s="10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11"/>
      <c r="D970" s="9"/>
      <c r="E970" s="10"/>
      <c r="F970" s="10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11"/>
      <c r="D971" s="9"/>
      <c r="E971" s="10"/>
      <c r="F971" s="10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11"/>
      <c r="D972" s="9"/>
      <c r="E972" s="10"/>
      <c r="F972" s="10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11"/>
      <c r="D973" s="9"/>
      <c r="E973" s="10"/>
      <c r="F973" s="10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11"/>
      <c r="D974" s="9"/>
      <c r="E974" s="10"/>
      <c r="F974" s="10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11"/>
      <c r="D975" s="9"/>
      <c r="E975" s="10"/>
      <c r="F975" s="10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11"/>
      <c r="D976" s="9"/>
      <c r="E976" s="10"/>
      <c r="F976" s="10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11"/>
      <c r="D977" s="9"/>
      <c r="E977" s="10"/>
      <c r="F977" s="10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11"/>
      <c r="D978" s="9"/>
      <c r="E978" s="10"/>
      <c r="F978" s="10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11"/>
      <c r="D979" s="9"/>
      <c r="E979" s="10"/>
      <c r="F979" s="10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11"/>
      <c r="D980" s="9"/>
      <c r="E980" s="10"/>
      <c r="F980" s="10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11"/>
      <c r="D981" s="9"/>
      <c r="E981" s="10"/>
      <c r="F981" s="10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11"/>
      <c r="D982" s="9"/>
      <c r="E982" s="10"/>
      <c r="F982" s="10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11"/>
      <c r="D983" s="9"/>
      <c r="E983" s="10"/>
      <c r="F983" s="10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11"/>
      <c r="D984" s="9"/>
      <c r="E984" s="10"/>
      <c r="F984" s="10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11"/>
      <c r="D985" s="9"/>
      <c r="E985" s="10"/>
      <c r="F985" s="10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11"/>
      <c r="D986" s="9"/>
      <c r="E986" s="10"/>
      <c r="F986" s="10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11"/>
      <c r="D987" s="9"/>
      <c r="E987" s="10"/>
      <c r="F987" s="10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11"/>
      <c r="D988" s="9"/>
      <c r="E988" s="10"/>
      <c r="F988" s="10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11"/>
      <c r="D989" s="9"/>
      <c r="E989" s="10"/>
      <c r="F989" s="10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11"/>
      <c r="D990" s="9"/>
      <c r="E990" s="10"/>
      <c r="F990" s="10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11"/>
      <c r="D991" s="9"/>
      <c r="E991" s="10"/>
      <c r="F991" s="10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11"/>
      <c r="D992" s="9"/>
      <c r="E992" s="10"/>
      <c r="F992" s="10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11"/>
      <c r="D993" s="9"/>
      <c r="E993" s="10"/>
      <c r="F993" s="10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11"/>
      <c r="D994" s="9"/>
      <c r="E994" s="10"/>
      <c r="F994" s="10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11"/>
      <c r="D995" s="9"/>
      <c r="E995" s="10"/>
      <c r="F995" s="10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11"/>
      <c r="D996" s="9"/>
      <c r="E996" s="10"/>
      <c r="F996" s="10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11"/>
      <c r="D997" s="9"/>
      <c r="E997" s="10"/>
      <c r="F997" s="10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11"/>
      <c r="D998" s="9"/>
      <c r="E998" s="10"/>
      <c r="F998" s="10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11"/>
      <c r="D999" s="9"/>
      <c r="E999" s="10"/>
      <c r="F999" s="10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11"/>
      <c r="D1000" s="9"/>
      <c r="E1000" s="10"/>
      <c r="F1000" s="10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11"/>
      <c r="D1001" s="9"/>
      <c r="E1001" s="10"/>
      <c r="F1001" s="10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</sheetData>
  <drawing r:id="rId1"/>
  <tableParts count="1">
    <tablePart r:id="rId3"/>
  </tableParts>
</worksheet>
</file>